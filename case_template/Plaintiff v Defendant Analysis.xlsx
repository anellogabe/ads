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/>
  <xr:revisionPtr revIDLastSave="0" documentId="8_{C84B39F7-364A-4680-A4EB-409BFE551C1D}" xr6:coauthVersionLast="47" xr6:coauthVersionMax="47" xr10:uidLastSave="{00000000-0000-0000-0000-000000000000}"/>
  <bookViews>
    <workbookView xWindow="19090" yWindow="-110" windowWidth="38620" windowHeight="21100" xr2:uid="{CFC6350C-C724-4096-BE24-0FBD0249188C}"/>
  </bookViews>
  <sheets>
    <sheet name="Data Comparison" sheetId="7" r:id="rId1"/>
    <sheet name="Employee Pay Period Comparison" sheetId="26" r:id="rId2"/>
    <sheet name="Analysis" sheetId="33" r:id="rId3"/>
    <sheet name="PAGA Analysis" sheetId="1" r:id="rId4"/>
    <sheet name="Class Analysis" sheetId="2" r:id="rId5"/>
    <sheet name="ref" sheetId="16" r:id="rId6"/>
    <sheet name="Example" sheetId="24" r:id="rId7"/>
    <sheet name="Pay Period Data" sheetId="34" r:id="rId8"/>
    <sheet name="Employee Data" sheetId="25" r:id="rId9"/>
    <sheet name="Time Shift Data" sheetId="8" r:id="rId10"/>
    <sheet name="Time Punch Data" sheetId="19" r:id="rId11"/>
    <sheet name="AWW Classifications" sheetId="30" r:id="rId12"/>
    <sheet name="Hrs &amp; MP Tables" sheetId="20" r:id="rId13"/>
    <sheet name="Pay Data" sheetId="21" r:id="rId14"/>
    <sheet name="Pay Code Analysis" sheetId="35" r:id="rId15"/>
    <sheet name="Rate Type Analysis" sheetId="23" r:id="rId16"/>
    <sheet name="Pay Code Table" sheetId="9" r:id="rId17"/>
    <sheet name="IDs &amp; Rcds Removed" sheetId="36" r:id="rId18"/>
    <sheet name="Analysis Log" sheetId="32" r:id="rId19"/>
    <sheet name="Min Wage Table" sheetId="15" r:id="rId20"/>
    <sheet name="Mileage Table" sheetId="14" r:id="rId21"/>
  </sheets>
  <definedNames>
    <definedName name="_xlnm._FilterDatabase" localSheetId="20" hidden="1">'Mileage Table'!$A$1:$G$22</definedName>
    <definedName name="ExternalData_1" localSheetId="18" hidden="1">'Analysis Log'!$A$1:$E$2</definedName>
    <definedName name="ExternalData_1" localSheetId="0" hidden="1">'Data Comparison'!$W$1:$AE$2</definedName>
    <definedName name="ExternalData_1" localSheetId="15" hidden="1">'Rate Type Analysis'!$A$1:$J$2</definedName>
    <definedName name="ExternalData_10" localSheetId="12" hidden="1">'Hrs &amp; MP Tables'!$Y$1:$AC$2</definedName>
    <definedName name="ExternalData_11" localSheetId="12" hidden="1">'Hrs &amp; MP Tables'!#REF!</definedName>
    <definedName name="ExternalData_12" localSheetId="11" hidden="1">'AWW Classifications'!$A$1:$N$2</definedName>
    <definedName name="ExternalData_2" localSheetId="2" hidden="1">Analysis!$A$1:$M$2</definedName>
    <definedName name="ExternalData_3" localSheetId="8" hidden="1">'Employee Data'!$A$1:$MK$2</definedName>
    <definedName name="ExternalData_3" localSheetId="7" hidden="1">'Pay Period Data'!$A$1:$VL$2</definedName>
    <definedName name="ExternalData_4" localSheetId="14" hidden="1">'Pay Code Analysis'!$A$1:$I$2</definedName>
    <definedName name="ExternalData_4" localSheetId="9" hidden="1">'Time Shift Data'!$A$1:$FU$2</definedName>
    <definedName name="ExternalData_5" localSheetId="17" hidden="1">'IDs &amp; Rcds Removed'!$A$1:$I$2</definedName>
    <definedName name="ExternalData_5" localSheetId="10" hidden="1">'Time Punch Data'!$A$1:$BF$2</definedName>
    <definedName name="ExternalData_6" localSheetId="12" hidden="1">'Hrs &amp; MP Tables'!$G$1:$K$2</definedName>
    <definedName name="ExternalData_7" localSheetId="12" hidden="1">'Hrs &amp; MP Tables'!$A$1:$E$2</definedName>
    <definedName name="ExternalData_7" localSheetId="13" hidden="1">'Pay Data'!$A$1:$HL$2</definedName>
    <definedName name="ExternalData_8" localSheetId="1" hidden="1">'Employee Pay Period Comparison'!$A$1:$Q$2</definedName>
    <definedName name="ExternalData_8" localSheetId="12" hidden="1">'Hrs &amp; MP Tables'!$M$1:$Q$2</definedName>
    <definedName name="ExternalData_9" localSheetId="12" hidden="1">'Hrs &amp; MP Tables'!$S$1:$W$2</definedName>
    <definedName name="_xlnm.Print_Area" localSheetId="4">'Class Analysis'!$B$2:$N$327</definedName>
    <definedName name="_xlnm.Print_Area" localSheetId="0">'Data Comparison'!$E$1:$U$31</definedName>
    <definedName name="_xlnm.Print_Area" localSheetId="3">'PAGA Analysis'!$B$2:$G$62</definedName>
    <definedName name="_xlnm.Print_Area" localSheetId="16">'Pay Code Table'!$A$9:$H$100</definedName>
    <definedName name="_xlnm.Print_Titles" localSheetId="4">'Class Analysis'!$2:$3</definedName>
    <definedName name="_xlnm.Print_Titles" localSheetId="3">'PAGA Analysis'!$2:$2</definedName>
    <definedName name="_xlnm.Print_Titles" localSheetId="14">'Pay Code Analysis'!$1:$1</definedName>
    <definedName name="_xlnm.Print_Titles" localSheetId="15">'Rate Type Analysis'!$1:$1</definedName>
  </definedNames>
  <calcPr calcId="191028"/>
  <pivotCaches>
    <pivotCache cacheId="0" r:id="rId2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27" i="2" l="1"/>
  <c r="AA327" i="2"/>
  <c r="Z327" i="2"/>
  <c r="Y327" i="2"/>
  <c r="X327" i="2"/>
  <c r="W327" i="2"/>
  <c r="AB326" i="2"/>
  <c r="AA326" i="2"/>
  <c r="Z326" i="2"/>
  <c r="Y326" i="2"/>
  <c r="X326" i="2"/>
  <c r="W326" i="2"/>
  <c r="AB325" i="2"/>
  <c r="AA325" i="2"/>
  <c r="Z325" i="2"/>
  <c r="Y325" i="2"/>
  <c r="X325" i="2"/>
  <c r="W325" i="2"/>
  <c r="AB323" i="2"/>
  <c r="AA323" i="2"/>
  <c r="Z323" i="2"/>
  <c r="Y323" i="2"/>
  <c r="X323" i="2"/>
  <c r="W323" i="2"/>
  <c r="AB322" i="2"/>
  <c r="AA322" i="2"/>
  <c r="Z322" i="2"/>
  <c r="Y322" i="2"/>
  <c r="X322" i="2"/>
  <c r="W322" i="2"/>
  <c r="AB321" i="2"/>
  <c r="AA321" i="2"/>
  <c r="Z321" i="2"/>
  <c r="Y321" i="2"/>
  <c r="X321" i="2"/>
  <c r="W321" i="2"/>
  <c r="AB320" i="2"/>
  <c r="AA320" i="2"/>
  <c r="Z320" i="2"/>
  <c r="Y320" i="2"/>
  <c r="X320" i="2"/>
  <c r="W320" i="2"/>
  <c r="AB318" i="2"/>
  <c r="AA318" i="2"/>
  <c r="Z318" i="2"/>
  <c r="Y318" i="2"/>
  <c r="X318" i="2"/>
  <c r="W318" i="2"/>
  <c r="AB317" i="2"/>
  <c r="AA317" i="2"/>
  <c r="Z317" i="2"/>
  <c r="Y317" i="2"/>
  <c r="X317" i="2"/>
  <c r="W317" i="2"/>
  <c r="AB316" i="2"/>
  <c r="AA316" i="2"/>
  <c r="Z316" i="2"/>
  <c r="Y316" i="2"/>
  <c r="X316" i="2"/>
  <c r="W316" i="2"/>
  <c r="AB315" i="2"/>
  <c r="AA315" i="2"/>
  <c r="Z315" i="2"/>
  <c r="Y315" i="2"/>
  <c r="X315" i="2"/>
  <c r="W315" i="2"/>
  <c r="AB313" i="2"/>
  <c r="AA313" i="2"/>
  <c r="Z313" i="2"/>
  <c r="Y313" i="2"/>
  <c r="X313" i="2"/>
  <c r="W313" i="2"/>
  <c r="AB312" i="2"/>
  <c r="AA312" i="2"/>
  <c r="Z312" i="2"/>
  <c r="Y312" i="2"/>
  <c r="X312" i="2"/>
  <c r="W312" i="2"/>
  <c r="AB311" i="2"/>
  <c r="AA311" i="2"/>
  <c r="Z311" i="2"/>
  <c r="Y311" i="2"/>
  <c r="X311" i="2"/>
  <c r="W311" i="2"/>
  <c r="AB310" i="2"/>
  <c r="AA310" i="2"/>
  <c r="Z310" i="2"/>
  <c r="Y310" i="2"/>
  <c r="X310" i="2"/>
  <c r="W310" i="2"/>
  <c r="AB308" i="2"/>
  <c r="AA308" i="2"/>
  <c r="Z308" i="2"/>
  <c r="Y308" i="2"/>
  <c r="X308" i="2"/>
  <c r="W308" i="2"/>
  <c r="AB307" i="2"/>
  <c r="AA307" i="2"/>
  <c r="Z307" i="2"/>
  <c r="Y307" i="2"/>
  <c r="X307" i="2"/>
  <c r="W307" i="2"/>
  <c r="AB306" i="2"/>
  <c r="AA306" i="2"/>
  <c r="Z306" i="2"/>
  <c r="Y306" i="2"/>
  <c r="X306" i="2"/>
  <c r="W306" i="2"/>
  <c r="AB305" i="2"/>
  <c r="AA305" i="2"/>
  <c r="Z305" i="2"/>
  <c r="Y305" i="2"/>
  <c r="X305" i="2"/>
  <c r="W305" i="2"/>
  <c r="AB304" i="2"/>
  <c r="AA304" i="2"/>
  <c r="Z304" i="2"/>
  <c r="Y304" i="2"/>
  <c r="X304" i="2"/>
  <c r="W304" i="2"/>
  <c r="AB303" i="2"/>
  <c r="AA303" i="2"/>
  <c r="Z303" i="2"/>
  <c r="Y303" i="2"/>
  <c r="X303" i="2"/>
  <c r="W303" i="2"/>
  <c r="AB302" i="2"/>
  <c r="AA302" i="2"/>
  <c r="Z302" i="2"/>
  <c r="Y302" i="2"/>
  <c r="X302" i="2"/>
  <c r="W302" i="2"/>
  <c r="AB301" i="2"/>
  <c r="AA301" i="2"/>
  <c r="Z301" i="2"/>
  <c r="Y301" i="2"/>
  <c r="X301" i="2"/>
  <c r="W301" i="2"/>
  <c r="AB300" i="2"/>
  <c r="AA300" i="2"/>
  <c r="Z300" i="2"/>
  <c r="Y300" i="2"/>
  <c r="X300" i="2"/>
  <c r="W300" i="2"/>
  <c r="AB299" i="2"/>
  <c r="AA299" i="2"/>
  <c r="Z299" i="2"/>
  <c r="Y299" i="2"/>
  <c r="X299" i="2"/>
  <c r="W299" i="2"/>
  <c r="AB298" i="2"/>
  <c r="AA298" i="2"/>
  <c r="Z298" i="2"/>
  <c r="Y298" i="2"/>
  <c r="X298" i="2"/>
  <c r="W298" i="2"/>
  <c r="AB297" i="2"/>
  <c r="AA297" i="2"/>
  <c r="Z297" i="2"/>
  <c r="Y297" i="2"/>
  <c r="X297" i="2"/>
  <c r="W297" i="2"/>
  <c r="AB296" i="2"/>
  <c r="AA296" i="2"/>
  <c r="Z296" i="2"/>
  <c r="Y296" i="2"/>
  <c r="X296" i="2"/>
  <c r="W296" i="2"/>
  <c r="AB295" i="2"/>
  <c r="AA295" i="2"/>
  <c r="Z295" i="2"/>
  <c r="Y295" i="2"/>
  <c r="X295" i="2"/>
  <c r="W295" i="2"/>
  <c r="AB294" i="2"/>
  <c r="AA294" i="2"/>
  <c r="Z294" i="2"/>
  <c r="Y294" i="2"/>
  <c r="X294" i="2"/>
  <c r="W294" i="2"/>
  <c r="AB293" i="2"/>
  <c r="AA293" i="2"/>
  <c r="Z293" i="2"/>
  <c r="Y293" i="2"/>
  <c r="X293" i="2"/>
  <c r="W293" i="2"/>
  <c r="AB292" i="2"/>
  <c r="AA292" i="2"/>
  <c r="Z292" i="2"/>
  <c r="Y292" i="2"/>
  <c r="X292" i="2"/>
  <c r="W292" i="2"/>
  <c r="AB289" i="2"/>
  <c r="AA289" i="2"/>
  <c r="Z289" i="2"/>
  <c r="Y289" i="2"/>
  <c r="X289" i="2"/>
  <c r="W289" i="2"/>
  <c r="AB286" i="2"/>
  <c r="AA286" i="2"/>
  <c r="Z286" i="2"/>
  <c r="Y286" i="2"/>
  <c r="X286" i="2"/>
  <c r="W286" i="2"/>
  <c r="AB285" i="2"/>
  <c r="AA285" i="2"/>
  <c r="Z285" i="2"/>
  <c r="Y285" i="2"/>
  <c r="X285" i="2"/>
  <c r="W285" i="2"/>
  <c r="AB284" i="2"/>
  <c r="AA284" i="2"/>
  <c r="Z284" i="2"/>
  <c r="Y284" i="2"/>
  <c r="X284" i="2"/>
  <c r="W284" i="2"/>
  <c r="AB283" i="2"/>
  <c r="AA283" i="2"/>
  <c r="Z283" i="2"/>
  <c r="Y283" i="2"/>
  <c r="X283" i="2"/>
  <c r="W283" i="2"/>
  <c r="AB282" i="2"/>
  <c r="AA282" i="2"/>
  <c r="Z282" i="2"/>
  <c r="Y282" i="2"/>
  <c r="X282" i="2"/>
  <c r="W282" i="2"/>
  <c r="AB281" i="2"/>
  <c r="AA281" i="2"/>
  <c r="Z281" i="2"/>
  <c r="Y281" i="2"/>
  <c r="X281" i="2"/>
  <c r="W281" i="2"/>
  <c r="AB280" i="2"/>
  <c r="AA280" i="2"/>
  <c r="Z280" i="2"/>
  <c r="Y280" i="2"/>
  <c r="X280" i="2"/>
  <c r="W280" i="2"/>
  <c r="AB268" i="2"/>
  <c r="AA268" i="2"/>
  <c r="Z268" i="2"/>
  <c r="Y268" i="2"/>
  <c r="X268" i="2"/>
  <c r="W268" i="2"/>
  <c r="AB267" i="2"/>
  <c r="AA267" i="2"/>
  <c r="Z267" i="2"/>
  <c r="Y267" i="2"/>
  <c r="X267" i="2"/>
  <c r="W267" i="2"/>
  <c r="AB266" i="2"/>
  <c r="AA266" i="2"/>
  <c r="Z266" i="2"/>
  <c r="Y266" i="2"/>
  <c r="X266" i="2"/>
  <c r="W266" i="2"/>
  <c r="AB265" i="2"/>
  <c r="AA265" i="2"/>
  <c r="Z265" i="2"/>
  <c r="Y265" i="2"/>
  <c r="X265" i="2"/>
  <c r="W265" i="2"/>
  <c r="AB264" i="2"/>
  <c r="AA264" i="2"/>
  <c r="Z264" i="2"/>
  <c r="Y264" i="2"/>
  <c r="X264" i="2"/>
  <c r="W264" i="2"/>
  <c r="AB263" i="2"/>
  <c r="AA263" i="2"/>
  <c r="Z263" i="2"/>
  <c r="Y263" i="2"/>
  <c r="X263" i="2"/>
  <c r="W263" i="2"/>
  <c r="AB262" i="2"/>
  <c r="AA262" i="2"/>
  <c r="Z262" i="2"/>
  <c r="Y262" i="2"/>
  <c r="X262" i="2"/>
  <c r="W262" i="2"/>
  <c r="AB261" i="2"/>
  <c r="AA261" i="2"/>
  <c r="Z261" i="2"/>
  <c r="Y261" i="2"/>
  <c r="X261" i="2"/>
  <c r="W261" i="2"/>
  <c r="AB260" i="2"/>
  <c r="AA260" i="2"/>
  <c r="Z260" i="2"/>
  <c r="Y260" i="2"/>
  <c r="X260" i="2"/>
  <c r="W260" i="2"/>
  <c r="AB259" i="2"/>
  <c r="AA259" i="2"/>
  <c r="Z259" i="2"/>
  <c r="Y259" i="2"/>
  <c r="X259" i="2"/>
  <c r="W259" i="2"/>
  <c r="AB252" i="2"/>
  <c r="AA252" i="2"/>
  <c r="Z252" i="2"/>
  <c r="Y252" i="2"/>
  <c r="X252" i="2"/>
  <c r="W252" i="2"/>
  <c r="AB251" i="2"/>
  <c r="AA251" i="2"/>
  <c r="Z251" i="2"/>
  <c r="Y251" i="2"/>
  <c r="X251" i="2"/>
  <c r="W251" i="2"/>
  <c r="AB250" i="2"/>
  <c r="AA250" i="2"/>
  <c r="Z250" i="2"/>
  <c r="Y250" i="2"/>
  <c r="X250" i="2"/>
  <c r="W250" i="2"/>
  <c r="AB249" i="2"/>
  <c r="AA249" i="2"/>
  <c r="Z249" i="2"/>
  <c r="Y249" i="2"/>
  <c r="X249" i="2"/>
  <c r="W249" i="2"/>
  <c r="AB248" i="2"/>
  <c r="AA248" i="2"/>
  <c r="Z248" i="2"/>
  <c r="Y248" i="2"/>
  <c r="X248" i="2"/>
  <c r="W248" i="2"/>
  <c r="AB247" i="2"/>
  <c r="AA247" i="2"/>
  <c r="Z247" i="2"/>
  <c r="Y247" i="2"/>
  <c r="X247" i="2"/>
  <c r="W247" i="2"/>
  <c r="AB243" i="2"/>
  <c r="AA243" i="2"/>
  <c r="Z243" i="2"/>
  <c r="Y243" i="2"/>
  <c r="X243" i="2"/>
  <c r="W243" i="2"/>
  <c r="AB242" i="2"/>
  <c r="AA242" i="2"/>
  <c r="Z242" i="2"/>
  <c r="Y242" i="2"/>
  <c r="X242" i="2"/>
  <c r="W242" i="2"/>
  <c r="AB241" i="2"/>
  <c r="AA241" i="2"/>
  <c r="Z241" i="2"/>
  <c r="Y241" i="2"/>
  <c r="X241" i="2"/>
  <c r="W241" i="2"/>
  <c r="AB240" i="2"/>
  <c r="AA240" i="2"/>
  <c r="Z240" i="2"/>
  <c r="Y240" i="2"/>
  <c r="X240" i="2"/>
  <c r="W240" i="2"/>
  <c r="AB239" i="2"/>
  <c r="AA239" i="2"/>
  <c r="Z239" i="2"/>
  <c r="Y239" i="2"/>
  <c r="X239" i="2"/>
  <c r="W239" i="2"/>
  <c r="AB238" i="2"/>
  <c r="AA238" i="2"/>
  <c r="Z238" i="2"/>
  <c r="Y238" i="2"/>
  <c r="X238" i="2"/>
  <c r="W238" i="2"/>
  <c r="AB237" i="2"/>
  <c r="AA237" i="2"/>
  <c r="Z237" i="2"/>
  <c r="Y237" i="2"/>
  <c r="X237" i="2"/>
  <c r="W237" i="2"/>
  <c r="AB236" i="2"/>
  <c r="AA236" i="2"/>
  <c r="Z236" i="2"/>
  <c r="Y236" i="2"/>
  <c r="X236" i="2"/>
  <c r="W236" i="2"/>
  <c r="AB234" i="2"/>
  <c r="AA234" i="2"/>
  <c r="Z234" i="2"/>
  <c r="Y234" i="2"/>
  <c r="X234" i="2"/>
  <c r="W234" i="2"/>
  <c r="AB233" i="2"/>
  <c r="AA233" i="2"/>
  <c r="Z233" i="2"/>
  <c r="Y233" i="2"/>
  <c r="X233" i="2"/>
  <c r="W233" i="2"/>
  <c r="AB229" i="2"/>
  <c r="AA229" i="2"/>
  <c r="Z229" i="2"/>
  <c r="Y229" i="2"/>
  <c r="X229" i="2"/>
  <c r="W229" i="2"/>
  <c r="AB228" i="2"/>
  <c r="AA228" i="2"/>
  <c r="Z228" i="2"/>
  <c r="Y228" i="2"/>
  <c r="X228" i="2"/>
  <c r="W228" i="2"/>
  <c r="AB227" i="2"/>
  <c r="AA227" i="2"/>
  <c r="Z227" i="2"/>
  <c r="Y227" i="2"/>
  <c r="X227" i="2"/>
  <c r="W227" i="2"/>
  <c r="AB226" i="2"/>
  <c r="AA226" i="2"/>
  <c r="Z226" i="2"/>
  <c r="Y226" i="2"/>
  <c r="X226" i="2"/>
  <c r="W226" i="2"/>
  <c r="AB225" i="2"/>
  <c r="AA225" i="2"/>
  <c r="Z225" i="2"/>
  <c r="Y225" i="2"/>
  <c r="X225" i="2"/>
  <c r="W225" i="2"/>
  <c r="AB224" i="2"/>
  <c r="AA224" i="2"/>
  <c r="Z224" i="2"/>
  <c r="Y224" i="2"/>
  <c r="X224" i="2"/>
  <c r="W224" i="2"/>
  <c r="AB223" i="2"/>
  <c r="AA223" i="2"/>
  <c r="Z223" i="2"/>
  <c r="Y223" i="2"/>
  <c r="X223" i="2"/>
  <c r="W223" i="2"/>
  <c r="AB222" i="2"/>
  <c r="AA222" i="2"/>
  <c r="Z222" i="2"/>
  <c r="Y222" i="2"/>
  <c r="X222" i="2"/>
  <c r="W222" i="2"/>
  <c r="AB220" i="2"/>
  <c r="AA220" i="2"/>
  <c r="Z220" i="2"/>
  <c r="Y220" i="2"/>
  <c r="X220" i="2"/>
  <c r="W220" i="2"/>
  <c r="AB219" i="2"/>
  <c r="AA219" i="2"/>
  <c r="Z219" i="2"/>
  <c r="Y219" i="2"/>
  <c r="X219" i="2"/>
  <c r="W219" i="2"/>
  <c r="AB215" i="2"/>
  <c r="AA215" i="2"/>
  <c r="Z215" i="2"/>
  <c r="Y215" i="2"/>
  <c r="X215" i="2"/>
  <c r="W215" i="2"/>
  <c r="AB214" i="2"/>
  <c r="AA214" i="2"/>
  <c r="Z214" i="2"/>
  <c r="Y214" i="2"/>
  <c r="X214" i="2"/>
  <c r="W214" i="2"/>
  <c r="AB213" i="2"/>
  <c r="AA213" i="2"/>
  <c r="Z213" i="2"/>
  <c r="Y213" i="2"/>
  <c r="X213" i="2"/>
  <c r="W213" i="2"/>
  <c r="AB212" i="2"/>
  <c r="AA212" i="2"/>
  <c r="Z212" i="2"/>
  <c r="Y212" i="2"/>
  <c r="X212" i="2"/>
  <c r="W212" i="2"/>
  <c r="AB211" i="2"/>
  <c r="AA211" i="2"/>
  <c r="Z211" i="2"/>
  <c r="Y211" i="2"/>
  <c r="X211" i="2"/>
  <c r="W211" i="2"/>
  <c r="AB210" i="2"/>
  <c r="AA210" i="2"/>
  <c r="Z210" i="2"/>
  <c r="Y210" i="2"/>
  <c r="X210" i="2"/>
  <c r="W210" i="2"/>
  <c r="AB208" i="2"/>
  <c r="AA208" i="2"/>
  <c r="Z208" i="2"/>
  <c r="Y208" i="2"/>
  <c r="X208" i="2"/>
  <c r="W208" i="2"/>
  <c r="AB207" i="2"/>
  <c r="AA207" i="2"/>
  <c r="Z207" i="2"/>
  <c r="Y207" i="2"/>
  <c r="X207" i="2"/>
  <c r="W207" i="2"/>
  <c r="AB184" i="2"/>
  <c r="AA184" i="2"/>
  <c r="Z184" i="2"/>
  <c r="Y184" i="2"/>
  <c r="X184" i="2"/>
  <c r="W184" i="2"/>
  <c r="AB183" i="2"/>
  <c r="AA183" i="2"/>
  <c r="Z183" i="2"/>
  <c r="Y183" i="2"/>
  <c r="X183" i="2"/>
  <c r="W183" i="2"/>
  <c r="AB182" i="2"/>
  <c r="AA182" i="2"/>
  <c r="Z182" i="2"/>
  <c r="Y182" i="2"/>
  <c r="X182" i="2"/>
  <c r="W182" i="2"/>
  <c r="AB181" i="2"/>
  <c r="AA181" i="2"/>
  <c r="Z181" i="2"/>
  <c r="Y181" i="2"/>
  <c r="X181" i="2"/>
  <c r="W181" i="2"/>
  <c r="AB180" i="2"/>
  <c r="AA180" i="2"/>
  <c r="Z180" i="2"/>
  <c r="Y180" i="2"/>
  <c r="X180" i="2"/>
  <c r="W180" i="2"/>
  <c r="AB179" i="2"/>
  <c r="AA179" i="2"/>
  <c r="Z179" i="2"/>
  <c r="Y179" i="2"/>
  <c r="X179" i="2"/>
  <c r="W179" i="2"/>
  <c r="AB177" i="2"/>
  <c r="AA177" i="2"/>
  <c r="Z177" i="2"/>
  <c r="Y177" i="2"/>
  <c r="X177" i="2"/>
  <c r="W177" i="2"/>
  <c r="AB176" i="2"/>
  <c r="AA176" i="2"/>
  <c r="Z176" i="2"/>
  <c r="Y176" i="2"/>
  <c r="X176" i="2"/>
  <c r="W176" i="2"/>
  <c r="AB163" i="2"/>
  <c r="AA163" i="2"/>
  <c r="Z163" i="2"/>
  <c r="Y163" i="2"/>
  <c r="X163" i="2"/>
  <c r="W163" i="2"/>
  <c r="AB162" i="2"/>
  <c r="AA162" i="2"/>
  <c r="Z162" i="2"/>
  <c r="Y162" i="2"/>
  <c r="X162" i="2"/>
  <c r="W162" i="2"/>
  <c r="AB161" i="2"/>
  <c r="AA161" i="2"/>
  <c r="Z161" i="2"/>
  <c r="Y161" i="2"/>
  <c r="X161" i="2"/>
  <c r="W161" i="2"/>
  <c r="AB160" i="2"/>
  <c r="AA160" i="2"/>
  <c r="Z160" i="2"/>
  <c r="Y160" i="2"/>
  <c r="X160" i="2"/>
  <c r="W160" i="2"/>
  <c r="AB159" i="2"/>
  <c r="AA159" i="2"/>
  <c r="Z159" i="2"/>
  <c r="Y159" i="2"/>
  <c r="X159" i="2"/>
  <c r="W159" i="2"/>
  <c r="AB158" i="2"/>
  <c r="AA158" i="2"/>
  <c r="Z158" i="2"/>
  <c r="Y158" i="2"/>
  <c r="X158" i="2"/>
  <c r="W158" i="2"/>
  <c r="AB157" i="2"/>
  <c r="AA157" i="2"/>
  <c r="Z157" i="2"/>
  <c r="Y157" i="2"/>
  <c r="X157" i="2"/>
  <c r="W157" i="2"/>
  <c r="AB156" i="2"/>
  <c r="AA156" i="2"/>
  <c r="Z156" i="2"/>
  <c r="Y156" i="2"/>
  <c r="X156" i="2"/>
  <c r="W156" i="2"/>
  <c r="AB155" i="2"/>
  <c r="AA155" i="2"/>
  <c r="Z155" i="2"/>
  <c r="Y155" i="2"/>
  <c r="X155" i="2"/>
  <c r="W155" i="2"/>
  <c r="AB141" i="2"/>
  <c r="AA141" i="2"/>
  <c r="Z141" i="2"/>
  <c r="Y141" i="2"/>
  <c r="X141" i="2"/>
  <c r="W141" i="2"/>
  <c r="AB140" i="2"/>
  <c r="AA140" i="2"/>
  <c r="Z140" i="2"/>
  <c r="Y140" i="2"/>
  <c r="X140" i="2"/>
  <c r="W140" i="2"/>
  <c r="AB139" i="2"/>
  <c r="AA139" i="2"/>
  <c r="Z139" i="2"/>
  <c r="Y139" i="2"/>
  <c r="X139" i="2"/>
  <c r="W139" i="2"/>
  <c r="AB138" i="2"/>
  <c r="AA138" i="2"/>
  <c r="Z138" i="2"/>
  <c r="Y138" i="2"/>
  <c r="X138" i="2"/>
  <c r="W138" i="2"/>
  <c r="AB137" i="2"/>
  <c r="AA137" i="2"/>
  <c r="Z137" i="2"/>
  <c r="Y137" i="2"/>
  <c r="X137" i="2"/>
  <c r="W137" i="2"/>
  <c r="AB136" i="2"/>
  <c r="AA136" i="2"/>
  <c r="Z136" i="2"/>
  <c r="Y136" i="2"/>
  <c r="X136" i="2"/>
  <c r="W136" i="2"/>
  <c r="AB106" i="2"/>
  <c r="AA106" i="2"/>
  <c r="Z106" i="2"/>
  <c r="Y106" i="2"/>
  <c r="X106" i="2"/>
  <c r="W106" i="2"/>
  <c r="AB105" i="2"/>
  <c r="AA105" i="2"/>
  <c r="Z105" i="2"/>
  <c r="Y105" i="2"/>
  <c r="X105" i="2"/>
  <c r="W105" i="2"/>
  <c r="AB104" i="2"/>
  <c r="AA104" i="2"/>
  <c r="Z104" i="2"/>
  <c r="Y104" i="2"/>
  <c r="X104" i="2"/>
  <c r="W104" i="2"/>
  <c r="AB103" i="2"/>
  <c r="AA103" i="2"/>
  <c r="Z103" i="2"/>
  <c r="Y103" i="2"/>
  <c r="X103" i="2"/>
  <c r="W103" i="2"/>
  <c r="AB102" i="2"/>
  <c r="AA102" i="2"/>
  <c r="Z102" i="2"/>
  <c r="Y102" i="2"/>
  <c r="X102" i="2"/>
  <c r="W102" i="2"/>
  <c r="AB101" i="2"/>
  <c r="AA101" i="2"/>
  <c r="Z101" i="2"/>
  <c r="Y101" i="2"/>
  <c r="X101" i="2"/>
  <c r="W101" i="2"/>
  <c r="AB71" i="2"/>
  <c r="AA71" i="2"/>
  <c r="Z71" i="2"/>
  <c r="Y71" i="2"/>
  <c r="X71" i="2"/>
  <c r="W71" i="2"/>
  <c r="AB70" i="2"/>
  <c r="AA70" i="2"/>
  <c r="Z70" i="2"/>
  <c r="Y70" i="2"/>
  <c r="X70" i="2"/>
  <c r="W70" i="2"/>
  <c r="AB69" i="2"/>
  <c r="AA69" i="2"/>
  <c r="Z69" i="2"/>
  <c r="Y69" i="2"/>
  <c r="X69" i="2"/>
  <c r="W69" i="2"/>
  <c r="AB64" i="2"/>
  <c r="AA64" i="2"/>
  <c r="Z64" i="2"/>
  <c r="Y64" i="2"/>
  <c r="X64" i="2"/>
  <c r="W64" i="2"/>
  <c r="AB63" i="2"/>
  <c r="AA63" i="2"/>
  <c r="Z63" i="2"/>
  <c r="Y63" i="2"/>
  <c r="X63" i="2"/>
  <c r="W63" i="2"/>
  <c r="AB62" i="2"/>
  <c r="AA62" i="2"/>
  <c r="Z62" i="2"/>
  <c r="Y62" i="2"/>
  <c r="X62" i="2"/>
  <c r="W62" i="2"/>
  <c r="AB53" i="2"/>
  <c r="AA53" i="2"/>
  <c r="Z53" i="2"/>
  <c r="Y53" i="2"/>
  <c r="X53" i="2"/>
  <c r="W53" i="2"/>
  <c r="AB52" i="2"/>
  <c r="AA52" i="2"/>
  <c r="Z52" i="2"/>
  <c r="Y52" i="2"/>
  <c r="X52" i="2"/>
  <c r="W52" i="2"/>
  <c r="AB51" i="2"/>
  <c r="AA51" i="2"/>
  <c r="Z51" i="2"/>
  <c r="Y51" i="2"/>
  <c r="X51" i="2"/>
  <c r="W51" i="2"/>
  <c r="AB50" i="2"/>
  <c r="AA50" i="2"/>
  <c r="Z50" i="2"/>
  <c r="Y50" i="2"/>
  <c r="X50" i="2"/>
  <c r="W50" i="2"/>
  <c r="AB49" i="2"/>
  <c r="AA49" i="2"/>
  <c r="Z49" i="2"/>
  <c r="Y49" i="2"/>
  <c r="X49" i="2"/>
  <c r="W49" i="2"/>
  <c r="AB48" i="2"/>
  <c r="AA48" i="2"/>
  <c r="Z48" i="2"/>
  <c r="Y48" i="2"/>
  <c r="X48" i="2"/>
  <c r="W48" i="2"/>
  <c r="AB47" i="2"/>
  <c r="AA47" i="2"/>
  <c r="Z47" i="2"/>
  <c r="Y47" i="2"/>
  <c r="X47" i="2"/>
  <c r="W47" i="2"/>
  <c r="AB46" i="2"/>
  <c r="AA46" i="2"/>
  <c r="Z46" i="2"/>
  <c r="Y46" i="2"/>
  <c r="X46" i="2"/>
  <c r="W46" i="2"/>
  <c r="AB44" i="2"/>
  <c r="AA44" i="2"/>
  <c r="Z44" i="2"/>
  <c r="Y44" i="2"/>
  <c r="X44" i="2"/>
  <c r="W44" i="2"/>
  <c r="AB42" i="2"/>
  <c r="AA42" i="2"/>
  <c r="Z42" i="2"/>
  <c r="Y42" i="2"/>
  <c r="X42" i="2"/>
  <c r="W42" i="2"/>
  <c r="AB40" i="2"/>
  <c r="AA40" i="2"/>
  <c r="Z40" i="2"/>
  <c r="Y40" i="2"/>
  <c r="X40" i="2"/>
  <c r="W40" i="2"/>
  <c r="AB36" i="2"/>
  <c r="AA36" i="2"/>
  <c r="Z36" i="2"/>
  <c r="Y36" i="2"/>
  <c r="X36" i="2"/>
  <c r="W36" i="2"/>
  <c r="AB32" i="2"/>
  <c r="AA32" i="2"/>
  <c r="Z32" i="2"/>
  <c r="Y32" i="2"/>
  <c r="X32" i="2"/>
  <c r="W32" i="2"/>
  <c r="AB30" i="2"/>
  <c r="AA30" i="2"/>
  <c r="Z30" i="2"/>
  <c r="Y30" i="2"/>
  <c r="X30" i="2"/>
  <c r="W30" i="2"/>
  <c r="AB28" i="2"/>
  <c r="AA28" i="2"/>
  <c r="Z28" i="2"/>
  <c r="Y28" i="2"/>
  <c r="X28" i="2"/>
  <c r="W28" i="2"/>
  <c r="AB25" i="2"/>
  <c r="AA25" i="2"/>
  <c r="Z25" i="2"/>
  <c r="Y25" i="2"/>
  <c r="X25" i="2"/>
  <c r="W25" i="2"/>
  <c r="AB24" i="2"/>
  <c r="AA24" i="2"/>
  <c r="Z24" i="2"/>
  <c r="Y24" i="2"/>
  <c r="X24" i="2"/>
  <c r="W24" i="2"/>
  <c r="AB23" i="2"/>
  <c r="AA23" i="2"/>
  <c r="Z23" i="2"/>
  <c r="Y23" i="2"/>
  <c r="X23" i="2"/>
  <c r="W23" i="2"/>
  <c r="AB22" i="2"/>
  <c r="AA22" i="2"/>
  <c r="Z22" i="2"/>
  <c r="Y22" i="2"/>
  <c r="X22" i="2"/>
  <c r="W22" i="2"/>
  <c r="AB21" i="2"/>
  <c r="AA21" i="2"/>
  <c r="Z21" i="2"/>
  <c r="Y21" i="2"/>
  <c r="X21" i="2"/>
  <c r="W21" i="2"/>
  <c r="AB12" i="2"/>
  <c r="AA12" i="2"/>
  <c r="Z12" i="2"/>
  <c r="Y12" i="2"/>
  <c r="X12" i="2"/>
  <c r="W12" i="2"/>
  <c r="AB11" i="2"/>
  <c r="AA11" i="2"/>
  <c r="Z11" i="2"/>
  <c r="Y11" i="2"/>
  <c r="X11" i="2"/>
  <c r="W11" i="2"/>
  <c r="AB10" i="2"/>
  <c r="AA10" i="2"/>
  <c r="Z10" i="2"/>
  <c r="Y10" i="2"/>
  <c r="X10" i="2"/>
  <c r="W10" i="2"/>
  <c r="AB6" i="2"/>
  <c r="AA6" i="2"/>
  <c r="Z6" i="2"/>
  <c r="Y6" i="2"/>
  <c r="X6" i="2"/>
  <c r="W6" i="2"/>
  <c r="AB5" i="2"/>
  <c r="AA5" i="2"/>
  <c r="Z5" i="2"/>
  <c r="Y5" i="2"/>
  <c r="X5" i="2"/>
  <c r="W5" i="2"/>
  <c r="AB4" i="2"/>
  <c r="AA4" i="2"/>
  <c r="Z4" i="2"/>
  <c r="Y4" i="2"/>
  <c r="X4" i="2"/>
  <c r="W4" i="2"/>
  <c r="AB3" i="2"/>
  <c r="AA3" i="2"/>
  <c r="Z3" i="2"/>
  <c r="Y3" i="2"/>
  <c r="X3" i="2"/>
  <c r="W3" i="2"/>
  <c r="AB1" i="2"/>
  <c r="AA1" i="2"/>
  <c r="Z1" i="2"/>
  <c r="Y1" i="2"/>
  <c r="X1" i="2"/>
  <c r="W1" i="2"/>
  <c r="K23" i="2" a="1"/>
  <c r="K23" i="2" s="1"/>
  <c r="K251" i="2" s="1"/>
  <c r="K5" i="2" a="1"/>
  <c r="K5" i="2" s="1"/>
  <c r="K1" i="2"/>
  <c r="K22" i="2" s="1" a="1"/>
  <c r="K22" i="2" s="1"/>
  <c r="AB81" i="9"/>
  <c r="AB80" i="9"/>
  <c r="AB79" i="9"/>
  <c r="AB78" i="9"/>
  <c r="AB77" i="9"/>
  <c r="AB76" i="9"/>
  <c r="AB87" i="9"/>
  <c r="AB86" i="9"/>
  <c r="AB85" i="9"/>
  <c r="AB84" i="9"/>
  <c r="AB83" i="9"/>
  <c r="AB82" i="9"/>
  <c r="AB93" i="9"/>
  <c r="AB92" i="9"/>
  <c r="AB91" i="9"/>
  <c r="AB90" i="9"/>
  <c r="AB89" i="9"/>
  <c r="AB88" i="9"/>
  <c r="AB40" i="9"/>
  <c r="AB39" i="9"/>
  <c r="AB38" i="9"/>
  <c r="AB37" i="9"/>
  <c r="AB36" i="9"/>
  <c r="AB35" i="9"/>
  <c r="AB34" i="9"/>
  <c r="AB33" i="9"/>
  <c r="AB32" i="9"/>
  <c r="AB31" i="9"/>
  <c r="AB30" i="9"/>
  <c r="AB29" i="9"/>
  <c r="AB28" i="9"/>
  <c r="AB27" i="9"/>
  <c r="AB26" i="9"/>
  <c r="AB25" i="9"/>
  <c r="AB24" i="9"/>
  <c r="AB23" i="9"/>
  <c r="AB22" i="9"/>
  <c r="AB21" i="9"/>
  <c r="AB20" i="9"/>
  <c r="AB19" i="9"/>
  <c r="AB18" i="9"/>
  <c r="AB17" i="9"/>
  <c r="AB16" i="9"/>
  <c r="AB15" i="9"/>
  <c r="AB14" i="9"/>
  <c r="AB13" i="9"/>
  <c r="C3" i="14"/>
  <c r="B3" i="14"/>
  <c r="S254" i="2"/>
  <c r="S255" i="2"/>
  <c r="S256" i="2"/>
  <c r="S257" i="2"/>
  <c r="S258" i="2"/>
  <c r="U74" i="9"/>
  <c r="T74" i="9"/>
  <c r="S74" i="9"/>
  <c r="R74" i="9"/>
  <c r="Q74" i="9"/>
  <c r="P74" i="9"/>
  <c r="O74" i="9"/>
  <c r="N74" i="9"/>
  <c r="M74" i="9"/>
  <c r="L74" i="9"/>
  <c r="K74" i="9"/>
  <c r="U73" i="9"/>
  <c r="T73" i="9"/>
  <c r="S73" i="9"/>
  <c r="R73" i="9"/>
  <c r="Q73" i="9"/>
  <c r="P73" i="9"/>
  <c r="O73" i="9"/>
  <c r="N73" i="9"/>
  <c r="M73" i="9"/>
  <c r="L73" i="9"/>
  <c r="K73" i="9"/>
  <c r="H73" i="9"/>
  <c r="G73" i="9"/>
  <c r="F73" i="9"/>
  <c r="E73" i="9"/>
  <c r="D73" i="9"/>
  <c r="C73" i="9"/>
  <c r="B73" i="9"/>
  <c r="A73" i="9"/>
  <c r="S132" i="2"/>
  <c r="S131" i="2"/>
  <c r="S97" i="2"/>
  <c r="S96" i="2"/>
  <c r="K4" i="2" l="1" a="1"/>
  <c r="K4" i="2" s="1"/>
  <c r="K6" i="2" s="1" a="1"/>
  <c r="K6" i="2" s="1"/>
  <c r="K250" i="2"/>
  <c r="K94" i="2"/>
  <c r="K38" i="2"/>
  <c r="AA38" i="2" s="1"/>
  <c r="K27" i="2" a="1"/>
  <c r="K27" i="2" s="1"/>
  <c r="K129" i="2" a="1"/>
  <c r="K129" i="2" s="1"/>
  <c r="K35" i="2" a="1"/>
  <c r="K35" i="2" s="1"/>
  <c r="AA35" i="2" s="1"/>
  <c r="K25" i="2" a="1"/>
  <c r="K25" i="2" s="1"/>
  <c r="K26" i="2" a="1"/>
  <c r="K26" i="2" s="1"/>
  <c r="K61" i="2" s="1" a="1"/>
  <c r="K61" i="2" s="1"/>
  <c r="AA61" i="2" s="1"/>
  <c r="K34" i="2" a="1"/>
  <c r="K34" i="2" s="1"/>
  <c r="AA34" i="2" s="1"/>
  <c r="K149" i="2" a="1"/>
  <c r="K149" i="2" s="1"/>
  <c r="K33" i="2" a="1"/>
  <c r="K33" i="2" s="1"/>
  <c r="AA33" i="2" s="1"/>
  <c r="K39" i="2"/>
  <c r="AA39" i="2" s="1"/>
  <c r="K60" i="2" a="1"/>
  <c r="K60" i="2" s="1"/>
  <c r="AA60" i="2" s="1"/>
  <c r="K59" i="2" a="1"/>
  <c r="K59" i="2" s="1"/>
  <c r="AA59" i="2" s="1"/>
  <c r="K43" i="2" a="1"/>
  <c r="K43" i="2" s="1"/>
  <c r="AA43" i="2" s="1"/>
  <c r="K24" i="2" a="1"/>
  <c r="K24" i="2" s="1"/>
  <c r="K252" i="2" s="1"/>
  <c r="K58" i="2" a="1"/>
  <c r="K58" i="2" s="1"/>
  <c r="AA58" i="2" s="1"/>
  <c r="K42" i="2" a="1"/>
  <c r="K42" i="2" s="1"/>
  <c r="K57" i="2" a="1"/>
  <c r="K57" i="2" s="1"/>
  <c r="AA57" i="2" s="1"/>
  <c r="K212" i="2"/>
  <c r="K226" i="2"/>
  <c r="K264" i="2"/>
  <c r="K181" i="2"/>
  <c r="K71" i="2"/>
  <c r="K240" i="2"/>
  <c r="K141" i="2"/>
  <c r="K106" i="2"/>
  <c r="K64" i="2"/>
  <c r="K284" i="2"/>
  <c r="K160" i="2"/>
  <c r="G5" i="1"/>
  <c r="N5" i="2"/>
  <c r="G4" i="1" s="1"/>
  <c r="S166" i="2"/>
  <c r="G32" i="1"/>
  <c r="G26" i="1"/>
  <c r="K30" i="2" l="1" a="1"/>
  <c r="K30" i="2" s="1"/>
  <c r="K45" i="2" a="1"/>
  <c r="K45" i="2" s="1"/>
  <c r="AA45" i="2" s="1"/>
  <c r="K253" i="2"/>
  <c r="AA253" i="2" s="1"/>
  <c r="AA26" i="2"/>
  <c r="K41" i="2" a="1"/>
  <c r="K41" i="2" s="1"/>
  <c r="AA41" i="2" s="1"/>
  <c r="K37" i="2" a="1"/>
  <c r="K37" i="2" s="1"/>
  <c r="AA37" i="2" s="1"/>
  <c r="K44" i="2" a="1"/>
  <c r="K44" i="2" s="1"/>
  <c r="K54" i="2" a="1"/>
  <c r="K54" i="2" s="1"/>
  <c r="AA54" i="2" s="1"/>
  <c r="K31" i="2" a="1"/>
  <c r="K31" i="2" s="1"/>
  <c r="AA31" i="2" s="1"/>
  <c r="AA27" i="2"/>
  <c r="K56" i="2" a="1"/>
  <c r="K56" i="2" s="1"/>
  <c r="AA56" i="2" s="1"/>
  <c r="K55" i="2" a="1"/>
  <c r="K55" i="2" s="1"/>
  <c r="AA55" i="2" s="1"/>
  <c r="K12" i="2" a="1"/>
  <c r="K12" i="2" s="1"/>
  <c r="K63" i="2"/>
  <c r="K177" i="2" a="1"/>
  <c r="K177" i="2" s="1"/>
  <c r="K197" i="2"/>
  <c r="AA197" i="2" s="1"/>
  <c r="K65" i="2" a="1"/>
  <c r="K65" i="2" s="1"/>
  <c r="K105" i="2"/>
  <c r="K182" i="2" a="1"/>
  <c r="K182" i="2" s="1"/>
  <c r="K183" i="2" s="1" a="1"/>
  <c r="K183" i="2" s="1"/>
  <c r="K200" i="2"/>
  <c r="AA200" i="2" s="1"/>
  <c r="K70" i="2"/>
  <c r="K239" i="2"/>
  <c r="K267" i="2"/>
  <c r="K207" i="2"/>
  <c r="K9" i="2" a="1"/>
  <c r="K9" i="2" s="1"/>
  <c r="K15" i="2" s="1" a="1"/>
  <c r="K15" i="2" s="1"/>
  <c r="AA15" i="2" s="1"/>
  <c r="K270" i="2" a="1"/>
  <c r="K270" i="2" s="1"/>
  <c r="K140" i="2"/>
  <c r="K11" i="2" a="1"/>
  <c r="K11" i="2" s="1"/>
  <c r="K7" i="2" a="1"/>
  <c r="K7" i="2" s="1"/>
  <c r="K271" i="2" a="1"/>
  <c r="K271" i="2" s="1"/>
  <c r="K159" i="2"/>
  <c r="K283" i="2"/>
  <c r="K272" i="2" a="1"/>
  <c r="K272" i="2" s="1"/>
  <c r="K201" i="2" a="1"/>
  <c r="K201" i="2" s="1"/>
  <c r="K205" i="2" s="1" a="1"/>
  <c r="K205" i="2" s="1"/>
  <c r="AA205" i="2" s="1"/>
  <c r="K209" i="2"/>
  <c r="AA209" i="2" s="1"/>
  <c r="K8" i="2" a="1"/>
  <c r="K8" i="2" s="1"/>
  <c r="AA8" i="2" s="1"/>
  <c r="K208" i="2"/>
  <c r="K211" i="2"/>
  <c r="K176" i="2" a="1"/>
  <c r="K176" i="2" s="1"/>
  <c r="K191" i="2"/>
  <c r="AA191" i="2" s="1"/>
  <c r="K180" i="2"/>
  <c r="K194" i="2"/>
  <c r="AA194" i="2" s="1"/>
  <c r="K185" i="2"/>
  <c r="K199" i="2" s="1" a="1"/>
  <c r="K199" i="2" s="1"/>
  <c r="AA199" i="2" s="1"/>
  <c r="K263" i="2"/>
  <c r="K225" i="2"/>
  <c r="K29" i="2" a="1"/>
  <c r="K29" i="2" s="1"/>
  <c r="AA29" i="2" s="1"/>
  <c r="K48" i="2" a="1"/>
  <c r="K48" i="2" s="1"/>
  <c r="K198" i="2" a="1"/>
  <c r="K198" i="2" s="1"/>
  <c r="AA198" i="2" s="1"/>
  <c r="K186" i="2" a="1"/>
  <c r="K186" i="2" s="1"/>
  <c r="AA186" i="2" s="1"/>
  <c r="K190" i="2" a="1"/>
  <c r="K190" i="2" s="1"/>
  <c r="AA190" i="2" s="1"/>
  <c r="K192" i="2" a="1"/>
  <c r="K192" i="2" s="1"/>
  <c r="AA192" i="2" s="1"/>
  <c r="K50" i="2" a="1"/>
  <c r="K50" i="2" s="1"/>
  <c r="K51" i="2" a="1"/>
  <c r="K51" i="2" s="1"/>
  <c r="K68" i="2" a="1"/>
  <c r="K68" i="2" s="1"/>
  <c r="AA68" i="2" s="1"/>
  <c r="K131" i="2"/>
  <c r="K96" i="2"/>
  <c r="K193" i="2" a="1"/>
  <c r="K193" i="2" s="1"/>
  <c r="AA193" i="2" s="1"/>
  <c r="K32" i="2" a="1"/>
  <c r="K32" i="2" s="1"/>
  <c r="K187" i="2" a="1"/>
  <c r="K187" i="2" s="1"/>
  <c r="AA187" i="2" s="1"/>
  <c r="K215" i="2"/>
  <c r="K243" i="2"/>
  <c r="K229" i="2"/>
  <c r="K268" i="2"/>
  <c r="K18" i="2" a="1"/>
  <c r="K18" i="2" s="1"/>
  <c r="AA18" i="2" s="1"/>
  <c r="K49" i="2" a="1"/>
  <c r="K49" i="2" s="1"/>
  <c r="K52" i="2" a="1"/>
  <c r="K52" i="2" s="1"/>
  <c r="K155" i="2"/>
  <c r="K213" i="2"/>
  <c r="K214" i="2" s="1" a="1"/>
  <c r="K214" i="2" s="1"/>
  <c r="K285" i="2"/>
  <c r="K241" i="2"/>
  <c r="K242" i="2" s="1" a="1"/>
  <c r="K242" i="2" s="1"/>
  <c r="K265" i="2"/>
  <c r="K266" i="2" s="1"/>
  <c r="K227" i="2"/>
  <c r="K101" i="2"/>
  <c r="K161" i="2"/>
  <c r="K136" i="2"/>
  <c r="K36" i="2" a="1"/>
  <c r="K36" i="2" s="1"/>
  <c r="K53" i="2" a="1"/>
  <c r="K53" i="2" s="1"/>
  <c r="K46" i="2" a="1"/>
  <c r="K46" i="2" s="1"/>
  <c r="K28" i="2" a="1"/>
  <c r="K28" i="2" s="1"/>
  <c r="K40" i="2" a="1"/>
  <c r="K40" i="2" s="1"/>
  <c r="K47" i="2" a="1"/>
  <c r="K47" i="2" s="1"/>
  <c r="K258" i="2" a="1"/>
  <c r="K258" i="2" s="1"/>
  <c r="AA258" i="2" s="1"/>
  <c r="K257" i="2" a="1"/>
  <c r="K257" i="2" s="1"/>
  <c r="AA257" i="2" s="1"/>
  <c r="K256" i="2" a="1"/>
  <c r="K256" i="2" s="1"/>
  <c r="AA256" i="2" s="1"/>
  <c r="K255" i="2" a="1"/>
  <c r="K255" i="2" s="1"/>
  <c r="AA255" i="2" s="1"/>
  <c r="K254" i="2" a="1"/>
  <c r="K254" i="2" s="1"/>
  <c r="AA254" i="2" s="1"/>
  <c r="S150" i="2"/>
  <c r="S149" i="2"/>
  <c r="CX1" i="24"/>
  <c r="B6" i="16"/>
  <c r="B7" i="16"/>
  <c r="S261" i="2"/>
  <c r="S260" i="2"/>
  <c r="S259" i="2"/>
  <c r="S154" i="2"/>
  <c r="C92" i="2"/>
  <c r="S103" i="2"/>
  <c r="S102" i="2"/>
  <c r="S101" i="2"/>
  <c r="S100" i="2"/>
  <c r="S99" i="2"/>
  <c r="S98" i="2"/>
  <c r="S95" i="2"/>
  <c r="S94" i="2"/>
  <c r="S93" i="2"/>
  <c r="S129" i="2"/>
  <c r="S135" i="2"/>
  <c r="S134" i="2"/>
  <c r="S133" i="2"/>
  <c r="S153" i="2"/>
  <c r="S152" i="2"/>
  <c r="S151" i="2"/>
  <c r="P120" i="2"/>
  <c r="C127" i="2"/>
  <c r="C126" i="2"/>
  <c r="S126" i="2" s="1"/>
  <c r="C125" i="2"/>
  <c r="C124" i="2"/>
  <c r="C123" i="2"/>
  <c r="C122" i="2"/>
  <c r="C118" i="2"/>
  <c r="C117" i="2"/>
  <c r="C116" i="2"/>
  <c r="C115" i="2"/>
  <c r="C114" i="2"/>
  <c r="S114" i="2" s="1"/>
  <c r="C87" i="2"/>
  <c r="C91" i="2"/>
  <c r="C90" i="2"/>
  <c r="C89" i="2"/>
  <c r="C88" i="2"/>
  <c r="S88" i="2" s="1"/>
  <c r="C83" i="2"/>
  <c r="C82" i="2"/>
  <c r="C81" i="2"/>
  <c r="C80" i="2"/>
  <c r="S80" i="2" s="1"/>
  <c r="C79" i="2"/>
  <c r="S45" i="2"/>
  <c r="S44" i="2"/>
  <c r="S43" i="2"/>
  <c r="S42" i="2"/>
  <c r="S41" i="2"/>
  <c r="S40" i="2"/>
  <c r="S61" i="2"/>
  <c r="S60" i="2"/>
  <c r="S59" i="2"/>
  <c r="S58" i="2"/>
  <c r="S57" i="2"/>
  <c r="S56" i="2"/>
  <c r="S55" i="2"/>
  <c r="S54" i="2"/>
  <c r="S52" i="2"/>
  <c r="S48" i="2"/>
  <c r="S53" i="2"/>
  <c r="S51" i="2"/>
  <c r="S39" i="2"/>
  <c r="S38" i="2"/>
  <c r="S37" i="2"/>
  <c r="S36" i="2"/>
  <c r="S31" i="2"/>
  <c r="S30" i="2"/>
  <c r="S29" i="2"/>
  <c r="S28" i="2"/>
  <c r="S32" i="2"/>
  <c r="K195" i="2" l="1" a="1"/>
  <c r="K195" i="2" s="1"/>
  <c r="AA195" i="2" s="1"/>
  <c r="K196" i="2" a="1"/>
  <c r="K196" i="2" s="1"/>
  <c r="AA196" i="2" s="1"/>
  <c r="K17" i="2" a="1"/>
  <c r="K17" i="2" s="1"/>
  <c r="AA17" i="2" s="1"/>
  <c r="K178" i="2"/>
  <c r="AA178" i="2" s="1"/>
  <c r="K203" i="2" a="1"/>
  <c r="K203" i="2" s="1"/>
  <c r="AA203" i="2" s="1"/>
  <c r="K19" i="2" a="1"/>
  <c r="K19" i="2" s="1"/>
  <c r="AA19" i="2" s="1"/>
  <c r="K16" i="2" a="1"/>
  <c r="K16" i="2" s="1"/>
  <c r="K144" i="2" s="1"/>
  <c r="K275" i="2"/>
  <c r="AA275" i="2" s="1"/>
  <c r="AA272" i="2"/>
  <c r="K274" i="2"/>
  <c r="AA274" i="2" s="1"/>
  <c r="AA271" i="2"/>
  <c r="K189" i="2" a="1"/>
  <c r="K189" i="2" s="1"/>
  <c r="AA189" i="2" s="1"/>
  <c r="AA185" i="2"/>
  <c r="K151" i="2"/>
  <c r="AA151" i="2" s="1"/>
  <c r="AA7" i="2"/>
  <c r="K13" i="2" a="1"/>
  <c r="K13" i="2" s="1"/>
  <c r="AA9" i="2"/>
  <c r="K20" i="2" a="1"/>
  <c r="K20" i="2" s="1"/>
  <c r="K66" i="2" a="1"/>
  <c r="K66" i="2" s="1"/>
  <c r="AA66" i="2" s="1"/>
  <c r="AA65" i="2"/>
  <c r="K14" i="2" a="1"/>
  <c r="K14" i="2" s="1"/>
  <c r="K206" i="2" a="1"/>
  <c r="K206" i="2" s="1"/>
  <c r="AA206" i="2" s="1"/>
  <c r="AA201" i="2"/>
  <c r="K273" i="2"/>
  <c r="AA270" i="2"/>
  <c r="K184" i="2" a="1"/>
  <c r="K184" i="2" s="1"/>
  <c r="K133" i="2"/>
  <c r="AA133" i="2" s="1"/>
  <c r="K287" i="2"/>
  <c r="AA287" i="2" s="1"/>
  <c r="K98" i="2"/>
  <c r="AA98" i="2" s="1"/>
  <c r="K202" i="2" a="1"/>
  <c r="K202" i="2" s="1"/>
  <c r="AA202" i="2" s="1"/>
  <c r="K230" i="2"/>
  <c r="AA230" i="2" s="1"/>
  <c r="K67" i="2" a="1"/>
  <c r="K67" i="2" s="1"/>
  <c r="AA67" i="2" s="1"/>
  <c r="AC101" i="2"/>
  <c r="AC102" i="2"/>
  <c r="K170" i="2"/>
  <c r="AA170" i="2" s="1"/>
  <c r="AC103" i="2"/>
  <c r="K204" i="2" a="1"/>
  <c r="K204" i="2" s="1"/>
  <c r="AA204" i="2" s="1"/>
  <c r="AC36" i="2"/>
  <c r="AC261" i="2"/>
  <c r="AC51" i="2"/>
  <c r="AC48" i="2"/>
  <c r="K259" i="2"/>
  <c r="K261" i="2" s="1"/>
  <c r="AC52" i="2"/>
  <c r="K188" i="2" a="1"/>
  <c r="K188" i="2" s="1"/>
  <c r="AA188" i="2" s="1"/>
  <c r="K278" i="2"/>
  <c r="AA278" i="2" s="1"/>
  <c r="K164" i="2"/>
  <c r="AA164" i="2" s="1"/>
  <c r="K269" i="2"/>
  <c r="AA269" i="2" s="1"/>
  <c r="K10" i="2"/>
  <c r="K76" i="2"/>
  <c r="K146" i="2"/>
  <c r="K286" i="2"/>
  <c r="K289" i="2"/>
  <c r="K165" i="2" a="1"/>
  <c r="K165" i="2" s="1"/>
  <c r="AA165" i="2" s="1"/>
  <c r="K166" i="2" a="1"/>
  <c r="K166" i="2" s="1"/>
  <c r="AA166" i="2" s="1"/>
  <c r="K152" i="2" a="1"/>
  <c r="K152" i="2" s="1"/>
  <c r="AA152" i="2" s="1"/>
  <c r="K277" i="2"/>
  <c r="K137" i="2" a="1"/>
  <c r="K137" i="2" s="1"/>
  <c r="K138" i="2" a="1"/>
  <c r="K138" i="2" s="1"/>
  <c r="K163" i="2" a="1"/>
  <c r="K163" i="2" s="1"/>
  <c r="K162" i="2" a="1"/>
  <c r="K162" i="2" s="1"/>
  <c r="K103" i="2" a="1"/>
  <c r="K103" i="2" s="1"/>
  <c r="K102" i="2" a="1"/>
  <c r="K102" i="2" s="1"/>
  <c r="K157" i="2" a="1"/>
  <c r="K157" i="2" s="1"/>
  <c r="K156" i="2" a="1"/>
  <c r="K156" i="2" s="1"/>
  <c r="C120" i="2"/>
  <c r="T260" i="2"/>
  <c r="U260" i="2"/>
  <c r="R260" i="2" s="1"/>
  <c r="AC260" i="2"/>
  <c r="V260" i="2"/>
  <c r="T261" i="2"/>
  <c r="U261" i="2"/>
  <c r="R261" i="2" s="1"/>
  <c r="V261" i="2"/>
  <c r="V103" i="2"/>
  <c r="T101" i="2"/>
  <c r="T102" i="2"/>
  <c r="T103" i="2"/>
  <c r="U101" i="2"/>
  <c r="R101" i="2" s="1"/>
  <c r="U102" i="2"/>
  <c r="R102" i="2" s="1"/>
  <c r="U103" i="2"/>
  <c r="R103" i="2" s="1"/>
  <c r="V101" i="2"/>
  <c r="V102" i="2"/>
  <c r="C119" i="2"/>
  <c r="T52" i="2"/>
  <c r="U52" i="2"/>
  <c r="R52" i="2" s="1"/>
  <c r="V52" i="2"/>
  <c r="T48" i="2"/>
  <c r="U48" i="2"/>
  <c r="R48" i="2" s="1"/>
  <c r="V48" i="2"/>
  <c r="V53" i="2"/>
  <c r="U53" i="2"/>
  <c r="R53" i="2" s="1"/>
  <c r="AC53" i="2"/>
  <c r="T53" i="2"/>
  <c r="T51" i="2"/>
  <c r="V51" i="2"/>
  <c r="U51" i="2"/>
  <c r="R51" i="2" s="1"/>
  <c r="T36" i="2"/>
  <c r="U36" i="2"/>
  <c r="R36" i="2" s="1"/>
  <c r="V36" i="2"/>
  <c r="U30" i="2"/>
  <c r="R30" i="2" s="1"/>
  <c r="AC30" i="2"/>
  <c r="V30" i="2"/>
  <c r="T30" i="2"/>
  <c r="U28" i="2"/>
  <c r="R28" i="2" s="1"/>
  <c r="V28" i="2"/>
  <c r="AC28" i="2"/>
  <c r="T28" i="2"/>
  <c r="K100" i="2" l="1" a="1"/>
  <c r="K100" i="2" s="1"/>
  <c r="AA100" i="2" s="1"/>
  <c r="K290" i="2"/>
  <c r="K288" i="2"/>
  <c r="AA288" i="2" s="1"/>
  <c r="K171" i="2" a="1"/>
  <c r="K171" i="2" s="1"/>
  <c r="AA171" i="2" s="1"/>
  <c r="K134" i="2" a="1"/>
  <c r="K134" i="2" s="1"/>
  <c r="AA134" i="2" s="1"/>
  <c r="K111" i="2"/>
  <c r="AA20" i="2"/>
  <c r="K244" i="2"/>
  <c r="AA244" i="2" s="1"/>
  <c r="AA13" i="2"/>
  <c r="K145" i="2" a="1"/>
  <c r="K145" i="2" s="1"/>
  <c r="AA145" i="2" s="1"/>
  <c r="AA144" i="2"/>
  <c r="K99" i="2" a="1"/>
  <c r="K99" i="2" s="1"/>
  <c r="AA99" i="2" s="1"/>
  <c r="K276" i="2"/>
  <c r="AA276" i="2" s="1"/>
  <c r="AA273" i="2"/>
  <c r="K72" i="2"/>
  <c r="AA14" i="2"/>
  <c r="K216" i="2"/>
  <c r="K142" i="2"/>
  <c r="K291" i="2"/>
  <c r="AA291" i="2" s="1"/>
  <c r="AA290" i="2"/>
  <c r="K173" i="2" a="1"/>
  <c r="K173" i="2" s="1"/>
  <c r="AA173" i="2" s="1"/>
  <c r="K175" i="2" a="1"/>
  <c r="K175" i="2" s="1"/>
  <c r="AA175" i="2" s="1"/>
  <c r="K77" i="2" a="1"/>
  <c r="K77" i="2" s="1"/>
  <c r="AA77" i="2" s="1"/>
  <c r="AA76" i="2"/>
  <c r="K279" i="2"/>
  <c r="AA279" i="2" s="1"/>
  <c r="AA277" i="2"/>
  <c r="K174" i="2" a="1"/>
  <c r="K174" i="2" s="1"/>
  <c r="AA174" i="2" s="1"/>
  <c r="K147" i="2" a="1"/>
  <c r="K147" i="2" s="1"/>
  <c r="AA147" i="2" s="1"/>
  <c r="AA146" i="2"/>
  <c r="K235" i="2"/>
  <c r="AA235" i="2" s="1"/>
  <c r="K153" i="2" a="1"/>
  <c r="K153" i="2" s="1"/>
  <c r="AA153" i="2" s="1"/>
  <c r="K107" i="2"/>
  <c r="AA16" i="2"/>
  <c r="K172" i="2" a="1"/>
  <c r="K172" i="2" s="1"/>
  <c r="AA172" i="2" s="1"/>
  <c r="K135" i="2" a="1"/>
  <c r="K135" i="2" s="1"/>
  <c r="AA135" i="2" s="1"/>
  <c r="K154" i="2" a="1"/>
  <c r="K154" i="2" s="1"/>
  <c r="AA154" i="2" s="1"/>
  <c r="K167" i="2" a="1"/>
  <c r="K167" i="2" s="1"/>
  <c r="AA167" i="2" s="1"/>
  <c r="K169" i="2" a="1"/>
  <c r="K169" i="2" s="1"/>
  <c r="AA169" i="2" s="1"/>
  <c r="K168" i="2" a="1"/>
  <c r="K168" i="2" s="1"/>
  <c r="AA168" i="2" s="1"/>
  <c r="M1" i="2" a="1"/>
  <c r="M1" i="2" s="1"/>
  <c r="AB99" i="9"/>
  <c r="AB98" i="9"/>
  <c r="AB97" i="9"/>
  <c r="AB96" i="9"/>
  <c r="AB95" i="9"/>
  <c r="AB94" i="9"/>
  <c r="AB75" i="9"/>
  <c r="AB70" i="9"/>
  <c r="AB69" i="9"/>
  <c r="AB68" i="9"/>
  <c r="AB67" i="9"/>
  <c r="AB66" i="9"/>
  <c r="AB65" i="9"/>
  <c r="AB64" i="9"/>
  <c r="AB63" i="9"/>
  <c r="AB62" i="9"/>
  <c r="AB61" i="9"/>
  <c r="AB60" i="9"/>
  <c r="AB59" i="9"/>
  <c r="AB58" i="9"/>
  <c r="AB57" i="9"/>
  <c r="AB56" i="9"/>
  <c r="AB55" i="9"/>
  <c r="AB54" i="9"/>
  <c r="AB53" i="9"/>
  <c r="AB52" i="9"/>
  <c r="AB51" i="9"/>
  <c r="AB50" i="9"/>
  <c r="AB49" i="9"/>
  <c r="AB48" i="9"/>
  <c r="AB47" i="9"/>
  <c r="AB46" i="9"/>
  <c r="AB45" i="9"/>
  <c r="AB44" i="9"/>
  <c r="AB43" i="9"/>
  <c r="AB42" i="9"/>
  <c r="AB41" i="9"/>
  <c r="AB12" i="9"/>
  <c r="J1" i="2"/>
  <c r="CX20" i="24"/>
  <c r="CX19" i="24"/>
  <c r="CX18" i="24"/>
  <c r="CX17" i="24"/>
  <c r="CX16" i="24"/>
  <c r="CX15" i="24"/>
  <c r="CX14" i="24"/>
  <c r="CX13" i="24"/>
  <c r="CX12" i="24"/>
  <c r="CX11" i="24"/>
  <c r="CX10" i="24"/>
  <c r="CX9" i="24"/>
  <c r="CX8" i="24"/>
  <c r="CX7" i="24"/>
  <c r="CX6" i="24"/>
  <c r="CX5" i="24"/>
  <c r="B12" i="24" a="1"/>
  <c r="B11" i="24" a="1"/>
  <c r="B38" i="24" a="1"/>
  <c r="B83" i="24" a="1"/>
  <c r="B36" i="24" a="1"/>
  <c r="B82" i="24" a="1"/>
  <c r="B5" i="24" a="1"/>
  <c r="B54" i="24" a="1"/>
  <c r="B27" i="24" a="1"/>
  <c r="B79" i="24" a="1"/>
  <c r="B32" i="24" a="1"/>
  <c r="B85" i="24" a="1"/>
  <c r="B31" i="24" a="1"/>
  <c r="B13" i="24" a="1"/>
  <c r="B30" i="24" a="1"/>
  <c r="B33" i="24" a="1"/>
  <c r="B29" i="24" a="1"/>
  <c r="B34" i="24" a="1"/>
  <c r="B43" i="24" a="1"/>
  <c r="B14" i="24" a="1"/>
  <c r="B47" i="24" a="1"/>
  <c r="B51" i="24" a="1"/>
  <c r="B24" i="24" a="1"/>
  <c r="B26" i="24" a="1"/>
  <c r="B37" i="24" a="1"/>
  <c r="B46" i="24" a="1"/>
  <c r="B53" i="24" a="1"/>
  <c r="B45" i="24" a="1"/>
  <c r="B17" i="24" a="1"/>
  <c r="B49" i="24" a="1"/>
  <c r="B18" i="24" a="1"/>
  <c r="B80" i="24" a="1"/>
  <c r="B81" i="24" a="1"/>
  <c r="B42" i="24" a="1"/>
  <c r="B50" i="24" a="1"/>
  <c r="B8" i="24" a="1"/>
  <c r="B20" i="24" a="1"/>
  <c r="B84" i="24" a="1"/>
  <c r="B48" i="24" a="1"/>
  <c r="B9" i="24" a="1"/>
  <c r="B19" i="24" a="1"/>
  <c r="B15" i="24" a="1"/>
  <c r="B6" i="24" a="1"/>
  <c r="B7" i="24" a="1"/>
  <c r="B40" i="24" a="1"/>
  <c r="B16" i="24" a="1"/>
  <c r="B23" i="24" a="1"/>
  <c r="B28" i="24" a="1"/>
  <c r="B52" i="24" a="1"/>
  <c r="B78" i="24" a="1"/>
  <c r="B10" i="24" a="1"/>
  <c r="B44" i="24" a="1"/>
  <c r="B25" i="24" a="1"/>
  <c r="B39" i="24" a="1"/>
  <c r="B35" i="24" a="1"/>
  <c r="AA142" i="2" l="1"/>
  <c r="K143" i="2" a="1"/>
  <c r="K143" i="2" s="1"/>
  <c r="AA143" i="2" s="1"/>
  <c r="K150" i="2" a="1"/>
  <c r="K150" i="2" s="1"/>
  <c r="AA150" i="2" s="1"/>
  <c r="K148" i="2" a="1"/>
  <c r="K148" i="2" s="1"/>
  <c r="AA148" i="2" s="1"/>
  <c r="AA107" i="2"/>
  <c r="K108" i="2" a="1"/>
  <c r="K108" i="2" s="1"/>
  <c r="AA108" i="2" s="1"/>
  <c r="K110" i="2" a="1"/>
  <c r="K110" i="2" s="1"/>
  <c r="K109" i="2" a="1"/>
  <c r="K109" i="2" s="1"/>
  <c r="K130" i="2" a="1"/>
  <c r="K130" i="2" s="1"/>
  <c r="AA130" i="2" s="1"/>
  <c r="K128" i="2" a="1"/>
  <c r="K128" i="2" s="1"/>
  <c r="AA72" i="2"/>
  <c r="K95" i="2" a="1"/>
  <c r="K95" i="2" s="1"/>
  <c r="AA95" i="2" s="1"/>
  <c r="K75" i="2" a="1"/>
  <c r="K75" i="2" s="1"/>
  <c r="K74" i="2" a="1"/>
  <c r="K74" i="2" s="1"/>
  <c r="K93" i="2" a="1"/>
  <c r="K93" i="2" s="1"/>
  <c r="K73" i="2" a="1"/>
  <c r="K73" i="2" s="1"/>
  <c r="AA73" i="2" s="1"/>
  <c r="AA216" i="2"/>
  <c r="K221" i="2"/>
  <c r="AA221" i="2" s="1"/>
  <c r="K112" i="2" a="1"/>
  <c r="K112" i="2" s="1"/>
  <c r="AA112" i="2" s="1"/>
  <c r="AA111" i="2"/>
  <c r="B80" i="24"/>
  <c r="B82" i="24"/>
  <c r="B83" i="24"/>
  <c r="B84" i="24"/>
  <c r="B85" i="24"/>
  <c r="B81" i="24"/>
  <c r="B79" i="24"/>
  <c r="B78" i="24"/>
  <c r="J4" i="2" a="1"/>
  <c r="J4" i="2" s="1"/>
  <c r="J22" i="2" a="1"/>
  <c r="J22" i="2" s="1"/>
  <c r="J23" i="2" a="1"/>
  <c r="J23" i="2" s="1"/>
  <c r="J5" i="2" a="1"/>
  <c r="J5" i="2" s="1"/>
  <c r="J106" i="2" s="1"/>
  <c r="B16" i="24"/>
  <c r="B17" i="24"/>
  <c r="B18" i="24"/>
  <c r="B11" i="24"/>
  <c r="B20" i="24"/>
  <c r="B6" i="24"/>
  <c r="B14" i="24"/>
  <c r="B5" i="24"/>
  <c r="B8" i="24"/>
  <c r="B9" i="24"/>
  <c r="B10" i="24"/>
  <c r="B19" i="24"/>
  <c r="B12" i="24"/>
  <c r="B13" i="24"/>
  <c r="B7" i="24"/>
  <c r="B15" i="24"/>
  <c r="B42" i="24"/>
  <c r="B43" i="24"/>
  <c r="B44" i="24"/>
  <c r="B45" i="24"/>
  <c r="B46" i="24"/>
  <c r="B47" i="24"/>
  <c r="B48" i="24"/>
  <c r="B49" i="24"/>
  <c r="B23" i="24"/>
  <c r="B24" i="24"/>
  <c r="B25" i="24"/>
  <c r="B26" i="24"/>
  <c r="B27" i="24"/>
  <c r="B28" i="24"/>
  <c r="B29" i="24"/>
  <c r="B30" i="24"/>
  <c r="B31" i="24"/>
  <c r="B37" i="24"/>
  <c r="B39" i="24"/>
  <c r="B40" i="24"/>
  <c r="B34" i="24"/>
  <c r="B38" i="24"/>
  <c r="B36" i="24"/>
  <c r="B32" i="24"/>
  <c r="B33" i="24"/>
  <c r="B35" i="24"/>
  <c r="B51" i="24"/>
  <c r="B50" i="24"/>
  <c r="B52" i="24"/>
  <c r="B53" i="24"/>
  <c r="B54" i="24"/>
  <c r="CX4" i="24"/>
  <c r="CW2" i="24"/>
  <c r="CV2" i="24"/>
  <c r="CU2" i="24"/>
  <c r="CT2" i="24"/>
  <c r="CS2" i="24"/>
  <c r="CR2" i="24"/>
  <c r="CQ2" i="24"/>
  <c r="CP2" i="24"/>
  <c r="CO2" i="24"/>
  <c r="CN2" i="24"/>
  <c r="CM2" i="24"/>
  <c r="CL2" i="24"/>
  <c r="CK2" i="24"/>
  <c r="CJ2" i="24"/>
  <c r="CI2" i="24"/>
  <c r="CH2" i="24"/>
  <c r="CG2" i="24"/>
  <c r="CF2" i="24"/>
  <c r="CE2" i="24"/>
  <c r="CD2" i="24"/>
  <c r="CC2" i="24"/>
  <c r="CB2" i="24"/>
  <c r="CA2" i="24"/>
  <c r="BZ2" i="24"/>
  <c r="BY2" i="24"/>
  <c r="BX2" i="24"/>
  <c r="BW2" i="24"/>
  <c r="BV2" i="24"/>
  <c r="BU2" i="24"/>
  <c r="BT2" i="24"/>
  <c r="BS2" i="24"/>
  <c r="BR2" i="24"/>
  <c r="BQ2" i="24"/>
  <c r="BP2" i="24"/>
  <c r="BO2" i="24"/>
  <c r="BN2" i="24"/>
  <c r="BM2" i="24"/>
  <c r="BL2" i="24"/>
  <c r="BK2" i="24"/>
  <c r="BJ2" i="24"/>
  <c r="BI2" i="24"/>
  <c r="BH2" i="24"/>
  <c r="BG2" i="24"/>
  <c r="BF2" i="24"/>
  <c r="BE2" i="24"/>
  <c r="BD2" i="24"/>
  <c r="BC2" i="24"/>
  <c r="BB2" i="24"/>
  <c r="BA2" i="24"/>
  <c r="AZ2" i="24"/>
  <c r="AY2" i="24"/>
  <c r="AX2" i="24"/>
  <c r="AW2" i="24"/>
  <c r="AV2" i="24"/>
  <c r="AU2" i="24"/>
  <c r="AT2" i="24"/>
  <c r="AS2" i="24"/>
  <c r="AR2" i="24"/>
  <c r="AQ2" i="24"/>
  <c r="AP2" i="24"/>
  <c r="AO2" i="24"/>
  <c r="AN2" i="24"/>
  <c r="AM2" i="24"/>
  <c r="AL2" i="24"/>
  <c r="AK2" i="24"/>
  <c r="AJ2" i="24"/>
  <c r="AI2" i="24"/>
  <c r="AH2" i="24"/>
  <c r="AG2" i="24"/>
  <c r="AF2" i="24"/>
  <c r="AE2" i="24"/>
  <c r="AD2" i="24"/>
  <c r="AC2" i="24"/>
  <c r="AB2" i="24"/>
  <c r="AA2" i="24"/>
  <c r="Z2" i="24"/>
  <c r="Y2" i="24"/>
  <c r="X2" i="24"/>
  <c r="W2" i="24"/>
  <c r="V2" i="24"/>
  <c r="U2" i="24"/>
  <c r="T2" i="24"/>
  <c r="S2" i="24"/>
  <c r="R2" i="24"/>
  <c r="Q2" i="24"/>
  <c r="P2" i="24"/>
  <c r="O2" i="24"/>
  <c r="N2" i="24"/>
  <c r="M2" i="24"/>
  <c r="L2" i="24"/>
  <c r="K2" i="24"/>
  <c r="J2" i="24"/>
  <c r="I2" i="24"/>
  <c r="H2" i="24"/>
  <c r="G2" i="24"/>
  <c r="F2" i="24"/>
  <c r="E2" i="24"/>
  <c r="D2" i="24"/>
  <c r="C2" i="24"/>
  <c r="B2" i="24"/>
  <c r="B11" i="16"/>
  <c r="S253" i="2"/>
  <c r="S252" i="2"/>
  <c r="S251" i="2"/>
  <c r="S250" i="2"/>
  <c r="S249" i="2"/>
  <c r="Q249" i="2"/>
  <c r="A8" i="9"/>
  <c r="F1" i="1"/>
  <c r="F2" i="1" s="1"/>
  <c r="E1" i="1"/>
  <c r="D1" i="1"/>
  <c r="L1" i="2"/>
  <c r="L23" i="2" s="1" a="1"/>
  <c r="L23" i="2" s="1"/>
  <c r="I1" i="2"/>
  <c r="I23" i="2" s="1" a="1"/>
  <c r="I23" i="2" s="1"/>
  <c r="H1" i="2"/>
  <c r="H5" i="2" s="1" a="1"/>
  <c r="H5" i="2" s="1"/>
  <c r="H106" i="2" s="1"/>
  <c r="G1" i="2"/>
  <c r="G23" i="2" s="1" a="1"/>
  <c r="G23" i="2" s="1"/>
  <c r="F1" i="2"/>
  <c r="F23" i="2" s="1" a="1"/>
  <c r="F23" i="2" s="1"/>
  <c r="N180" i="2"/>
  <c r="S193" i="2"/>
  <c r="S192" i="2"/>
  <c r="S191" i="2"/>
  <c r="S190" i="2"/>
  <c r="S189" i="2"/>
  <c r="S188" i="2"/>
  <c r="S187" i="2"/>
  <c r="S186" i="2"/>
  <c r="S201" i="2"/>
  <c r="S200" i="2"/>
  <c r="S199" i="2"/>
  <c r="S198" i="2"/>
  <c r="S197" i="2"/>
  <c r="S196" i="2"/>
  <c r="S195" i="2"/>
  <c r="S194" i="2"/>
  <c r="S209" i="2"/>
  <c r="S208" i="2"/>
  <c r="S207" i="2"/>
  <c r="S206" i="2"/>
  <c r="S205" i="2"/>
  <c r="S204" i="2"/>
  <c r="S203" i="2"/>
  <c r="S202" i="2"/>
  <c r="S185" i="2"/>
  <c r="S184" i="2"/>
  <c r="S183" i="2"/>
  <c r="S182" i="2"/>
  <c r="S181" i="2"/>
  <c r="S180" i="2"/>
  <c r="S179" i="2"/>
  <c r="Q179" i="2"/>
  <c r="S49" i="2"/>
  <c r="E30" i="7"/>
  <c r="E29" i="7"/>
  <c r="E28" i="7"/>
  <c r="E27" i="7"/>
  <c r="S327" i="2"/>
  <c r="S326" i="2"/>
  <c r="S325" i="2"/>
  <c r="S324" i="2"/>
  <c r="S323" i="2"/>
  <c r="Q323" i="2"/>
  <c r="S322" i="2"/>
  <c r="S321" i="2"/>
  <c r="S320" i="2"/>
  <c r="S319" i="2"/>
  <c r="S318" i="2"/>
  <c r="Q318" i="2"/>
  <c r="S317" i="2"/>
  <c r="S316" i="2"/>
  <c r="S315" i="2"/>
  <c r="S314" i="2"/>
  <c r="S313" i="2"/>
  <c r="Q313" i="2"/>
  <c r="S312" i="2"/>
  <c r="S311" i="2"/>
  <c r="S310" i="2"/>
  <c r="S309" i="2"/>
  <c r="S308" i="2"/>
  <c r="Q308" i="2"/>
  <c r="S307" i="2"/>
  <c r="S306" i="2"/>
  <c r="S305" i="2"/>
  <c r="S304" i="2"/>
  <c r="S303" i="2"/>
  <c r="S302" i="2"/>
  <c r="Q302" i="2"/>
  <c r="S301" i="2"/>
  <c r="S300" i="2"/>
  <c r="S299" i="2"/>
  <c r="S298" i="2"/>
  <c r="S297" i="2"/>
  <c r="S296" i="2"/>
  <c r="S295" i="2"/>
  <c r="S294" i="2"/>
  <c r="Q294" i="2"/>
  <c r="S293" i="2"/>
  <c r="S292" i="2"/>
  <c r="S291" i="2"/>
  <c r="S290" i="2"/>
  <c r="S289" i="2"/>
  <c r="S288" i="2"/>
  <c r="S287" i="2"/>
  <c r="S286" i="2"/>
  <c r="S285" i="2"/>
  <c r="S284" i="2"/>
  <c r="S283" i="2"/>
  <c r="S282" i="2"/>
  <c r="Q282" i="2"/>
  <c r="S281" i="2"/>
  <c r="S280" i="2"/>
  <c r="S279" i="2"/>
  <c r="S278" i="2"/>
  <c r="S277" i="2"/>
  <c r="S276" i="2"/>
  <c r="S275" i="2"/>
  <c r="S274" i="2"/>
  <c r="S273" i="2"/>
  <c r="S272" i="2"/>
  <c r="S271" i="2"/>
  <c r="S270" i="2"/>
  <c r="S269" i="2"/>
  <c r="S268" i="2"/>
  <c r="S267" i="2"/>
  <c r="S266" i="2"/>
  <c r="S265" i="2"/>
  <c r="S264" i="2"/>
  <c r="S263" i="2"/>
  <c r="S262" i="2"/>
  <c r="Q262" i="2"/>
  <c r="S248" i="2"/>
  <c r="S247" i="2"/>
  <c r="S246" i="2"/>
  <c r="S244" i="2"/>
  <c r="S243" i="2"/>
  <c r="S242" i="2"/>
  <c r="S241" i="2"/>
  <c r="S240" i="2"/>
  <c r="S239" i="2"/>
  <c r="S238" i="2"/>
  <c r="Q238" i="2"/>
  <c r="S234" i="2"/>
  <c r="S233" i="2"/>
  <c r="S232" i="2"/>
  <c r="S231" i="2"/>
  <c r="S230" i="2"/>
  <c r="S229" i="2"/>
  <c r="S228" i="2"/>
  <c r="S227" i="2"/>
  <c r="S226" i="2"/>
  <c r="S225" i="2"/>
  <c r="S224" i="2"/>
  <c r="Q224" i="2"/>
  <c r="S220" i="2"/>
  <c r="S219" i="2"/>
  <c r="S218" i="2"/>
  <c r="S217" i="2"/>
  <c r="S216" i="2"/>
  <c r="S215" i="2"/>
  <c r="S214" i="2"/>
  <c r="S213" i="2"/>
  <c r="S212" i="2"/>
  <c r="S211" i="2"/>
  <c r="S210" i="2"/>
  <c r="Q210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5" i="2"/>
  <c r="S164" i="2"/>
  <c r="S163" i="2"/>
  <c r="S162" i="2"/>
  <c r="S161" i="2"/>
  <c r="S160" i="2"/>
  <c r="S159" i="2"/>
  <c r="S158" i="2"/>
  <c r="Q158" i="2"/>
  <c r="S157" i="2"/>
  <c r="S156" i="2"/>
  <c r="S155" i="2"/>
  <c r="S148" i="2"/>
  <c r="S147" i="2"/>
  <c r="S146" i="2"/>
  <c r="S145" i="2"/>
  <c r="S144" i="2"/>
  <c r="S143" i="2"/>
  <c r="S142" i="2"/>
  <c r="S141" i="2"/>
  <c r="S140" i="2"/>
  <c r="S139" i="2"/>
  <c r="Q139" i="2"/>
  <c r="S138" i="2"/>
  <c r="S137" i="2"/>
  <c r="S136" i="2"/>
  <c r="S130" i="2"/>
  <c r="S128" i="2"/>
  <c r="S127" i="2"/>
  <c r="S125" i="2"/>
  <c r="S124" i="2"/>
  <c r="S123" i="2"/>
  <c r="S122" i="2"/>
  <c r="S121" i="2"/>
  <c r="S120" i="2"/>
  <c r="S119" i="2"/>
  <c r="S118" i="2"/>
  <c r="S117" i="2"/>
  <c r="S116" i="2"/>
  <c r="S115" i="2"/>
  <c r="S113" i="2"/>
  <c r="S112" i="2"/>
  <c r="S111" i="2"/>
  <c r="S110" i="2"/>
  <c r="S109" i="2"/>
  <c r="S108" i="2"/>
  <c r="S107" i="2"/>
  <c r="S106" i="2"/>
  <c r="S105" i="2"/>
  <c r="S104" i="2"/>
  <c r="Q104" i="2"/>
  <c r="S92" i="2"/>
  <c r="S91" i="2"/>
  <c r="S90" i="2"/>
  <c r="S89" i="2"/>
  <c r="S87" i="2"/>
  <c r="S86" i="2"/>
  <c r="S83" i="2"/>
  <c r="S81" i="2"/>
  <c r="S79" i="2"/>
  <c r="S78" i="2"/>
  <c r="S77" i="2"/>
  <c r="S76" i="2"/>
  <c r="S75" i="2"/>
  <c r="S74" i="2"/>
  <c r="S73" i="2"/>
  <c r="S72" i="2"/>
  <c r="S71" i="2"/>
  <c r="S70" i="2"/>
  <c r="S69" i="2"/>
  <c r="Q69" i="2"/>
  <c r="S68" i="2"/>
  <c r="S67" i="2"/>
  <c r="S66" i="2"/>
  <c r="S65" i="2"/>
  <c r="S64" i="2"/>
  <c r="S63" i="2"/>
  <c r="S62" i="2"/>
  <c r="Q62" i="2"/>
  <c r="S50" i="2"/>
  <c r="S47" i="2"/>
  <c r="S46" i="2"/>
  <c r="S35" i="2"/>
  <c r="S34" i="2"/>
  <c r="S33" i="2"/>
  <c r="S27" i="2"/>
  <c r="S26" i="2"/>
  <c r="S25" i="2"/>
  <c r="S24" i="2"/>
  <c r="S23" i="2"/>
  <c r="S22" i="2"/>
  <c r="S21" i="2"/>
  <c r="Q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E5" i="2" a="1"/>
  <c r="E5" i="2" s="1"/>
  <c r="G56" i="1"/>
  <c r="G53" i="1"/>
  <c r="G49" i="1"/>
  <c r="G46" i="1"/>
  <c r="G42" i="1"/>
  <c r="G38" i="1"/>
  <c r="G20" i="1"/>
  <c r="G14" i="1"/>
  <c r="E4" i="2" a="1"/>
  <c r="E4" i="2" s="1"/>
  <c r="E23" i="2" a="1"/>
  <c r="E23" i="2" s="1"/>
  <c r="Q23" i="2" s="1"/>
  <c r="E22" i="2" a="1"/>
  <c r="E22" i="2" s="1"/>
  <c r="A71" i="9"/>
  <c r="B67" i="24" a="1"/>
  <c r="B65" i="24" a="1"/>
  <c r="B70" i="24" a="1"/>
  <c r="B59" i="24" a="1"/>
  <c r="B66" i="24" a="1"/>
  <c r="B76" i="24" a="1"/>
  <c r="B74" i="24" a="1"/>
  <c r="B63" i="24" a="1"/>
  <c r="B77" i="24" a="1"/>
  <c r="B71" i="24" a="1"/>
  <c r="B41" i="24" a="1"/>
  <c r="B69" i="24" a="1"/>
  <c r="B58" i="24" a="1"/>
  <c r="B57" i="24" a="1"/>
  <c r="B56" i="24" a="1"/>
  <c r="B73" i="24" a="1"/>
  <c r="B60" i="24" a="1"/>
  <c r="B61" i="24" a="1"/>
  <c r="B75" i="24" a="1"/>
  <c r="B68" i="24" a="1"/>
  <c r="B64" i="24" a="1"/>
  <c r="B22" i="24" a="1"/>
  <c r="B62" i="24" a="1"/>
  <c r="B72" i="24" a="1"/>
  <c r="K97" i="2" l="1"/>
  <c r="AA97" i="2" s="1"/>
  <c r="AA93" i="2"/>
  <c r="K86" i="2"/>
  <c r="AA75" i="2"/>
  <c r="K78" i="2"/>
  <c r="AA74" i="2"/>
  <c r="K132" i="2"/>
  <c r="AA132" i="2" s="1"/>
  <c r="AA128" i="2"/>
  <c r="K113" i="2"/>
  <c r="AA109" i="2"/>
  <c r="K121" i="2"/>
  <c r="AA110" i="2"/>
  <c r="A12" i="9" a="1"/>
  <c r="B40" i="9" s="1" a="1"/>
  <c r="B40" i="9" s="1"/>
  <c r="J105" i="2"/>
  <c r="J94" i="2"/>
  <c r="J129" i="2" a="1"/>
  <c r="J129" i="2" s="1"/>
  <c r="S99" i="9" a="1"/>
  <c r="S99" i="9" s="1"/>
  <c r="Q98" i="9" a="1"/>
  <c r="Q98" i="9" s="1"/>
  <c r="O97" i="9" a="1"/>
  <c r="O97" i="9" s="1"/>
  <c r="M96" i="9" a="1"/>
  <c r="M96" i="9" s="1"/>
  <c r="K95" i="9" a="1"/>
  <c r="K95" i="9" s="1"/>
  <c r="Q99" i="9" a="1"/>
  <c r="Q99" i="9" s="1"/>
  <c r="O98" i="9" a="1"/>
  <c r="O98" i="9" s="1"/>
  <c r="M97" i="9" a="1"/>
  <c r="M97" i="9" s="1"/>
  <c r="K96" i="9" a="1"/>
  <c r="K96" i="9" s="1"/>
  <c r="C95" i="9" a="1"/>
  <c r="C95" i="9" s="1"/>
  <c r="P99" i="9" a="1"/>
  <c r="P99" i="9" s="1"/>
  <c r="N98" i="9" a="1"/>
  <c r="N98" i="9" s="1"/>
  <c r="L97" i="9" a="1"/>
  <c r="L97" i="9" s="1"/>
  <c r="H96" i="9" a="1"/>
  <c r="H96" i="9" s="1"/>
  <c r="B95" i="9" a="1"/>
  <c r="B95" i="9" s="1"/>
  <c r="O99" i="9" a="1"/>
  <c r="O99" i="9" s="1"/>
  <c r="M98" i="9" a="1"/>
  <c r="M98" i="9" s="1"/>
  <c r="K97" i="9" a="1"/>
  <c r="K97" i="9" s="1"/>
  <c r="C96" i="9" a="1"/>
  <c r="C96" i="9" s="1"/>
  <c r="N99" i="9" a="1"/>
  <c r="N99" i="9" s="1"/>
  <c r="L98" i="9" a="1"/>
  <c r="L98" i="9" s="1"/>
  <c r="H97" i="9" a="1"/>
  <c r="H97" i="9" s="1"/>
  <c r="B96" i="9" a="1"/>
  <c r="B96" i="9" s="1"/>
  <c r="S96" i="9" a="1"/>
  <c r="S96" i="9" s="1"/>
  <c r="M99" i="9" a="1"/>
  <c r="M99" i="9" s="1"/>
  <c r="K98" i="9" a="1"/>
  <c r="K98" i="9" s="1"/>
  <c r="C97" i="9" a="1"/>
  <c r="C97" i="9" s="1"/>
  <c r="U95" i="9" a="1"/>
  <c r="U95" i="9" s="1"/>
  <c r="L99" i="9" a="1"/>
  <c r="L99" i="9" s="1"/>
  <c r="H98" i="9" a="1"/>
  <c r="H98" i="9" s="1"/>
  <c r="B97" i="9" a="1"/>
  <c r="B97" i="9" s="1"/>
  <c r="T95" i="9" a="1"/>
  <c r="T95" i="9" s="1"/>
  <c r="K99" i="9" a="1"/>
  <c r="K99" i="9" s="1"/>
  <c r="C98" i="9" a="1"/>
  <c r="C98" i="9" s="1"/>
  <c r="U96" i="9" a="1"/>
  <c r="U96" i="9" s="1"/>
  <c r="S95" i="9" a="1"/>
  <c r="S95" i="9" s="1"/>
  <c r="Q95" i="9" a="1"/>
  <c r="Q95" i="9" s="1"/>
  <c r="H99" i="9" a="1"/>
  <c r="H99" i="9" s="1"/>
  <c r="B98" i="9" a="1"/>
  <c r="B98" i="9" s="1"/>
  <c r="T96" i="9" a="1"/>
  <c r="T96" i="9" s="1"/>
  <c r="R95" i="9" a="1"/>
  <c r="R95" i="9" s="1"/>
  <c r="U97" i="9" a="1"/>
  <c r="U97" i="9" s="1"/>
  <c r="C99" i="9" a="1"/>
  <c r="C99" i="9" s="1"/>
  <c r="B99" i="9" a="1"/>
  <c r="B99" i="9" s="1"/>
  <c r="T97" i="9" a="1"/>
  <c r="T97" i="9" s="1"/>
  <c r="R96" i="9" a="1"/>
  <c r="R96" i="9" s="1"/>
  <c r="P95" i="9" a="1"/>
  <c r="P95" i="9" s="1"/>
  <c r="U98" i="9" a="1"/>
  <c r="U98" i="9" s="1"/>
  <c r="S97" i="9" a="1"/>
  <c r="S97" i="9" s="1"/>
  <c r="Q96" i="9" a="1"/>
  <c r="Q96" i="9" s="1"/>
  <c r="O95" i="9" a="1"/>
  <c r="O95" i="9" s="1"/>
  <c r="R99" i="9" a="1"/>
  <c r="R99" i="9" s="1"/>
  <c r="T98" i="9" a="1"/>
  <c r="T98" i="9" s="1"/>
  <c r="R97" i="9" a="1"/>
  <c r="R97" i="9" s="1"/>
  <c r="P96" i="9" a="1"/>
  <c r="P96" i="9" s="1"/>
  <c r="N95" i="9" a="1"/>
  <c r="N95" i="9" s="1"/>
  <c r="U99" i="9" a="1"/>
  <c r="U99" i="9" s="1"/>
  <c r="S98" i="9" a="1"/>
  <c r="S98" i="9" s="1"/>
  <c r="Q97" i="9" a="1"/>
  <c r="Q97" i="9" s="1"/>
  <c r="O96" i="9" a="1"/>
  <c r="O96" i="9" s="1"/>
  <c r="M95" i="9" a="1"/>
  <c r="M95" i="9" s="1"/>
  <c r="N97" i="9" a="1"/>
  <c r="N97" i="9" s="1"/>
  <c r="L96" i="9" a="1"/>
  <c r="L96" i="9" s="1"/>
  <c r="T99" i="9" a="1"/>
  <c r="T99" i="9" s="1"/>
  <c r="R98" i="9" a="1"/>
  <c r="R98" i="9" s="1"/>
  <c r="P97" i="9" a="1"/>
  <c r="P97" i="9" s="1"/>
  <c r="N96" i="9" a="1"/>
  <c r="N96" i="9" s="1"/>
  <c r="L95" i="9" a="1"/>
  <c r="L95" i="9" s="1"/>
  <c r="P98" i="9" a="1"/>
  <c r="P98" i="9" s="1"/>
  <c r="H95" i="9" a="1"/>
  <c r="H95" i="9" s="1"/>
  <c r="U68" i="9" a="1"/>
  <c r="U68" i="9" s="1"/>
  <c r="S67" i="9" a="1"/>
  <c r="S67" i="9" s="1"/>
  <c r="Q66" i="9" a="1"/>
  <c r="Q66" i="9" s="1"/>
  <c r="O65" i="9" a="1"/>
  <c r="O65" i="9" s="1"/>
  <c r="M64" i="9" a="1"/>
  <c r="M64" i="9" s="1"/>
  <c r="K63" i="9" a="1"/>
  <c r="K63" i="9" s="1"/>
  <c r="C62" i="9" a="1"/>
  <c r="C62" i="9" s="1"/>
  <c r="U60" i="9" a="1"/>
  <c r="U60" i="9" s="1"/>
  <c r="S59" i="9" a="1"/>
  <c r="S59" i="9" s="1"/>
  <c r="Q58" i="9" a="1"/>
  <c r="Q58" i="9" s="1"/>
  <c r="O57" i="9" a="1"/>
  <c r="O57" i="9" s="1"/>
  <c r="M56" i="9" a="1"/>
  <c r="M56" i="9" s="1"/>
  <c r="K55" i="9" a="1"/>
  <c r="K55" i="9" s="1"/>
  <c r="C54" i="9" a="1"/>
  <c r="C54" i="9" s="1"/>
  <c r="U52" i="9" a="1"/>
  <c r="U52" i="9" s="1"/>
  <c r="S51" i="9" a="1"/>
  <c r="S51" i="9" s="1"/>
  <c r="Q50" i="9" a="1"/>
  <c r="Q50" i="9" s="1"/>
  <c r="O49" i="9" a="1"/>
  <c r="O49" i="9" s="1"/>
  <c r="M48" i="9" a="1"/>
  <c r="M48" i="9" s="1"/>
  <c r="K47" i="9" a="1"/>
  <c r="K47" i="9" s="1"/>
  <c r="C46" i="9" a="1"/>
  <c r="C46" i="9" s="1"/>
  <c r="U44" i="9" a="1"/>
  <c r="U44" i="9" s="1"/>
  <c r="S43" i="9" a="1"/>
  <c r="S43" i="9" s="1"/>
  <c r="S68" i="9" a="1"/>
  <c r="S68" i="9" s="1"/>
  <c r="Q67" i="9" a="1"/>
  <c r="Q67" i="9" s="1"/>
  <c r="O66" i="9" a="1"/>
  <c r="O66" i="9" s="1"/>
  <c r="M65" i="9" a="1"/>
  <c r="M65" i="9" s="1"/>
  <c r="K64" i="9" a="1"/>
  <c r="K64" i="9" s="1"/>
  <c r="C63" i="9" a="1"/>
  <c r="C63" i="9" s="1"/>
  <c r="U61" i="9" a="1"/>
  <c r="U61" i="9" s="1"/>
  <c r="S60" i="9" a="1"/>
  <c r="S60" i="9" s="1"/>
  <c r="Q59" i="9" a="1"/>
  <c r="Q59" i="9" s="1"/>
  <c r="O58" i="9" a="1"/>
  <c r="O58" i="9" s="1"/>
  <c r="M57" i="9" a="1"/>
  <c r="M57" i="9" s="1"/>
  <c r="K56" i="9" a="1"/>
  <c r="K56" i="9" s="1"/>
  <c r="C55" i="9" a="1"/>
  <c r="C55" i="9" s="1"/>
  <c r="U53" i="9" a="1"/>
  <c r="U53" i="9" s="1"/>
  <c r="S52" i="9" a="1"/>
  <c r="S52" i="9" s="1"/>
  <c r="Q51" i="9" a="1"/>
  <c r="Q51" i="9" s="1"/>
  <c r="O50" i="9" a="1"/>
  <c r="O50" i="9" s="1"/>
  <c r="M49" i="9" a="1"/>
  <c r="M49" i="9" s="1"/>
  <c r="K48" i="9" a="1"/>
  <c r="K48" i="9" s="1"/>
  <c r="C47" i="9" a="1"/>
  <c r="C47" i="9" s="1"/>
  <c r="U45" i="9" a="1"/>
  <c r="U45" i="9" s="1"/>
  <c r="S44" i="9" a="1"/>
  <c r="S44" i="9" s="1"/>
  <c r="Q43" i="9" a="1"/>
  <c r="Q43" i="9" s="1"/>
  <c r="U65" i="9" a="1"/>
  <c r="U65" i="9" s="1"/>
  <c r="S64" i="9" a="1"/>
  <c r="S64" i="9" s="1"/>
  <c r="O62" i="9" a="1"/>
  <c r="O62" i="9" s="1"/>
  <c r="C59" i="9" a="1"/>
  <c r="C59" i="9" s="1"/>
  <c r="Q55" i="9" a="1"/>
  <c r="Q55" i="9" s="1"/>
  <c r="O54" i="9" a="1"/>
  <c r="O54" i="9" s="1"/>
  <c r="K52" i="9" a="1"/>
  <c r="K52" i="9" s="1"/>
  <c r="S48" i="9" a="1"/>
  <c r="S48" i="9" s="1"/>
  <c r="L48" i="9" a="1"/>
  <c r="L48" i="9" s="1"/>
  <c r="R68" i="9" a="1"/>
  <c r="R68" i="9" s="1"/>
  <c r="P67" i="9" a="1"/>
  <c r="P67" i="9" s="1"/>
  <c r="N66" i="9" a="1"/>
  <c r="N66" i="9" s="1"/>
  <c r="L65" i="9" a="1"/>
  <c r="L65" i="9" s="1"/>
  <c r="H64" i="9" a="1"/>
  <c r="H64" i="9" s="1"/>
  <c r="B63" i="9" a="1"/>
  <c r="B63" i="9" s="1"/>
  <c r="T61" i="9" a="1"/>
  <c r="T61" i="9" s="1"/>
  <c r="R60" i="9" a="1"/>
  <c r="R60" i="9" s="1"/>
  <c r="P59" i="9" a="1"/>
  <c r="P59" i="9" s="1"/>
  <c r="N58" i="9" a="1"/>
  <c r="N58" i="9" s="1"/>
  <c r="L57" i="9" a="1"/>
  <c r="L57" i="9" s="1"/>
  <c r="H56" i="9" a="1"/>
  <c r="H56" i="9" s="1"/>
  <c r="B55" i="9" a="1"/>
  <c r="B55" i="9" s="1"/>
  <c r="T53" i="9" a="1"/>
  <c r="T53" i="9" s="1"/>
  <c r="R52" i="9" a="1"/>
  <c r="R52" i="9" s="1"/>
  <c r="P51" i="9" a="1"/>
  <c r="P51" i="9" s="1"/>
  <c r="N50" i="9" a="1"/>
  <c r="N50" i="9" s="1"/>
  <c r="L49" i="9" a="1"/>
  <c r="L49" i="9" s="1"/>
  <c r="H48" i="9" a="1"/>
  <c r="H48" i="9" s="1"/>
  <c r="B47" i="9" a="1"/>
  <c r="B47" i="9" s="1"/>
  <c r="T45" i="9" a="1"/>
  <c r="T45" i="9" s="1"/>
  <c r="R44" i="9" a="1"/>
  <c r="R44" i="9" s="1"/>
  <c r="P43" i="9" a="1"/>
  <c r="P43" i="9" s="1"/>
  <c r="C67" i="9" a="1"/>
  <c r="C67" i="9" s="1"/>
  <c r="Q63" i="9" a="1"/>
  <c r="Q63" i="9" s="1"/>
  <c r="K60" i="9" a="1"/>
  <c r="K60" i="9" s="1"/>
  <c r="U57" i="9" a="1"/>
  <c r="U57" i="9" s="1"/>
  <c r="C51" i="9" a="1"/>
  <c r="C51" i="9" s="1"/>
  <c r="K44" i="9" a="1"/>
  <c r="K44" i="9" s="1"/>
  <c r="Q68" i="9" a="1"/>
  <c r="Q68" i="9" s="1"/>
  <c r="O67" i="9" a="1"/>
  <c r="O67" i="9" s="1"/>
  <c r="M66" i="9" a="1"/>
  <c r="M66" i="9" s="1"/>
  <c r="K65" i="9" a="1"/>
  <c r="K65" i="9" s="1"/>
  <c r="C64" i="9" a="1"/>
  <c r="C64" i="9" s="1"/>
  <c r="U62" i="9" a="1"/>
  <c r="U62" i="9" s="1"/>
  <c r="S61" i="9" a="1"/>
  <c r="S61" i="9" s="1"/>
  <c r="Q60" i="9" a="1"/>
  <c r="Q60" i="9" s="1"/>
  <c r="O59" i="9" a="1"/>
  <c r="O59" i="9" s="1"/>
  <c r="M58" i="9" a="1"/>
  <c r="M58" i="9" s="1"/>
  <c r="K57" i="9" a="1"/>
  <c r="K57" i="9" s="1"/>
  <c r="C56" i="9" a="1"/>
  <c r="C56" i="9" s="1"/>
  <c r="U54" i="9" a="1"/>
  <c r="U54" i="9" s="1"/>
  <c r="S53" i="9" a="1"/>
  <c r="S53" i="9" s="1"/>
  <c r="Q52" i="9" a="1"/>
  <c r="Q52" i="9" s="1"/>
  <c r="O51" i="9" a="1"/>
  <c r="O51" i="9" s="1"/>
  <c r="M50" i="9" a="1"/>
  <c r="M50" i="9" s="1"/>
  <c r="K49" i="9" a="1"/>
  <c r="K49" i="9" s="1"/>
  <c r="C48" i="9" a="1"/>
  <c r="C48" i="9" s="1"/>
  <c r="U46" i="9" a="1"/>
  <c r="U46" i="9" s="1"/>
  <c r="S45" i="9" a="1"/>
  <c r="S45" i="9" s="1"/>
  <c r="Q44" i="9" a="1"/>
  <c r="Q44" i="9" s="1"/>
  <c r="O43" i="9" a="1"/>
  <c r="O43" i="9" s="1"/>
  <c r="K68" i="9" a="1"/>
  <c r="K68" i="9" s="1"/>
  <c r="M61" i="9" a="1"/>
  <c r="M61" i="9" s="1"/>
  <c r="S56" i="9" a="1"/>
  <c r="S56" i="9" s="1"/>
  <c r="M53" i="9" a="1"/>
  <c r="M53" i="9" s="1"/>
  <c r="O46" i="9" a="1"/>
  <c r="O46" i="9" s="1"/>
  <c r="P50" i="9" a="1"/>
  <c r="P50" i="9" s="1"/>
  <c r="P68" i="9" a="1"/>
  <c r="P68" i="9" s="1"/>
  <c r="N67" i="9" a="1"/>
  <c r="N67" i="9" s="1"/>
  <c r="L66" i="9" a="1"/>
  <c r="L66" i="9" s="1"/>
  <c r="H65" i="9" a="1"/>
  <c r="H65" i="9" s="1"/>
  <c r="B64" i="9" a="1"/>
  <c r="B64" i="9" s="1"/>
  <c r="T62" i="9" a="1"/>
  <c r="T62" i="9" s="1"/>
  <c r="R61" i="9" a="1"/>
  <c r="R61" i="9" s="1"/>
  <c r="P60" i="9" a="1"/>
  <c r="P60" i="9" s="1"/>
  <c r="N59" i="9" a="1"/>
  <c r="N59" i="9" s="1"/>
  <c r="L58" i="9" a="1"/>
  <c r="L58" i="9" s="1"/>
  <c r="H57" i="9" a="1"/>
  <c r="H57" i="9" s="1"/>
  <c r="B56" i="9" a="1"/>
  <c r="B56" i="9" s="1"/>
  <c r="T54" i="9" a="1"/>
  <c r="T54" i="9" s="1"/>
  <c r="R53" i="9" a="1"/>
  <c r="R53" i="9" s="1"/>
  <c r="P52" i="9" a="1"/>
  <c r="P52" i="9" s="1"/>
  <c r="N51" i="9" a="1"/>
  <c r="N51" i="9" s="1"/>
  <c r="L50" i="9" a="1"/>
  <c r="L50" i="9" s="1"/>
  <c r="H49" i="9" a="1"/>
  <c r="H49" i="9" s="1"/>
  <c r="B48" i="9" a="1"/>
  <c r="B48" i="9" s="1"/>
  <c r="T46" i="9" a="1"/>
  <c r="T46" i="9" s="1"/>
  <c r="R45" i="9" a="1"/>
  <c r="R45" i="9" s="1"/>
  <c r="P44" i="9" a="1"/>
  <c r="P44" i="9" s="1"/>
  <c r="N43" i="9" a="1"/>
  <c r="N43" i="9" s="1"/>
  <c r="C43" i="9" a="1"/>
  <c r="C43" i="9" s="1"/>
  <c r="O68" i="9" a="1"/>
  <c r="O68" i="9" s="1"/>
  <c r="M67" i="9" a="1"/>
  <c r="M67" i="9" s="1"/>
  <c r="K66" i="9" a="1"/>
  <c r="K66" i="9" s="1"/>
  <c r="C65" i="9" a="1"/>
  <c r="C65" i="9" s="1"/>
  <c r="U63" i="9" a="1"/>
  <c r="U63" i="9" s="1"/>
  <c r="S62" i="9" a="1"/>
  <c r="S62" i="9" s="1"/>
  <c r="Q61" i="9" a="1"/>
  <c r="Q61" i="9" s="1"/>
  <c r="O60" i="9" a="1"/>
  <c r="O60" i="9" s="1"/>
  <c r="M59" i="9" a="1"/>
  <c r="M59" i="9" s="1"/>
  <c r="K58" i="9" a="1"/>
  <c r="K58" i="9" s="1"/>
  <c r="C57" i="9" a="1"/>
  <c r="C57" i="9" s="1"/>
  <c r="U55" i="9" a="1"/>
  <c r="U55" i="9" s="1"/>
  <c r="S54" i="9" a="1"/>
  <c r="S54" i="9" s="1"/>
  <c r="Q53" i="9" a="1"/>
  <c r="Q53" i="9" s="1"/>
  <c r="O52" i="9" a="1"/>
  <c r="O52" i="9" s="1"/>
  <c r="M51" i="9" a="1"/>
  <c r="M51" i="9" s="1"/>
  <c r="K50" i="9" a="1"/>
  <c r="K50" i="9" s="1"/>
  <c r="C49" i="9" a="1"/>
  <c r="C49" i="9" s="1"/>
  <c r="U47" i="9" a="1"/>
  <c r="U47" i="9" s="1"/>
  <c r="S46" i="9" a="1"/>
  <c r="S46" i="9" s="1"/>
  <c r="Q45" i="9" a="1"/>
  <c r="Q45" i="9" s="1"/>
  <c r="O44" i="9" a="1"/>
  <c r="O44" i="9" s="1"/>
  <c r="M43" i="9" a="1"/>
  <c r="M43" i="9" s="1"/>
  <c r="N49" i="9" a="1"/>
  <c r="N49" i="9" s="1"/>
  <c r="N68" i="9" a="1"/>
  <c r="N68" i="9" s="1"/>
  <c r="L67" i="9" a="1"/>
  <c r="L67" i="9" s="1"/>
  <c r="H66" i="9" a="1"/>
  <c r="H66" i="9" s="1"/>
  <c r="B65" i="9" a="1"/>
  <c r="B65" i="9" s="1"/>
  <c r="T63" i="9" a="1"/>
  <c r="T63" i="9" s="1"/>
  <c r="R62" i="9" a="1"/>
  <c r="R62" i="9" s="1"/>
  <c r="P61" i="9" a="1"/>
  <c r="P61" i="9" s="1"/>
  <c r="N60" i="9" a="1"/>
  <c r="N60" i="9" s="1"/>
  <c r="L59" i="9" a="1"/>
  <c r="L59" i="9" s="1"/>
  <c r="H58" i="9" a="1"/>
  <c r="H58" i="9" s="1"/>
  <c r="B57" i="9" a="1"/>
  <c r="B57" i="9" s="1"/>
  <c r="T55" i="9" a="1"/>
  <c r="T55" i="9" s="1"/>
  <c r="R54" i="9" a="1"/>
  <c r="R54" i="9" s="1"/>
  <c r="P53" i="9" a="1"/>
  <c r="P53" i="9" s="1"/>
  <c r="N52" i="9" a="1"/>
  <c r="N52" i="9" s="1"/>
  <c r="L51" i="9" a="1"/>
  <c r="L51" i="9" s="1"/>
  <c r="H50" i="9" a="1"/>
  <c r="H50" i="9" s="1"/>
  <c r="B49" i="9" a="1"/>
  <c r="B49" i="9" s="1"/>
  <c r="T47" i="9" a="1"/>
  <c r="T47" i="9" s="1"/>
  <c r="R46" i="9" a="1"/>
  <c r="R46" i="9" s="1"/>
  <c r="P45" i="9" a="1"/>
  <c r="P45" i="9" s="1"/>
  <c r="N44" i="9" a="1"/>
  <c r="N44" i="9" s="1"/>
  <c r="L43" i="9" a="1"/>
  <c r="L43" i="9" s="1"/>
  <c r="M45" i="9" a="1"/>
  <c r="M45" i="9" s="1"/>
  <c r="M68" i="9" a="1"/>
  <c r="M68" i="9" s="1"/>
  <c r="K67" i="9" a="1"/>
  <c r="K67" i="9" s="1"/>
  <c r="C66" i="9" a="1"/>
  <c r="C66" i="9" s="1"/>
  <c r="U64" i="9" a="1"/>
  <c r="U64" i="9" s="1"/>
  <c r="S63" i="9" a="1"/>
  <c r="S63" i="9" s="1"/>
  <c r="Q62" i="9" a="1"/>
  <c r="Q62" i="9" s="1"/>
  <c r="O61" i="9" a="1"/>
  <c r="O61" i="9" s="1"/>
  <c r="M60" i="9" a="1"/>
  <c r="M60" i="9" s="1"/>
  <c r="K59" i="9" a="1"/>
  <c r="K59" i="9" s="1"/>
  <c r="C58" i="9" a="1"/>
  <c r="C58" i="9" s="1"/>
  <c r="U56" i="9" a="1"/>
  <c r="U56" i="9" s="1"/>
  <c r="S55" i="9" a="1"/>
  <c r="S55" i="9" s="1"/>
  <c r="Q54" i="9" a="1"/>
  <c r="Q54" i="9" s="1"/>
  <c r="O53" i="9" a="1"/>
  <c r="O53" i="9" s="1"/>
  <c r="M52" i="9" a="1"/>
  <c r="M52" i="9" s="1"/>
  <c r="K51" i="9" a="1"/>
  <c r="K51" i="9" s="1"/>
  <c r="C50" i="9" a="1"/>
  <c r="C50" i="9" s="1"/>
  <c r="U48" i="9" a="1"/>
  <c r="U48" i="9" s="1"/>
  <c r="S47" i="9" a="1"/>
  <c r="S47" i="9" s="1"/>
  <c r="Q46" i="9" a="1"/>
  <c r="Q46" i="9" s="1"/>
  <c r="O45" i="9" a="1"/>
  <c r="O45" i="9" s="1"/>
  <c r="M44" i="9" a="1"/>
  <c r="M44" i="9" s="1"/>
  <c r="K43" i="9" a="1"/>
  <c r="K43" i="9" s="1"/>
  <c r="Q47" i="9" a="1"/>
  <c r="Q47" i="9" s="1"/>
  <c r="L68" i="9" a="1"/>
  <c r="L68" i="9" s="1"/>
  <c r="H67" i="9" a="1"/>
  <c r="H67" i="9" s="1"/>
  <c r="B66" i="9" a="1"/>
  <c r="B66" i="9" s="1"/>
  <c r="T64" i="9" a="1"/>
  <c r="T64" i="9" s="1"/>
  <c r="R63" i="9" a="1"/>
  <c r="R63" i="9" s="1"/>
  <c r="P62" i="9" a="1"/>
  <c r="P62" i="9" s="1"/>
  <c r="N61" i="9" a="1"/>
  <c r="N61" i="9" s="1"/>
  <c r="L60" i="9" a="1"/>
  <c r="L60" i="9" s="1"/>
  <c r="H59" i="9" a="1"/>
  <c r="H59" i="9" s="1"/>
  <c r="B58" i="9" a="1"/>
  <c r="B58" i="9" s="1"/>
  <c r="T56" i="9" a="1"/>
  <c r="T56" i="9" s="1"/>
  <c r="R55" i="9" a="1"/>
  <c r="R55" i="9" s="1"/>
  <c r="P54" i="9" a="1"/>
  <c r="P54" i="9" s="1"/>
  <c r="N53" i="9" a="1"/>
  <c r="N53" i="9" s="1"/>
  <c r="L52" i="9" a="1"/>
  <c r="L52" i="9" s="1"/>
  <c r="H51" i="9" a="1"/>
  <c r="H51" i="9" s="1"/>
  <c r="B50" i="9" a="1"/>
  <c r="B50" i="9" s="1"/>
  <c r="T48" i="9" a="1"/>
  <c r="T48" i="9" s="1"/>
  <c r="R47" i="9" a="1"/>
  <c r="R47" i="9" s="1"/>
  <c r="P46" i="9" a="1"/>
  <c r="P46" i="9" s="1"/>
  <c r="N45" i="9" a="1"/>
  <c r="N45" i="9" s="1"/>
  <c r="L44" i="9" a="1"/>
  <c r="L44" i="9" s="1"/>
  <c r="H43" i="9" a="1"/>
  <c r="H43" i="9" s="1"/>
  <c r="U49" i="9" a="1"/>
  <c r="U49" i="9" s="1"/>
  <c r="H68" i="9" a="1"/>
  <c r="H68" i="9" s="1"/>
  <c r="B67" i="9" a="1"/>
  <c r="B67" i="9" s="1"/>
  <c r="T65" i="9" a="1"/>
  <c r="T65" i="9" s="1"/>
  <c r="R64" i="9" a="1"/>
  <c r="R64" i="9" s="1"/>
  <c r="P63" i="9" a="1"/>
  <c r="P63" i="9" s="1"/>
  <c r="N62" i="9" a="1"/>
  <c r="N62" i="9" s="1"/>
  <c r="L61" i="9" a="1"/>
  <c r="L61" i="9" s="1"/>
  <c r="H60" i="9" a="1"/>
  <c r="H60" i="9" s="1"/>
  <c r="B59" i="9" a="1"/>
  <c r="B59" i="9" s="1"/>
  <c r="T57" i="9" a="1"/>
  <c r="T57" i="9" s="1"/>
  <c r="R56" i="9" a="1"/>
  <c r="R56" i="9" s="1"/>
  <c r="P55" i="9" a="1"/>
  <c r="P55" i="9" s="1"/>
  <c r="N54" i="9" a="1"/>
  <c r="N54" i="9" s="1"/>
  <c r="L53" i="9" a="1"/>
  <c r="L53" i="9" s="1"/>
  <c r="H52" i="9" a="1"/>
  <c r="H52" i="9" s="1"/>
  <c r="B51" i="9" a="1"/>
  <c r="B51" i="9" s="1"/>
  <c r="T49" i="9" a="1"/>
  <c r="T49" i="9" s="1"/>
  <c r="R48" i="9" a="1"/>
  <c r="R48" i="9" s="1"/>
  <c r="P47" i="9" a="1"/>
  <c r="P47" i="9" s="1"/>
  <c r="N46" i="9" a="1"/>
  <c r="N46" i="9" s="1"/>
  <c r="L45" i="9" a="1"/>
  <c r="L45" i="9" s="1"/>
  <c r="H44" i="9" a="1"/>
  <c r="H44" i="9" s="1"/>
  <c r="B43" i="9" a="1"/>
  <c r="B43" i="9" s="1"/>
  <c r="T44" i="9" a="1"/>
  <c r="T44" i="9" s="1"/>
  <c r="C68" i="9" a="1"/>
  <c r="C68" i="9" s="1"/>
  <c r="U66" i="9" a="1"/>
  <c r="U66" i="9" s="1"/>
  <c r="S65" i="9" a="1"/>
  <c r="S65" i="9" s="1"/>
  <c r="Q64" i="9" a="1"/>
  <c r="Q64" i="9" s="1"/>
  <c r="O63" i="9" a="1"/>
  <c r="O63" i="9" s="1"/>
  <c r="M62" i="9" a="1"/>
  <c r="M62" i="9" s="1"/>
  <c r="K61" i="9" a="1"/>
  <c r="K61" i="9" s="1"/>
  <c r="C60" i="9" a="1"/>
  <c r="C60" i="9" s="1"/>
  <c r="U58" i="9" a="1"/>
  <c r="U58" i="9" s="1"/>
  <c r="S57" i="9" a="1"/>
  <c r="S57" i="9" s="1"/>
  <c r="Q56" i="9" a="1"/>
  <c r="Q56" i="9" s="1"/>
  <c r="O55" i="9" a="1"/>
  <c r="O55" i="9" s="1"/>
  <c r="M54" i="9" a="1"/>
  <c r="M54" i="9" s="1"/>
  <c r="K53" i="9" a="1"/>
  <c r="K53" i="9" s="1"/>
  <c r="C52" i="9" a="1"/>
  <c r="C52" i="9" s="1"/>
  <c r="U50" i="9" a="1"/>
  <c r="U50" i="9" s="1"/>
  <c r="S49" i="9" a="1"/>
  <c r="S49" i="9" s="1"/>
  <c r="Q48" i="9" a="1"/>
  <c r="Q48" i="9" s="1"/>
  <c r="O47" i="9" a="1"/>
  <c r="O47" i="9" s="1"/>
  <c r="M46" i="9" a="1"/>
  <c r="M46" i="9" s="1"/>
  <c r="K45" i="9" a="1"/>
  <c r="K45" i="9" s="1"/>
  <c r="C44" i="9" a="1"/>
  <c r="C44" i="9" s="1"/>
  <c r="T68" i="9" a="1"/>
  <c r="T68" i="9" s="1"/>
  <c r="N65" i="9" a="1"/>
  <c r="N65" i="9" s="1"/>
  <c r="H63" i="9" a="1"/>
  <c r="H63" i="9" s="1"/>
  <c r="R59" i="9" a="1"/>
  <c r="R59" i="9" s="1"/>
  <c r="L56" i="9" a="1"/>
  <c r="L56" i="9" s="1"/>
  <c r="B54" i="9" a="1"/>
  <c r="B54" i="9" s="1"/>
  <c r="H47" i="9" a="1"/>
  <c r="H47" i="9" s="1"/>
  <c r="B68" i="9" a="1"/>
  <c r="B68" i="9" s="1"/>
  <c r="T66" i="9" a="1"/>
  <c r="T66" i="9" s="1"/>
  <c r="R65" i="9" a="1"/>
  <c r="R65" i="9" s="1"/>
  <c r="P64" i="9" a="1"/>
  <c r="P64" i="9" s="1"/>
  <c r="N63" i="9" a="1"/>
  <c r="N63" i="9" s="1"/>
  <c r="L62" i="9" a="1"/>
  <c r="L62" i="9" s="1"/>
  <c r="H61" i="9" a="1"/>
  <c r="H61" i="9" s="1"/>
  <c r="B60" i="9" a="1"/>
  <c r="B60" i="9" s="1"/>
  <c r="T58" i="9" a="1"/>
  <c r="T58" i="9" s="1"/>
  <c r="R57" i="9" a="1"/>
  <c r="R57" i="9" s="1"/>
  <c r="P56" i="9" a="1"/>
  <c r="P56" i="9" s="1"/>
  <c r="N55" i="9" a="1"/>
  <c r="N55" i="9" s="1"/>
  <c r="L54" i="9" a="1"/>
  <c r="L54" i="9" s="1"/>
  <c r="H53" i="9" a="1"/>
  <c r="H53" i="9" s="1"/>
  <c r="B52" i="9" a="1"/>
  <c r="B52" i="9" s="1"/>
  <c r="T50" i="9" a="1"/>
  <c r="T50" i="9" s="1"/>
  <c r="R49" i="9" a="1"/>
  <c r="R49" i="9" s="1"/>
  <c r="P48" i="9" a="1"/>
  <c r="P48" i="9" s="1"/>
  <c r="N47" i="9" a="1"/>
  <c r="N47" i="9" s="1"/>
  <c r="L46" i="9" a="1"/>
  <c r="L46" i="9" s="1"/>
  <c r="H45" i="9" a="1"/>
  <c r="H45" i="9" s="1"/>
  <c r="B44" i="9" a="1"/>
  <c r="B44" i="9" s="1"/>
  <c r="U67" i="9" a="1"/>
  <c r="U67" i="9" s="1"/>
  <c r="S66" i="9" a="1"/>
  <c r="S66" i="9" s="1"/>
  <c r="Q65" i="9" a="1"/>
  <c r="Q65" i="9" s="1"/>
  <c r="O64" i="9" a="1"/>
  <c r="O64" i="9" s="1"/>
  <c r="M63" i="9" a="1"/>
  <c r="M63" i="9" s="1"/>
  <c r="K62" i="9" a="1"/>
  <c r="K62" i="9" s="1"/>
  <c r="C61" i="9" a="1"/>
  <c r="C61" i="9" s="1"/>
  <c r="U59" i="9" a="1"/>
  <c r="U59" i="9" s="1"/>
  <c r="S58" i="9" a="1"/>
  <c r="S58" i="9" s="1"/>
  <c r="Q57" i="9" a="1"/>
  <c r="Q57" i="9" s="1"/>
  <c r="O56" i="9" a="1"/>
  <c r="O56" i="9" s="1"/>
  <c r="M55" i="9" a="1"/>
  <c r="M55" i="9" s="1"/>
  <c r="K54" i="9" a="1"/>
  <c r="K54" i="9" s="1"/>
  <c r="C53" i="9" a="1"/>
  <c r="C53" i="9" s="1"/>
  <c r="U51" i="9" a="1"/>
  <c r="U51" i="9" s="1"/>
  <c r="S50" i="9" a="1"/>
  <c r="S50" i="9" s="1"/>
  <c r="Q49" i="9" a="1"/>
  <c r="Q49" i="9" s="1"/>
  <c r="O48" i="9" a="1"/>
  <c r="O48" i="9" s="1"/>
  <c r="M47" i="9" a="1"/>
  <c r="M47" i="9" s="1"/>
  <c r="K46" i="9" a="1"/>
  <c r="K46" i="9" s="1"/>
  <c r="C45" i="9" a="1"/>
  <c r="C45" i="9" s="1"/>
  <c r="U43" i="9" a="1"/>
  <c r="U43" i="9" s="1"/>
  <c r="R67" i="9" a="1"/>
  <c r="R67" i="9" s="1"/>
  <c r="L64" i="9" a="1"/>
  <c r="L64" i="9" s="1"/>
  <c r="T60" i="9" a="1"/>
  <c r="T60" i="9" s="1"/>
  <c r="N57" i="9" a="1"/>
  <c r="N57" i="9" s="1"/>
  <c r="T52" i="9" a="1"/>
  <c r="T52" i="9" s="1"/>
  <c r="B46" i="9" a="1"/>
  <c r="B46" i="9" s="1"/>
  <c r="T67" i="9" a="1"/>
  <c r="T67" i="9" s="1"/>
  <c r="R66" i="9" a="1"/>
  <c r="R66" i="9" s="1"/>
  <c r="P65" i="9" a="1"/>
  <c r="P65" i="9" s="1"/>
  <c r="N64" i="9" a="1"/>
  <c r="N64" i="9" s="1"/>
  <c r="L63" i="9" a="1"/>
  <c r="L63" i="9" s="1"/>
  <c r="H62" i="9" a="1"/>
  <c r="H62" i="9" s="1"/>
  <c r="B61" i="9" a="1"/>
  <c r="B61" i="9" s="1"/>
  <c r="T59" i="9" a="1"/>
  <c r="T59" i="9" s="1"/>
  <c r="R58" i="9" a="1"/>
  <c r="R58" i="9" s="1"/>
  <c r="P57" i="9" a="1"/>
  <c r="P57" i="9" s="1"/>
  <c r="N56" i="9" a="1"/>
  <c r="N56" i="9" s="1"/>
  <c r="L55" i="9" a="1"/>
  <c r="L55" i="9" s="1"/>
  <c r="H54" i="9" a="1"/>
  <c r="H54" i="9" s="1"/>
  <c r="B53" i="9" a="1"/>
  <c r="B53" i="9" s="1"/>
  <c r="T51" i="9" a="1"/>
  <c r="T51" i="9" s="1"/>
  <c r="R50" i="9" a="1"/>
  <c r="R50" i="9" s="1"/>
  <c r="P49" i="9" a="1"/>
  <c r="P49" i="9" s="1"/>
  <c r="N48" i="9" a="1"/>
  <c r="N48" i="9" s="1"/>
  <c r="L47" i="9" a="1"/>
  <c r="L47" i="9" s="1"/>
  <c r="H46" i="9" a="1"/>
  <c r="H46" i="9" s="1"/>
  <c r="B45" i="9" a="1"/>
  <c r="B45" i="9" s="1"/>
  <c r="T43" i="9" a="1"/>
  <c r="T43" i="9" s="1"/>
  <c r="P66" i="9" a="1"/>
  <c r="P66" i="9" s="1"/>
  <c r="B62" i="9" a="1"/>
  <c r="B62" i="9" s="1"/>
  <c r="P58" i="9" a="1"/>
  <c r="P58" i="9" s="1"/>
  <c r="H55" i="9" a="1"/>
  <c r="H55" i="9" s="1"/>
  <c r="R51" i="9" a="1"/>
  <c r="R51" i="9" s="1"/>
  <c r="R43" i="9" a="1"/>
  <c r="R43" i="9" s="1"/>
  <c r="E149" i="2" a="1"/>
  <c r="E149" i="2" s="1"/>
  <c r="J149" i="2" a="1"/>
  <c r="J149" i="2" s="1"/>
  <c r="E129" i="2" a="1"/>
  <c r="E129" i="2" s="1"/>
  <c r="E94" i="2"/>
  <c r="J226" i="2"/>
  <c r="J212" i="2"/>
  <c r="J71" i="2"/>
  <c r="J160" i="2"/>
  <c r="J181" i="2"/>
  <c r="J141" i="2"/>
  <c r="J64" i="2"/>
  <c r="J159" i="2"/>
  <c r="J180" i="2"/>
  <c r="J140" i="2"/>
  <c r="J63" i="2"/>
  <c r="J225" i="2"/>
  <c r="J211" i="2"/>
  <c r="H71" i="2"/>
  <c r="H226" i="2"/>
  <c r="H212" i="2"/>
  <c r="H160" i="2"/>
  <c r="H64" i="2"/>
  <c r="H181" i="2"/>
  <c r="H141" i="2"/>
  <c r="E181" i="2"/>
  <c r="Q181" i="2" s="1"/>
  <c r="E141" i="2"/>
  <c r="E212" i="2"/>
  <c r="E64" i="2"/>
  <c r="E226" i="2"/>
  <c r="E160" i="2"/>
  <c r="E106" i="2"/>
  <c r="E225" i="2"/>
  <c r="E211" i="2"/>
  <c r="E105" i="2"/>
  <c r="E159" i="2"/>
  <c r="E180" i="2"/>
  <c r="Q180" i="2" s="1"/>
  <c r="E140" i="2"/>
  <c r="E63" i="2"/>
  <c r="Q5" i="2"/>
  <c r="J70" i="2"/>
  <c r="E39" i="2"/>
  <c r="E38" i="2"/>
  <c r="J39" i="2"/>
  <c r="Z39" i="2" s="1"/>
  <c r="J35" i="2" a="1"/>
  <c r="J35" i="2" s="1"/>
  <c r="Z35" i="2" s="1"/>
  <c r="J38" i="2"/>
  <c r="Z38" i="2" s="1"/>
  <c r="J34" i="2" a="1"/>
  <c r="J34" i="2" s="1"/>
  <c r="Z34" i="2" s="1"/>
  <c r="E27" i="2" a="1"/>
  <c r="E27" i="2" s="1"/>
  <c r="E29" i="2" s="1" a="1"/>
  <c r="E29" i="2" s="1"/>
  <c r="J27" i="2" a="1"/>
  <c r="J27" i="2" s="1"/>
  <c r="N69" i="9" a="1"/>
  <c r="N69" i="9" s="1"/>
  <c r="M69" i="9" a="1"/>
  <c r="M69" i="9" s="1"/>
  <c r="F69" i="9" a="1"/>
  <c r="F69" i="9" s="1"/>
  <c r="C69" i="9" a="1"/>
  <c r="C69" i="9" s="1"/>
  <c r="R69" i="9" a="1"/>
  <c r="R69" i="9" s="1"/>
  <c r="Q69" i="9" a="1"/>
  <c r="Q69" i="9" s="1"/>
  <c r="P69" i="9" a="1"/>
  <c r="P69" i="9" s="1"/>
  <c r="O69" i="9" a="1"/>
  <c r="O69" i="9" s="1"/>
  <c r="L69" i="9" a="1"/>
  <c r="L69" i="9" s="1"/>
  <c r="K69" i="9" a="1"/>
  <c r="K69" i="9" s="1"/>
  <c r="G69" i="9" a="1"/>
  <c r="G69" i="9" s="1"/>
  <c r="B69" i="9" a="1"/>
  <c r="B69" i="9" s="1"/>
  <c r="T69" i="9" a="1"/>
  <c r="T69" i="9" s="1"/>
  <c r="S69" i="9" a="1"/>
  <c r="S69" i="9" s="1"/>
  <c r="L100" i="9" a="1"/>
  <c r="L100" i="9" s="1"/>
  <c r="A75" i="9" a="1"/>
  <c r="K78" i="9" s="1" a="1"/>
  <c r="K78" i="9" s="1"/>
  <c r="K100" i="9" a="1"/>
  <c r="K100" i="9" s="1"/>
  <c r="F100" i="9" a="1"/>
  <c r="F100" i="9" s="1"/>
  <c r="G100" i="9" a="1"/>
  <c r="G100" i="9" s="1"/>
  <c r="C100" i="9" a="1"/>
  <c r="C100" i="9" s="1"/>
  <c r="B100" i="9" a="1"/>
  <c r="B100" i="9" s="1"/>
  <c r="O100" i="9" a="1"/>
  <c r="O100" i="9" s="1"/>
  <c r="T100" i="9" a="1"/>
  <c r="T100" i="9" s="1"/>
  <c r="N100" i="9" a="1"/>
  <c r="N100" i="9" s="1"/>
  <c r="S100" i="9" a="1"/>
  <c r="S100" i="9" s="1"/>
  <c r="P100" i="9" a="1"/>
  <c r="P100" i="9" s="1"/>
  <c r="R100" i="9" a="1"/>
  <c r="R100" i="9" s="1"/>
  <c r="Q100" i="9" a="1"/>
  <c r="Q100" i="9" s="1"/>
  <c r="M100" i="9" a="1"/>
  <c r="M100" i="9" s="1"/>
  <c r="T318" i="2"/>
  <c r="U292" i="2"/>
  <c r="R292" i="2" s="1"/>
  <c r="AC106" i="2"/>
  <c r="V213" i="2"/>
  <c r="AC49" i="2"/>
  <c r="T182" i="2"/>
  <c r="U263" i="2"/>
  <c r="R263" i="2" s="1"/>
  <c r="T10" i="2"/>
  <c r="H23" i="2" a="1"/>
  <c r="H23" i="2" s="1"/>
  <c r="H251" i="2" s="1"/>
  <c r="U252" i="2"/>
  <c r="R252" i="2" s="1"/>
  <c r="AC5" i="2"/>
  <c r="T248" i="2"/>
  <c r="AC180" i="2"/>
  <c r="AC307" i="2"/>
  <c r="AC214" i="2"/>
  <c r="T321" i="2"/>
  <c r="V183" i="2"/>
  <c r="V210" i="2"/>
  <c r="U70" i="2"/>
  <c r="R70" i="2" s="1"/>
  <c r="AC265" i="2"/>
  <c r="AC24" i="2"/>
  <c r="T215" i="2"/>
  <c r="V310" i="2"/>
  <c r="V284" i="2"/>
  <c r="V326" i="2"/>
  <c r="U12" i="2"/>
  <c r="R12" i="2" s="1"/>
  <c r="T71" i="2"/>
  <c r="T239" i="2"/>
  <c r="U241" i="2"/>
  <c r="R241" i="2" s="1"/>
  <c r="AC300" i="2"/>
  <c r="AC42" i="2"/>
  <c r="T219" i="2"/>
  <c r="U268" i="2"/>
  <c r="R268" i="2" s="1"/>
  <c r="U249" i="2"/>
  <c r="R249" i="2" s="1"/>
  <c r="AC44" i="2"/>
  <c r="V160" i="2"/>
  <c r="T225" i="2"/>
  <c r="V296" i="2"/>
  <c r="V46" i="2"/>
  <c r="AC161" i="2"/>
  <c r="AC226" i="2"/>
  <c r="V302" i="2"/>
  <c r="AC47" i="2"/>
  <c r="U289" i="2"/>
  <c r="R289" i="2" s="1"/>
  <c r="U303" i="2"/>
  <c r="R303" i="2" s="1"/>
  <c r="AC251" i="2"/>
  <c r="D69" i="9" a="1"/>
  <c r="D69" i="9" s="1"/>
  <c r="E69" i="9" a="1"/>
  <c r="E69" i="9" s="1"/>
  <c r="F4" i="2" a="1"/>
  <c r="F4" i="2" s="1"/>
  <c r="F5" i="2" a="1"/>
  <c r="F5" i="2" s="1"/>
  <c r="F106" i="2" s="1"/>
  <c r="F22" i="2" a="1"/>
  <c r="F22" i="2" s="1"/>
  <c r="G4" i="2" a="1"/>
  <c r="G4" i="2" s="1"/>
  <c r="G5" i="2" a="1"/>
  <c r="G5" i="2" s="1"/>
  <c r="G106" i="2" s="1"/>
  <c r="G22" i="2" a="1"/>
  <c r="G22" i="2" s="1"/>
  <c r="I5" i="2" a="1"/>
  <c r="I5" i="2" s="1"/>
  <c r="I106" i="2" s="1"/>
  <c r="I4" i="2" a="1"/>
  <c r="I4" i="2" s="1"/>
  <c r="L4" i="2" a="1"/>
  <c r="L4" i="2" s="1"/>
  <c r="L5" i="2" a="1"/>
  <c r="L5" i="2" s="1"/>
  <c r="L106" i="2" s="1"/>
  <c r="H22" i="2" a="1"/>
  <c r="H22" i="2" s="1"/>
  <c r="I22" i="2" a="1"/>
  <c r="I22" i="2" s="1"/>
  <c r="L22" i="2" a="1"/>
  <c r="L22" i="2" s="1"/>
  <c r="J240" i="2"/>
  <c r="J264" i="2"/>
  <c r="J251" i="2"/>
  <c r="J284" i="2"/>
  <c r="J25" i="2" a="1"/>
  <c r="J25" i="2" s="1"/>
  <c r="J24" i="2" a="1"/>
  <c r="J24" i="2" s="1"/>
  <c r="J252" i="2" s="1"/>
  <c r="J26" i="2" a="1"/>
  <c r="J26" i="2" s="1"/>
  <c r="J263" i="2"/>
  <c r="J201" i="2" a="1"/>
  <c r="J201" i="2" s="1"/>
  <c r="J191" i="2"/>
  <c r="Z191" i="2" s="1"/>
  <c r="J65" i="2" a="1"/>
  <c r="J65" i="2" s="1"/>
  <c r="J272" i="2" a="1"/>
  <c r="J272" i="2" s="1"/>
  <c r="J239" i="2"/>
  <c r="J271" i="2" a="1"/>
  <c r="J271" i="2" s="1"/>
  <c r="J200" i="2"/>
  <c r="Z200" i="2" s="1"/>
  <c r="J182" i="2" a="1"/>
  <c r="J182" i="2" s="1"/>
  <c r="J184" i="2" s="1" a="1"/>
  <c r="J184" i="2" s="1"/>
  <c r="J7" i="2" a="1"/>
  <c r="J7" i="2" s="1"/>
  <c r="Z7" i="2" s="1"/>
  <c r="J208" i="2"/>
  <c r="J6" i="2" a="1"/>
  <c r="J6" i="2" s="1"/>
  <c r="J197" i="2"/>
  <c r="Z197" i="2" s="1"/>
  <c r="J209" i="2"/>
  <c r="Z209" i="2" s="1"/>
  <c r="J207" i="2"/>
  <c r="J177" i="2" a="1"/>
  <c r="J177" i="2" s="1"/>
  <c r="J8" i="2" a="1"/>
  <c r="J8" i="2" s="1"/>
  <c r="Z8" i="2" s="1"/>
  <c r="J267" i="2"/>
  <c r="J176" i="2" a="1"/>
  <c r="J176" i="2" s="1"/>
  <c r="J12" i="2" a="1"/>
  <c r="J12" i="2" s="1"/>
  <c r="J270" i="2" a="1"/>
  <c r="J270" i="2" s="1"/>
  <c r="J194" i="2"/>
  <c r="Z194" i="2" s="1"/>
  <c r="J185" i="2"/>
  <c r="J283" i="2"/>
  <c r="J250" i="2"/>
  <c r="J11" i="2" a="1"/>
  <c r="J11" i="2" s="1"/>
  <c r="J9" i="2" a="1"/>
  <c r="J9" i="2" s="1"/>
  <c r="B22" i="24"/>
  <c r="B41" i="24"/>
  <c r="B56" i="24"/>
  <c r="B57" i="24"/>
  <c r="B61" i="24"/>
  <c r="B59" i="24"/>
  <c r="B58" i="24"/>
  <c r="B62" i="24"/>
  <c r="B63" i="24"/>
  <c r="B60" i="24"/>
  <c r="B64" i="24"/>
  <c r="B65" i="24"/>
  <c r="B66" i="24"/>
  <c r="B67" i="24"/>
  <c r="B68" i="24"/>
  <c r="B69" i="24"/>
  <c r="B70" i="24"/>
  <c r="B71" i="24"/>
  <c r="B72" i="24"/>
  <c r="B75" i="24"/>
  <c r="B76" i="24"/>
  <c r="B74" i="24"/>
  <c r="B77" i="24"/>
  <c r="B73" i="24"/>
  <c r="E209" i="2"/>
  <c r="B12" i="16"/>
  <c r="B13" i="16"/>
  <c r="E4" i="1" a="1"/>
  <c r="E4" i="1" s="1"/>
  <c r="V251" i="2"/>
  <c r="U251" i="2"/>
  <c r="R251" i="2" s="1"/>
  <c r="H4" i="2" a="1"/>
  <c r="H4" i="2" s="1"/>
  <c r="V249" i="2"/>
  <c r="AC249" i="2"/>
  <c r="V250" i="2"/>
  <c r="AC250" i="2"/>
  <c r="V252" i="2"/>
  <c r="AC252" i="2"/>
  <c r="T250" i="2"/>
  <c r="U250" i="2"/>
  <c r="R250" i="2" s="1"/>
  <c r="E250" i="2"/>
  <c r="Q250" i="2" s="1"/>
  <c r="T251" i="2"/>
  <c r="T249" i="2"/>
  <c r="E251" i="2"/>
  <c r="Q251" i="2" s="1"/>
  <c r="T252" i="2"/>
  <c r="E197" i="2"/>
  <c r="U197" i="2" s="1"/>
  <c r="E182" i="2" a="1"/>
  <c r="E182" i="2" s="1"/>
  <c r="E191" i="2"/>
  <c r="U191" i="2" s="1"/>
  <c r="E200" i="2"/>
  <c r="U200" i="2" s="1"/>
  <c r="E185" i="2"/>
  <c r="E193" i="2" s="1" a="1"/>
  <c r="E193" i="2" s="1"/>
  <c r="E201" i="2" a="1"/>
  <c r="E201" i="2" s="1"/>
  <c r="E202" i="2" s="1" a="1"/>
  <c r="E202" i="2" s="1"/>
  <c r="E194" i="2"/>
  <c r="Q194" i="2" s="1"/>
  <c r="E207" i="2"/>
  <c r="E208" i="2"/>
  <c r="T179" i="2"/>
  <c r="U179" i="2"/>
  <c r="R179" i="2" s="1"/>
  <c r="V179" i="2"/>
  <c r="AC179" i="2"/>
  <c r="V184" i="2"/>
  <c r="T181" i="2"/>
  <c r="U181" i="2"/>
  <c r="R181" i="2" s="1"/>
  <c r="V181" i="2"/>
  <c r="U184" i="2"/>
  <c r="R184" i="2" s="1"/>
  <c r="AC184" i="2"/>
  <c r="U182" i="2"/>
  <c r="R182" i="2" s="1"/>
  <c r="AC181" i="2"/>
  <c r="V182" i="2"/>
  <c r="AC183" i="2"/>
  <c r="T180" i="2"/>
  <c r="U180" i="2"/>
  <c r="R180" i="2" s="1"/>
  <c r="AC182" i="2"/>
  <c r="V180" i="2"/>
  <c r="E7" i="2" a="1"/>
  <c r="E7" i="2" s="1"/>
  <c r="T184" i="2"/>
  <c r="T183" i="2"/>
  <c r="U183" i="2"/>
  <c r="R183" i="2" s="1"/>
  <c r="T49" i="2"/>
  <c r="U49" i="2"/>
  <c r="R49" i="2" s="1"/>
  <c r="V49" i="2"/>
  <c r="T280" i="2"/>
  <c r="AC298" i="2"/>
  <c r="U248" i="2"/>
  <c r="R248" i="2" s="1"/>
  <c r="V106" i="2"/>
  <c r="T302" i="2"/>
  <c r="T226" i="2"/>
  <c r="U239" i="2"/>
  <c r="R239" i="2" s="1"/>
  <c r="V280" i="2"/>
  <c r="T295" i="2"/>
  <c r="V282" i="2"/>
  <c r="U295" i="2"/>
  <c r="R295" i="2" s="1"/>
  <c r="V215" i="2"/>
  <c r="AC12" i="2"/>
  <c r="U240" i="2"/>
  <c r="R240" i="2" s="1"/>
  <c r="AC295" i="2"/>
  <c r="T5" i="2"/>
  <c r="AC240" i="2"/>
  <c r="V241" i="2"/>
  <c r="AC289" i="2"/>
  <c r="AC312" i="2"/>
  <c r="AC313" i="2"/>
  <c r="AC326" i="2"/>
  <c r="U215" i="2"/>
  <c r="R215" i="2" s="1"/>
  <c r="U23" i="2"/>
  <c r="R23" i="2" s="1"/>
  <c r="AC159" i="2"/>
  <c r="V292" i="2"/>
  <c r="U214" i="2"/>
  <c r="R214" i="2" s="1"/>
  <c r="V239" i="2"/>
  <c r="U265" i="2"/>
  <c r="R265" i="2" s="1"/>
  <c r="AC316" i="2"/>
  <c r="AC241" i="2"/>
  <c r="V161" i="2"/>
  <c r="AC286" i="2"/>
  <c r="AC239" i="2"/>
  <c r="T267" i="2"/>
  <c r="T240" i="2"/>
  <c r="AC321" i="2"/>
  <c r="V226" i="2"/>
  <c r="AC104" i="2"/>
  <c r="U238" i="2"/>
  <c r="R238" i="2" s="1"/>
  <c r="V297" i="2"/>
  <c r="AC304" i="2"/>
  <c r="T140" i="2"/>
  <c r="V219" i="2"/>
  <c r="T298" i="2"/>
  <c r="V305" i="2"/>
  <c r="V11" i="2"/>
  <c r="V140" i="2"/>
  <c r="AC282" i="2"/>
  <c r="V298" i="2"/>
  <c r="V24" i="2"/>
  <c r="E100" i="9" a="1"/>
  <c r="E100" i="9" s="1"/>
  <c r="T227" i="2"/>
  <c r="AC263" i="2"/>
  <c r="AC322" i="2"/>
  <c r="V322" i="2"/>
  <c r="T322" i="2"/>
  <c r="AC105" i="2"/>
  <c r="V105" i="2"/>
  <c r="U105" i="2"/>
  <c r="R105" i="2" s="1"/>
  <c r="T105" i="2"/>
  <c r="U24" i="2"/>
  <c r="R24" i="2" s="1"/>
  <c r="D100" i="9" a="1"/>
  <c r="D100" i="9" s="1"/>
  <c r="U11" i="2"/>
  <c r="R11" i="2" s="1"/>
  <c r="AC11" i="2"/>
  <c r="AC40" i="2"/>
  <c r="AC325" i="2"/>
  <c r="V325" i="2"/>
  <c r="U325" i="2"/>
  <c r="R325" i="2" s="1"/>
  <c r="V21" i="2"/>
  <c r="T21" i="2"/>
  <c r="T40" i="2"/>
  <c r="AC243" i="2"/>
  <c r="V243" i="2"/>
  <c r="U243" i="2"/>
  <c r="R243" i="2" s="1"/>
  <c r="T325" i="2"/>
  <c r="F4" i="1" a="1"/>
  <c r="F4" i="1" s="1"/>
  <c r="V40" i="2"/>
  <c r="T63" i="2"/>
  <c r="AC63" i="2"/>
  <c r="V63" i="2"/>
  <c r="T243" i="2"/>
  <c r="AC283" i="2"/>
  <c r="V283" i="2"/>
  <c r="U283" i="2"/>
  <c r="R283" i="2" s="1"/>
  <c r="T283" i="2"/>
  <c r="Q22" i="2"/>
  <c r="AC21" i="2"/>
  <c r="U63" i="2"/>
  <c r="R63" i="2" s="1"/>
  <c r="V234" i="2"/>
  <c r="U234" i="2"/>
  <c r="R234" i="2" s="1"/>
  <c r="U5" i="2"/>
  <c r="R5" i="2" s="1"/>
  <c r="U42" i="2"/>
  <c r="R42" i="2" s="1"/>
  <c r="T234" i="2"/>
  <c r="AC301" i="2"/>
  <c r="V238" i="2"/>
  <c r="V248" i="2"/>
  <c r="U161" i="2"/>
  <c r="R161" i="2" s="1"/>
  <c r="AC177" i="2"/>
  <c r="AC229" i="2"/>
  <c r="V240" i="2"/>
  <c r="AC266" i="2"/>
  <c r="V295" i="2"/>
  <c r="T305" i="2"/>
  <c r="U305" i="2"/>
  <c r="R305" i="2" s="1"/>
  <c r="AC310" i="2"/>
  <c r="AC219" i="2"/>
  <c r="AC248" i="2"/>
  <c r="AC280" i="2"/>
  <c r="V289" i="2"/>
  <c r="AC292" i="2"/>
  <c r="V228" i="2"/>
  <c r="T69" i="2"/>
  <c r="U210" i="2"/>
  <c r="T233" i="2"/>
  <c r="T262" i="2"/>
  <c r="T296" i="2"/>
  <c r="T312" i="2"/>
  <c r="U69" i="2"/>
  <c r="R69" i="2" s="1"/>
  <c r="U233" i="2"/>
  <c r="R233" i="2" s="1"/>
  <c r="U262" i="2"/>
  <c r="R262" i="2" s="1"/>
  <c r="V265" i="2"/>
  <c r="T282" i="2"/>
  <c r="V294" i="2"/>
  <c r="U296" i="2"/>
  <c r="R296" i="2" s="1"/>
  <c r="T300" i="2"/>
  <c r="U312" i="2"/>
  <c r="R312" i="2" s="1"/>
  <c r="U315" i="2"/>
  <c r="R315" i="2" s="1"/>
  <c r="U321" i="2"/>
  <c r="R321" i="2" s="1"/>
  <c r="V233" i="2"/>
  <c r="V262" i="2"/>
  <c r="U282" i="2"/>
  <c r="R282" i="2" s="1"/>
  <c r="V69" i="2"/>
  <c r="V300" i="2"/>
  <c r="T303" i="2"/>
  <c r="V312" i="2"/>
  <c r="V315" i="2"/>
  <c r="V321" i="2"/>
  <c r="T323" i="2"/>
  <c r="T326" i="2"/>
  <c r="T104" i="2"/>
  <c r="T229" i="2"/>
  <c r="U323" i="2"/>
  <c r="R323" i="2" s="1"/>
  <c r="V104" i="2"/>
  <c r="U177" i="2"/>
  <c r="R177" i="2" s="1"/>
  <c r="U229" i="2"/>
  <c r="R229" i="2" s="1"/>
  <c r="U219" i="2"/>
  <c r="R219" i="2" s="1"/>
  <c r="V229" i="2"/>
  <c r="U280" i="2"/>
  <c r="R280" i="2" s="1"/>
  <c r="T292" i="2"/>
  <c r="AC69" i="2"/>
  <c r="V177" i="2"/>
  <c r="AC233" i="2"/>
  <c r="AC262" i="2"/>
  <c r="V47" i="2"/>
  <c r="V23" i="2"/>
  <c r="AC23" i="2"/>
  <c r="AC139" i="2"/>
  <c r="V139" i="2"/>
  <c r="U139" i="2"/>
  <c r="R139" i="2" s="1"/>
  <c r="T139" i="2"/>
  <c r="T23" i="2"/>
  <c r="V62" i="2"/>
  <c r="AC62" i="2"/>
  <c r="T62" i="2"/>
  <c r="U62" i="2"/>
  <c r="R62" i="2" s="1"/>
  <c r="T210" i="2"/>
  <c r="AC210" i="2"/>
  <c r="U213" i="2"/>
  <c r="R213" i="2" s="1"/>
  <c r="AC71" i="2"/>
  <c r="V71" i="2"/>
  <c r="U71" i="2"/>
  <c r="R71" i="2" s="1"/>
  <c r="U306" i="2"/>
  <c r="R306" i="2" s="1"/>
  <c r="AC306" i="2"/>
  <c r="V306" i="2"/>
  <c r="V10" i="2"/>
  <c r="AC10" i="2"/>
  <c r="T306" i="2"/>
  <c r="U46" i="2"/>
  <c r="R46" i="2" s="1"/>
  <c r="AC46" i="2"/>
  <c r="T213" i="2"/>
  <c r="AC213" i="2"/>
  <c r="U10" i="2"/>
  <c r="R10" i="2" s="1"/>
  <c r="T46" i="2"/>
  <c r="T141" i="2"/>
  <c r="U141" i="2"/>
  <c r="R141" i="2" s="1"/>
  <c r="AC141" i="2"/>
  <c r="V141" i="2"/>
  <c r="AC303" i="2"/>
  <c r="V303" i="2"/>
  <c r="T163" i="2"/>
  <c r="AC163" i="2"/>
  <c r="V50" i="2"/>
  <c r="U64" i="2"/>
  <c r="R64" i="2" s="1"/>
  <c r="U284" i="2"/>
  <c r="R284" i="2" s="1"/>
  <c r="AC293" i="2"/>
  <c r="V293" i="2"/>
  <c r="U293" i="2"/>
  <c r="R293" i="2" s="1"/>
  <c r="AC308" i="2"/>
  <c r="AC320" i="2"/>
  <c r="V320" i="2"/>
  <c r="U320" i="2"/>
  <c r="R320" i="2" s="1"/>
  <c r="U160" i="2"/>
  <c r="R160" i="2" s="1"/>
  <c r="T268" i="2"/>
  <c r="T25" i="2"/>
  <c r="T70" i="2"/>
  <c r="U158" i="2"/>
  <c r="R158" i="2" s="1"/>
  <c r="T158" i="2"/>
  <c r="AC158" i="2"/>
  <c r="V158" i="2"/>
  <c r="U163" i="2"/>
  <c r="R163" i="2" s="1"/>
  <c r="T284" i="2"/>
  <c r="V6" i="2"/>
  <c r="T12" i="2"/>
  <c r="V22" i="2"/>
  <c r="V25" i="2"/>
  <c r="T42" i="2"/>
  <c r="V64" i="2"/>
  <c r="U104" i="2"/>
  <c r="R104" i="2" s="1"/>
  <c r="V163" i="2"/>
  <c r="T293" i="2"/>
  <c r="T308" i="2"/>
  <c r="T320" i="2"/>
  <c r="AC176" i="2"/>
  <c r="V176" i="2"/>
  <c r="U176" i="2"/>
  <c r="R176" i="2" s="1"/>
  <c r="T176" i="2"/>
  <c r="T44" i="2"/>
  <c r="T6" i="2"/>
  <c r="T22" i="2"/>
  <c r="AC224" i="2"/>
  <c r="V224" i="2"/>
  <c r="U224" i="2"/>
  <c r="R224" i="2" s="1"/>
  <c r="T224" i="2"/>
  <c r="U22" i="2"/>
  <c r="R22" i="2" s="1"/>
  <c r="V44" i="2"/>
  <c r="V12" i="2"/>
  <c r="U21" i="2"/>
  <c r="R21" i="2" s="1"/>
  <c r="U47" i="2"/>
  <c r="R47" i="2" s="1"/>
  <c r="V70" i="2"/>
  <c r="U308" i="2"/>
  <c r="R308" i="2" s="1"/>
  <c r="U44" i="2"/>
  <c r="R44" i="2" s="1"/>
  <c r="U25" i="2"/>
  <c r="R25" i="2" s="1"/>
  <c r="U50" i="2"/>
  <c r="R50" i="2" s="1"/>
  <c r="T47" i="2"/>
  <c r="T106" i="2"/>
  <c r="T159" i="2"/>
  <c r="AC285" i="2"/>
  <c r="V285" i="2"/>
  <c r="U285" i="2"/>
  <c r="R285" i="2" s="1"/>
  <c r="T160" i="2"/>
  <c r="T64" i="2"/>
  <c r="V5" i="2"/>
  <c r="AC6" i="2"/>
  <c r="T11" i="2"/>
  <c r="AC22" i="2"/>
  <c r="T24" i="2"/>
  <c r="V42" i="2"/>
  <c r="AC50" i="2"/>
  <c r="U106" i="2"/>
  <c r="R106" i="2" s="1"/>
  <c r="U159" i="2"/>
  <c r="R159" i="2" s="1"/>
  <c r="T285" i="2"/>
  <c r="V308" i="2"/>
  <c r="AC160" i="2"/>
  <c r="AC284" i="2"/>
  <c r="AC25" i="2"/>
  <c r="T247" i="2"/>
  <c r="AC247" i="2"/>
  <c r="U247" i="2"/>
  <c r="R247" i="2" s="1"/>
  <c r="V247" i="2"/>
  <c r="T50" i="2"/>
  <c r="AC268" i="2"/>
  <c r="V268" i="2"/>
  <c r="U6" i="2"/>
  <c r="R6" i="2" s="1"/>
  <c r="U40" i="2"/>
  <c r="R40" i="2" s="1"/>
  <c r="AC64" i="2"/>
  <c r="AC70" i="2"/>
  <c r="V159" i="2"/>
  <c r="AC215" i="2"/>
  <c r="AC242" i="2"/>
  <c r="V242" i="2"/>
  <c r="AC281" i="2"/>
  <c r="V281" i="2"/>
  <c r="AC317" i="2"/>
  <c r="T242" i="2"/>
  <c r="T281" i="2"/>
  <c r="T317" i="2"/>
  <c r="T220" i="2"/>
  <c r="AC220" i="2"/>
  <c r="U242" i="2"/>
  <c r="R242" i="2" s="1"/>
  <c r="U281" i="2"/>
  <c r="R281" i="2" s="1"/>
  <c r="U317" i="2"/>
  <c r="R317" i="2" s="1"/>
  <c r="AC140" i="2"/>
  <c r="U220" i="2"/>
  <c r="R220" i="2" s="1"/>
  <c r="AC225" i="2"/>
  <c r="AC162" i="2"/>
  <c r="V162" i="2"/>
  <c r="AC212" i="2"/>
  <c r="V212" i="2"/>
  <c r="V220" i="2"/>
  <c r="AC264" i="2"/>
  <c r="V264" i="2"/>
  <c r="AC297" i="2"/>
  <c r="AC299" i="2"/>
  <c r="V299" i="2"/>
  <c r="U299" i="2"/>
  <c r="R299" i="2" s="1"/>
  <c r="V317" i="2"/>
  <c r="U140" i="2"/>
  <c r="R140" i="2" s="1"/>
  <c r="T162" i="2"/>
  <c r="T212" i="2"/>
  <c r="U225" i="2"/>
  <c r="R225" i="2" s="1"/>
  <c r="T264" i="2"/>
  <c r="T297" i="2"/>
  <c r="T299" i="2"/>
  <c r="AC315" i="2"/>
  <c r="U162" i="2"/>
  <c r="R162" i="2" s="1"/>
  <c r="U212" i="2"/>
  <c r="R212" i="2" s="1"/>
  <c r="V225" i="2"/>
  <c r="V227" i="2"/>
  <c r="U227" i="2"/>
  <c r="R227" i="2" s="1"/>
  <c r="AC227" i="2"/>
  <c r="U264" i="2"/>
  <c r="R264" i="2" s="1"/>
  <c r="U297" i="2"/>
  <c r="R297" i="2" s="1"/>
  <c r="T315" i="2"/>
  <c r="U318" i="2"/>
  <c r="R318" i="2" s="1"/>
  <c r="AC318" i="2"/>
  <c r="V318" i="2"/>
  <c r="V214" i="2"/>
  <c r="U226" i="2"/>
  <c r="R226" i="2" s="1"/>
  <c r="AC311" i="2"/>
  <c r="V311" i="2"/>
  <c r="T161" i="2"/>
  <c r="T214" i="2"/>
  <c r="AC234" i="2"/>
  <c r="T311" i="2"/>
  <c r="AC228" i="2"/>
  <c r="U302" i="2"/>
  <c r="R302" i="2" s="1"/>
  <c r="AC302" i="2"/>
  <c r="U311" i="2"/>
  <c r="R311" i="2" s="1"/>
  <c r="T228" i="2"/>
  <c r="AC238" i="2"/>
  <c r="U294" i="2"/>
  <c r="R294" i="2" s="1"/>
  <c r="AC294" i="2"/>
  <c r="T177" i="2"/>
  <c r="U228" i="2"/>
  <c r="R228" i="2" s="1"/>
  <c r="T238" i="2"/>
  <c r="T241" i="2"/>
  <c r="T265" i="2"/>
  <c r="T294" i="2"/>
  <c r="U300" i="2"/>
  <c r="R300" i="2" s="1"/>
  <c r="AC305" i="2"/>
  <c r="V323" i="2"/>
  <c r="AC323" i="2"/>
  <c r="V263" i="2"/>
  <c r="T263" i="2"/>
  <c r="AC267" i="2"/>
  <c r="V267" i="2"/>
  <c r="U267" i="2"/>
  <c r="R267" i="2" s="1"/>
  <c r="AC296" i="2"/>
  <c r="T301" i="2"/>
  <c r="T304" i="2"/>
  <c r="T307" i="2"/>
  <c r="U310" i="2"/>
  <c r="R310" i="2" s="1"/>
  <c r="T313" i="2"/>
  <c r="T316" i="2"/>
  <c r="V327" i="2"/>
  <c r="U298" i="2"/>
  <c r="R298" i="2" s="1"/>
  <c r="U301" i="2"/>
  <c r="R301" i="2" s="1"/>
  <c r="U304" i="2"/>
  <c r="R304" i="2" s="1"/>
  <c r="U307" i="2"/>
  <c r="R307" i="2" s="1"/>
  <c r="T310" i="2"/>
  <c r="U313" i="2"/>
  <c r="R313" i="2" s="1"/>
  <c r="U316" i="2"/>
  <c r="R316" i="2" s="1"/>
  <c r="T327" i="2"/>
  <c r="T266" i="2"/>
  <c r="U286" i="2"/>
  <c r="R286" i="2" s="1"/>
  <c r="T289" i="2"/>
  <c r="U327" i="2"/>
  <c r="R327" i="2" s="1"/>
  <c r="U266" i="2"/>
  <c r="R266" i="2" s="1"/>
  <c r="T286" i="2"/>
  <c r="V301" i="2"/>
  <c r="V304" i="2"/>
  <c r="V307" i="2"/>
  <c r="V313" i="2"/>
  <c r="V316" i="2"/>
  <c r="V266" i="2"/>
  <c r="V286" i="2"/>
  <c r="AC327" i="2"/>
  <c r="U322" i="2"/>
  <c r="R322" i="2" s="1"/>
  <c r="U326" i="2"/>
  <c r="R326" i="2" s="1"/>
  <c r="E272" i="2" a="1"/>
  <c r="E272" i="2" s="1"/>
  <c r="Q272" i="2" s="1"/>
  <c r="E271" i="2" a="1"/>
  <c r="E271" i="2" s="1"/>
  <c r="E270" i="2" a="1"/>
  <c r="E270" i="2" s="1"/>
  <c r="E177" i="2" a="1"/>
  <c r="E177" i="2" s="1"/>
  <c r="Q177" i="2" s="1"/>
  <c r="E176" i="2" a="1"/>
  <c r="E176" i="2" s="1"/>
  <c r="E65" i="2" a="1"/>
  <c r="E65" i="2" s="1"/>
  <c r="U65" i="2" s="1"/>
  <c r="E11" i="2" a="1"/>
  <c r="E11" i="2" s="1"/>
  <c r="Q11" i="2" s="1"/>
  <c r="E8" i="2" a="1"/>
  <c r="E8" i="2" s="1"/>
  <c r="Q8" i="2" s="1"/>
  <c r="E9" i="2" a="1"/>
  <c r="E9" i="2" s="1"/>
  <c r="E17" i="2" s="1" a="1"/>
  <c r="E17" i="2" s="1"/>
  <c r="E6" i="2" a="1"/>
  <c r="E6" i="2" s="1"/>
  <c r="E101" i="2" s="1"/>
  <c r="E103" i="2" s="1" a="1"/>
  <c r="E103" i="2" s="1"/>
  <c r="E12" i="2" a="1"/>
  <c r="E12" i="2" s="1"/>
  <c r="Q12" i="2" s="1"/>
  <c r="E35" i="2" a="1"/>
  <c r="E35" i="2" s="1"/>
  <c r="Q35" i="2" s="1"/>
  <c r="E34" i="2" a="1"/>
  <c r="E34" i="2" s="1"/>
  <c r="E26" i="2" a="1"/>
  <c r="E26" i="2" s="1"/>
  <c r="E43" i="2" s="1" a="1"/>
  <c r="E43" i="2" s="1"/>
  <c r="E25" i="2" a="1"/>
  <c r="E25" i="2" s="1"/>
  <c r="E24" i="2" a="1"/>
  <c r="E24" i="2" s="1"/>
  <c r="E28" i="2" s="1" a="1"/>
  <c r="E28" i="2" s="1"/>
  <c r="J57" i="2" l="1" a="1"/>
  <c r="J57" i="2" s="1"/>
  <c r="Z57" i="2" s="1"/>
  <c r="Z26" i="2"/>
  <c r="J31" i="2" a="1"/>
  <c r="J31" i="2" s="1"/>
  <c r="Z31" i="2" s="1"/>
  <c r="Z27" i="2"/>
  <c r="E93" i="9" a="1"/>
  <c r="E93" i="9" s="1"/>
  <c r="J273" i="2"/>
  <c r="Z273" i="2" s="1"/>
  <c r="Z270" i="2"/>
  <c r="J19" i="2" a="1"/>
  <c r="J19" i="2" s="1"/>
  <c r="Z19" i="2" s="1"/>
  <c r="Z9" i="2"/>
  <c r="J190" i="2" a="1"/>
  <c r="J190" i="2" s="1"/>
  <c r="Z190" i="2" s="1"/>
  <c r="Z185" i="2"/>
  <c r="AA121" i="2"/>
  <c r="K123" i="2" a="1"/>
  <c r="K123" i="2" s="1"/>
  <c r="AA123" i="2" s="1"/>
  <c r="K125" i="2" a="1"/>
  <c r="K125" i="2" s="1"/>
  <c r="AA125" i="2" s="1"/>
  <c r="K127" i="2" a="1"/>
  <c r="K127" i="2" s="1"/>
  <c r="AA127" i="2" s="1"/>
  <c r="K126" i="2" a="1"/>
  <c r="K126" i="2" s="1"/>
  <c r="AA126" i="2" s="1"/>
  <c r="K122" i="2" a="1"/>
  <c r="K122" i="2" s="1"/>
  <c r="AA122" i="2" s="1"/>
  <c r="K124" i="2" a="1"/>
  <c r="K124" i="2" s="1"/>
  <c r="AA124" i="2" s="1"/>
  <c r="J68" i="2" a="1"/>
  <c r="J68" i="2" s="1"/>
  <c r="Z68" i="2" s="1"/>
  <c r="Z65" i="2"/>
  <c r="J203" i="2" a="1"/>
  <c r="J203" i="2" s="1"/>
  <c r="Z203" i="2" s="1"/>
  <c r="Z201" i="2"/>
  <c r="AA113" i="2"/>
  <c r="K114" i="2" a="1"/>
  <c r="K114" i="2" s="1"/>
  <c r="AA114" i="2" s="1"/>
  <c r="K117" i="2" a="1"/>
  <c r="K117" i="2" s="1"/>
  <c r="AA117" i="2" s="1"/>
  <c r="K115" i="2" a="1"/>
  <c r="K115" i="2" s="1"/>
  <c r="AA115" i="2" s="1"/>
  <c r="K118" i="2" a="1"/>
  <c r="K118" i="2" s="1"/>
  <c r="AA118" i="2" s="1"/>
  <c r="K116" i="2" a="1"/>
  <c r="K116" i="2" s="1"/>
  <c r="AA116" i="2" s="1"/>
  <c r="K119" i="2" a="1"/>
  <c r="K119" i="2" s="1"/>
  <c r="AA119" i="2" s="1"/>
  <c r="K120" i="2" a="1"/>
  <c r="K120" i="2" s="1"/>
  <c r="AA120" i="2" s="1"/>
  <c r="D88" i="9" a="1"/>
  <c r="D88" i="9" s="1"/>
  <c r="J275" i="2"/>
  <c r="Z275" i="2" s="1"/>
  <c r="Z272" i="2"/>
  <c r="J274" i="2"/>
  <c r="Z274" i="2" s="1"/>
  <c r="Z271" i="2"/>
  <c r="AA78" i="2"/>
  <c r="K84" i="2" a="1"/>
  <c r="K84" i="2" s="1"/>
  <c r="K83" i="2" a="1"/>
  <c r="K83" i="2" s="1"/>
  <c r="AA83" i="2" s="1"/>
  <c r="K80" i="2" a="1"/>
  <c r="K80" i="2" s="1"/>
  <c r="AA80" i="2" s="1"/>
  <c r="K81" i="2" a="1"/>
  <c r="K81" i="2" s="1"/>
  <c r="AA81" i="2" s="1"/>
  <c r="K79" i="2" a="1"/>
  <c r="K79" i="2" s="1"/>
  <c r="AA79" i="2" s="1"/>
  <c r="K82" i="2" a="1"/>
  <c r="K82" i="2" s="1"/>
  <c r="AA82" i="2" s="1"/>
  <c r="AA86" i="2"/>
  <c r="K90" i="2" a="1"/>
  <c r="K90" i="2" s="1"/>
  <c r="AA90" i="2" s="1"/>
  <c r="K92" i="2" a="1"/>
  <c r="K92" i="2" s="1"/>
  <c r="AA92" i="2" s="1"/>
  <c r="K89" i="2" a="1"/>
  <c r="K89" i="2" s="1"/>
  <c r="AA89" i="2" s="1"/>
  <c r="K87" i="2" a="1"/>
  <c r="K87" i="2" s="1"/>
  <c r="AA87" i="2" s="1"/>
  <c r="K88" i="2" a="1"/>
  <c r="K88" i="2" s="1"/>
  <c r="AA88" i="2" s="1"/>
  <c r="K91" i="2" a="1"/>
  <c r="K91" i="2" s="1"/>
  <c r="AA91" i="2" s="1"/>
  <c r="P88" i="9" a="1"/>
  <c r="P88" i="9" s="1"/>
  <c r="L93" i="9" a="1"/>
  <c r="L93" i="9" s="1"/>
  <c r="B91" i="9" a="1"/>
  <c r="B91" i="9" s="1"/>
  <c r="F86" i="9"/>
  <c r="T83" i="9" a="1"/>
  <c r="T83" i="9" s="1"/>
  <c r="U85" i="9" a="1"/>
  <c r="U85" i="9" s="1"/>
  <c r="F80" i="9"/>
  <c r="M80" i="9" a="1"/>
  <c r="M80" i="9" s="1"/>
  <c r="F77" i="9"/>
  <c r="M94" i="9" a="1"/>
  <c r="M94" i="9" s="1"/>
  <c r="N89" i="9" a="1"/>
  <c r="N89" i="9" s="1"/>
  <c r="U88" i="9" a="1"/>
  <c r="U88" i="9" s="1"/>
  <c r="K88" i="9" a="1"/>
  <c r="K88" i="9" s="1"/>
  <c r="Q82" i="9" a="1"/>
  <c r="Q82" i="9" s="1"/>
  <c r="R84" i="9" a="1"/>
  <c r="R84" i="9" s="1"/>
  <c r="S86" i="9" a="1"/>
  <c r="S86" i="9" s="1"/>
  <c r="Q76" i="9" a="1"/>
  <c r="Q76" i="9" s="1"/>
  <c r="K81" i="9" a="1"/>
  <c r="K81" i="9" s="1"/>
  <c r="B79" i="9" a="1"/>
  <c r="B79" i="9" s="1"/>
  <c r="T94" i="9" a="1"/>
  <c r="T94" i="9" s="1"/>
  <c r="L90" i="9" a="1"/>
  <c r="L90" i="9" s="1"/>
  <c r="S89" i="9" a="1"/>
  <c r="S89" i="9" s="1"/>
  <c r="G89" i="9"/>
  <c r="O83" i="9" a="1"/>
  <c r="O83" i="9" s="1"/>
  <c r="P85" i="9" a="1"/>
  <c r="P85" i="9" s="1"/>
  <c r="Q87" i="9" a="1"/>
  <c r="Q87" i="9" s="1"/>
  <c r="O77" i="9" a="1"/>
  <c r="O77" i="9" s="1"/>
  <c r="C76" i="9" a="1"/>
  <c r="C76" i="9" s="1"/>
  <c r="K76" i="9" a="1"/>
  <c r="K76" i="9" s="1"/>
  <c r="F92" i="9"/>
  <c r="Q90" i="9" a="1"/>
  <c r="Q90" i="9" s="1"/>
  <c r="U91" i="9" a="1"/>
  <c r="U91" i="9" s="1"/>
  <c r="M84" i="9" a="1"/>
  <c r="M84" i="9" s="1"/>
  <c r="N86" i="9" a="1"/>
  <c r="N86" i="9" s="1"/>
  <c r="H83" i="9" a="1"/>
  <c r="H83" i="9" s="1"/>
  <c r="M78" i="9" a="1"/>
  <c r="M78" i="9" s="1"/>
  <c r="T77" i="9" a="1"/>
  <c r="T77" i="9" s="1"/>
  <c r="G77" i="9"/>
  <c r="N94" i="9" a="1"/>
  <c r="N94" i="9" s="1"/>
  <c r="Q88" i="9" a="1"/>
  <c r="Q88" i="9" s="1"/>
  <c r="O91" i="9" a="1"/>
  <c r="O91" i="9" s="1"/>
  <c r="S92" i="9" a="1"/>
  <c r="S92" i="9" s="1"/>
  <c r="K85" i="9" a="1"/>
  <c r="K85" i="9" s="1"/>
  <c r="L87" i="9" a="1"/>
  <c r="L87" i="9" s="1"/>
  <c r="C85" i="9" a="1"/>
  <c r="C85" i="9" s="1"/>
  <c r="K79" i="9" a="1"/>
  <c r="K79" i="9" s="1"/>
  <c r="R78" i="9" a="1"/>
  <c r="R78" i="9" s="1"/>
  <c r="U79" i="9" a="1"/>
  <c r="U79" i="9" s="1"/>
  <c r="O89" i="9" a="1"/>
  <c r="O89" i="9" s="1"/>
  <c r="M92" i="9" a="1"/>
  <c r="M92" i="9" s="1"/>
  <c r="Q93" i="9" a="1"/>
  <c r="Q93" i="9" s="1"/>
  <c r="G86" i="9"/>
  <c r="B83" i="9" a="1"/>
  <c r="B83" i="9" s="1"/>
  <c r="T86" i="9" a="1"/>
  <c r="T86" i="9" s="1"/>
  <c r="G80" i="9"/>
  <c r="P79" i="9" a="1"/>
  <c r="P79" i="9" s="1"/>
  <c r="S80" i="9" a="1"/>
  <c r="S80" i="9" s="1"/>
  <c r="M90" i="9" a="1"/>
  <c r="M90" i="9" s="1"/>
  <c r="K93" i="9" a="1"/>
  <c r="K93" i="9" s="1"/>
  <c r="H89" i="9" a="1"/>
  <c r="H89" i="9" s="1"/>
  <c r="H86" i="9" a="1"/>
  <c r="H86" i="9" s="1"/>
  <c r="U83" i="9" a="1"/>
  <c r="U83" i="9" s="1"/>
  <c r="R87" i="9" a="1"/>
  <c r="R87" i="9" s="1"/>
  <c r="H80" i="9" a="1"/>
  <c r="H80" i="9" s="1"/>
  <c r="N80" i="9" a="1"/>
  <c r="N80" i="9" s="1"/>
  <c r="Q81" i="9" a="1"/>
  <c r="Q81" i="9" s="1"/>
  <c r="U94" i="9" a="1"/>
  <c r="U94" i="9" s="1"/>
  <c r="K91" i="9" a="1"/>
  <c r="K91" i="9" s="1"/>
  <c r="C88" i="9" a="1"/>
  <c r="C88" i="9" s="1"/>
  <c r="C91" i="9" a="1"/>
  <c r="C91" i="9" s="1"/>
  <c r="R82" i="9" a="1"/>
  <c r="R82" i="9" s="1"/>
  <c r="S84" i="9" a="1"/>
  <c r="S84" i="9" s="1"/>
  <c r="F84" i="9"/>
  <c r="R76" i="9" a="1"/>
  <c r="R76" i="9" s="1"/>
  <c r="L81" i="9" a="1"/>
  <c r="L81" i="9" s="1"/>
  <c r="H77" i="9" a="1"/>
  <c r="H77" i="9" s="1"/>
  <c r="G92" i="9"/>
  <c r="B89" i="9" a="1"/>
  <c r="B89" i="9" s="1"/>
  <c r="T92" i="9" a="1"/>
  <c r="T92" i="9" s="1"/>
  <c r="P83" i="9" a="1"/>
  <c r="P83" i="9" s="1"/>
  <c r="Q85" i="9" a="1"/>
  <c r="Q85" i="9" s="1"/>
  <c r="B86" i="9" a="1"/>
  <c r="B86" i="9" s="1"/>
  <c r="P77" i="9" a="1"/>
  <c r="P77" i="9" s="1"/>
  <c r="B77" i="9" a="1"/>
  <c r="B77" i="9" s="1"/>
  <c r="C79" i="9" a="1"/>
  <c r="C79" i="9" s="1"/>
  <c r="H92" i="9" a="1"/>
  <c r="H92" i="9" s="1"/>
  <c r="U89" i="9" a="1"/>
  <c r="U89" i="9" s="1"/>
  <c r="R93" i="9" a="1"/>
  <c r="R93" i="9" s="1"/>
  <c r="N84" i="9" a="1"/>
  <c r="N84" i="9" s="1"/>
  <c r="O86" i="9" a="1"/>
  <c r="O86" i="9" s="1"/>
  <c r="L82" i="9" a="1"/>
  <c r="L82" i="9" s="1"/>
  <c r="N78" i="9" a="1"/>
  <c r="N78" i="9" s="1"/>
  <c r="U77" i="9" a="1"/>
  <c r="U77" i="9" s="1"/>
  <c r="T80" i="9" a="1"/>
  <c r="T80" i="9" s="1"/>
  <c r="H94" i="9" a="1"/>
  <c r="H94" i="9" s="1"/>
  <c r="R88" i="9" a="1"/>
  <c r="R88" i="9" s="1"/>
  <c r="S90" i="9" a="1"/>
  <c r="S90" i="9" s="1"/>
  <c r="L88" i="9" a="1"/>
  <c r="L88" i="9" s="1"/>
  <c r="L85" i="9" a="1"/>
  <c r="L85" i="9" s="1"/>
  <c r="M87" i="9" a="1"/>
  <c r="M87" i="9" s="1"/>
  <c r="S87" i="9" a="1"/>
  <c r="S87" i="9" s="1"/>
  <c r="L79" i="9" a="1"/>
  <c r="L79" i="9" s="1"/>
  <c r="S78" i="9" a="1"/>
  <c r="S78" i="9" s="1"/>
  <c r="R81" i="9" a="1"/>
  <c r="R81" i="9" s="1"/>
  <c r="P94" i="9" a="1"/>
  <c r="P94" i="9" s="1"/>
  <c r="P89" i="9" a="1"/>
  <c r="P89" i="9" s="1"/>
  <c r="Q91" i="9" a="1"/>
  <c r="Q91" i="9" s="1"/>
  <c r="F90" i="9"/>
  <c r="F87" i="9"/>
  <c r="C83" i="9" a="1"/>
  <c r="C83" i="9" s="1"/>
  <c r="H84" i="9" a="1"/>
  <c r="H84" i="9" s="1"/>
  <c r="F81" i="9"/>
  <c r="Q79" i="9" a="1"/>
  <c r="Q79" i="9" s="1"/>
  <c r="F78" i="9"/>
  <c r="N90" i="9" a="1"/>
  <c r="N90" i="9" s="1"/>
  <c r="O92" i="9" a="1"/>
  <c r="O92" i="9" s="1"/>
  <c r="B92" i="9" a="1"/>
  <c r="B92" i="9" s="1"/>
  <c r="S82" i="9" a="1"/>
  <c r="S82" i="9" s="1"/>
  <c r="T84" i="9" a="1"/>
  <c r="T84" i="9" s="1"/>
  <c r="C86" i="9" a="1"/>
  <c r="C86" i="9" s="1"/>
  <c r="S76" i="9" a="1"/>
  <c r="S76" i="9" s="1"/>
  <c r="O80" i="9" a="1"/>
  <c r="O80" i="9" s="1"/>
  <c r="B80" i="9" a="1"/>
  <c r="B80" i="9" s="1"/>
  <c r="L91" i="9" a="1"/>
  <c r="L91" i="9" s="1"/>
  <c r="M93" i="9" a="1"/>
  <c r="M93" i="9" s="1"/>
  <c r="M88" i="9" a="1"/>
  <c r="M88" i="9" s="1"/>
  <c r="Q83" i="9" a="1"/>
  <c r="Q83" i="9" s="1"/>
  <c r="R85" i="9" a="1"/>
  <c r="R85" i="9" s="1"/>
  <c r="M82" i="9" a="1"/>
  <c r="M82" i="9" s="1"/>
  <c r="Q77" i="9" a="1"/>
  <c r="Q77" i="9" s="1"/>
  <c r="M81" i="9" a="1"/>
  <c r="M81" i="9" s="1"/>
  <c r="M76" i="9" a="1"/>
  <c r="M76" i="9" s="1"/>
  <c r="F93" i="9"/>
  <c r="C89" i="9" a="1"/>
  <c r="C89" i="9" s="1"/>
  <c r="K89" i="9" a="1"/>
  <c r="K89" i="9" s="1"/>
  <c r="O84" i="9" a="1"/>
  <c r="O84" i="9" s="1"/>
  <c r="P86" i="9" a="1"/>
  <c r="P86" i="9" s="1"/>
  <c r="K83" i="9" a="1"/>
  <c r="K83" i="9" s="1"/>
  <c r="O78" i="9" a="1"/>
  <c r="O78" i="9" s="1"/>
  <c r="C77" i="9" a="1"/>
  <c r="C77" i="9" s="1"/>
  <c r="K77" i="9" a="1"/>
  <c r="K77" i="9" s="1"/>
  <c r="S88" i="9" a="1"/>
  <c r="S88" i="9" s="1"/>
  <c r="T90" i="9" a="1"/>
  <c r="T90" i="9" s="1"/>
  <c r="G90" i="9"/>
  <c r="M85" i="9" a="1"/>
  <c r="M85" i="9" s="1"/>
  <c r="N87" i="9" a="1"/>
  <c r="N87" i="9" s="1"/>
  <c r="G84" i="9"/>
  <c r="M79" i="9" a="1"/>
  <c r="M79" i="9" s="1"/>
  <c r="T78" i="9" a="1"/>
  <c r="T78" i="9" s="1"/>
  <c r="G78" i="9"/>
  <c r="B94" i="9" a="1"/>
  <c r="B94" i="9" s="1"/>
  <c r="Q89" i="9" a="1"/>
  <c r="Q89" i="9" s="1"/>
  <c r="R91" i="9" a="1"/>
  <c r="R91" i="9" s="1"/>
  <c r="U92" i="9" a="1"/>
  <c r="U92" i="9" s="1"/>
  <c r="K86" i="9" a="1"/>
  <c r="K86" i="9" s="1"/>
  <c r="F82" i="9"/>
  <c r="U86" i="9" a="1"/>
  <c r="U86" i="9" s="1"/>
  <c r="K80" i="9" a="1"/>
  <c r="K80" i="9" s="1"/>
  <c r="R79" i="9" a="1"/>
  <c r="R79" i="9" s="1"/>
  <c r="U80" i="9" a="1"/>
  <c r="U80" i="9" s="1"/>
  <c r="Q94" i="9" a="1"/>
  <c r="Q94" i="9" s="1"/>
  <c r="O90" i="9" a="1"/>
  <c r="O90" i="9" s="1"/>
  <c r="P92" i="9" a="1"/>
  <c r="P92" i="9" s="1"/>
  <c r="S93" i="9" a="1"/>
  <c r="S93" i="9" s="1"/>
  <c r="G87" i="9"/>
  <c r="B84" i="9" a="1"/>
  <c r="B84" i="9" s="1"/>
  <c r="F85" i="9"/>
  <c r="G81" i="9"/>
  <c r="P80" i="9" a="1"/>
  <c r="P80" i="9" s="1"/>
  <c r="S81" i="9" a="1"/>
  <c r="S81" i="9" s="1"/>
  <c r="M91" i="9" a="1"/>
  <c r="M91" i="9" s="1"/>
  <c r="N93" i="9" a="1"/>
  <c r="N93" i="9" s="1"/>
  <c r="H90" i="9" a="1"/>
  <c r="H90" i="9" s="1"/>
  <c r="H87" i="9" a="1"/>
  <c r="H87" i="9" s="1"/>
  <c r="G82" i="9"/>
  <c r="B87" i="9" a="1"/>
  <c r="B87" i="9" s="1"/>
  <c r="H81" i="9" a="1"/>
  <c r="H81" i="9" s="1"/>
  <c r="N81" i="9" a="1"/>
  <c r="N81" i="9" s="1"/>
  <c r="H78" i="9" a="1"/>
  <c r="H78" i="9" s="1"/>
  <c r="K94" i="9" a="1"/>
  <c r="K94" i="9" s="1"/>
  <c r="K92" i="9" a="1"/>
  <c r="K92" i="9" s="1"/>
  <c r="F88" i="9"/>
  <c r="C92" i="9" a="1"/>
  <c r="C92" i="9" s="1"/>
  <c r="T82" i="9" a="1"/>
  <c r="T82" i="9" s="1"/>
  <c r="U84" i="9" a="1"/>
  <c r="U84" i="9" s="1"/>
  <c r="O82" i="9" a="1"/>
  <c r="O82" i="9" s="1"/>
  <c r="T76" i="9" a="1"/>
  <c r="T76" i="9" s="1"/>
  <c r="L76" i="9" a="1"/>
  <c r="L76" i="9" s="1"/>
  <c r="C80" i="9" a="1"/>
  <c r="C80" i="9" s="1"/>
  <c r="G93" i="9"/>
  <c r="B90" i="9" a="1"/>
  <c r="B90" i="9" s="1"/>
  <c r="N88" i="9" a="1"/>
  <c r="N88" i="9" s="1"/>
  <c r="R83" i="9" a="1"/>
  <c r="R83" i="9" s="1"/>
  <c r="S85" i="9" a="1"/>
  <c r="S85" i="9" s="1"/>
  <c r="M83" i="9" a="1"/>
  <c r="M83" i="9" s="1"/>
  <c r="R77" i="9" a="1"/>
  <c r="R77" i="9" s="1"/>
  <c r="F76" i="9"/>
  <c r="N76" i="9" a="1"/>
  <c r="N76" i="9" s="1"/>
  <c r="H93" i="9" a="1"/>
  <c r="H93" i="9" s="1"/>
  <c r="G88" i="9"/>
  <c r="L89" i="9" a="1"/>
  <c r="L89" i="9" s="1"/>
  <c r="P84" i="9" a="1"/>
  <c r="P84" i="9" s="1"/>
  <c r="Q86" i="9" a="1"/>
  <c r="Q86" i="9" s="1"/>
  <c r="K84" i="9" a="1"/>
  <c r="K84" i="9" s="1"/>
  <c r="P78" i="9" a="1"/>
  <c r="P78" i="9" s="1"/>
  <c r="B78" i="9" a="1"/>
  <c r="B78" i="9" s="1"/>
  <c r="L77" i="9" a="1"/>
  <c r="L77" i="9" s="1"/>
  <c r="R94" i="9" a="1"/>
  <c r="R94" i="9" s="1"/>
  <c r="C94" i="9" a="1"/>
  <c r="C94" i="9" s="1"/>
  <c r="T88" i="9" a="1"/>
  <c r="T88" i="9" s="1"/>
  <c r="U90" i="9" a="1"/>
  <c r="U90" i="9" s="1"/>
  <c r="T93" i="9" a="1"/>
  <c r="T93" i="9" s="1"/>
  <c r="N85" i="9" a="1"/>
  <c r="N85" i="9" s="1"/>
  <c r="O87" i="9" a="1"/>
  <c r="O87" i="9" s="1"/>
  <c r="G85" i="9"/>
  <c r="N79" i="9" a="1"/>
  <c r="N79" i="9" s="1"/>
  <c r="G76" i="9"/>
  <c r="T81" i="9" a="1"/>
  <c r="T81" i="9" s="1"/>
  <c r="P90" i="9" a="1"/>
  <c r="P90" i="9" s="1"/>
  <c r="S91" i="9" a="1"/>
  <c r="S91" i="9" s="1"/>
  <c r="F91" i="9"/>
  <c r="L86" i="9" a="1"/>
  <c r="L86" i="9" s="1"/>
  <c r="H82" i="9" a="1"/>
  <c r="H82" i="9" s="1"/>
  <c r="U87" i="9" a="1"/>
  <c r="U87" i="9" s="1"/>
  <c r="L80" i="9" a="1"/>
  <c r="L80" i="9" s="1"/>
  <c r="U78" i="9" a="1"/>
  <c r="U78" i="9" s="1"/>
  <c r="F79" i="9"/>
  <c r="B88" i="9" a="1"/>
  <c r="B88" i="9" s="1"/>
  <c r="Q92" i="9" a="1"/>
  <c r="Q92" i="9" s="1"/>
  <c r="B93" i="9" a="1"/>
  <c r="B93" i="9" s="1"/>
  <c r="B82" i="9" a="1"/>
  <c r="B82" i="9" s="1"/>
  <c r="C84" i="9" a="1"/>
  <c r="C84" i="9" s="1"/>
  <c r="N82" i="9" a="1"/>
  <c r="N82" i="9" s="1"/>
  <c r="B76" i="9" a="1"/>
  <c r="B76" i="9" s="1"/>
  <c r="S79" i="9" a="1"/>
  <c r="S79" i="9" s="1"/>
  <c r="B81" i="9" a="1"/>
  <c r="B81" i="9" s="1"/>
  <c r="L94" i="9" a="1"/>
  <c r="L94" i="9" s="1"/>
  <c r="R89" i="9" a="1"/>
  <c r="R89" i="9" s="1"/>
  <c r="O93" i="9" a="1"/>
  <c r="O93" i="9" s="1"/>
  <c r="O88" i="9" a="1"/>
  <c r="O88" i="9" s="1"/>
  <c r="U82" i="9" a="1"/>
  <c r="U82" i="9" s="1"/>
  <c r="T85" i="9" a="1"/>
  <c r="T85" i="9" s="1"/>
  <c r="L83" i="9" a="1"/>
  <c r="L83" i="9" s="1"/>
  <c r="P76" i="9" a="1"/>
  <c r="P76" i="9" s="1"/>
  <c r="Q80" i="9" a="1"/>
  <c r="Q80" i="9" s="1"/>
  <c r="O76" i="9" a="1"/>
  <c r="O76" i="9" s="1"/>
  <c r="N91" i="9" a="1"/>
  <c r="N91" i="9" s="1"/>
  <c r="H88" i="9" a="1"/>
  <c r="H88" i="9" s="1"/>
  <c r="M89" i="9" a="1"/>
  <c r="M89" i="9" s="1"/>
  <c r="S83" i="9" a="1"/>
  <c r="S83" i="9" s="1"/>
  <c r="R86" i="9" a="1"/>
  <c r="R86" i="9" s="1"/>
  <c r="T87" i="9" a="1"/>
  <c r="T87" i="9" s="1"/>
  <c r="N77" i="9" a="1"/>
  <c r="N77" i="9" s="1"/>
  <c r="O81" i="9" a="1"/>
  <c r="O81" i="9" s="1"/>
  <c r="M77" i="9" a="1"/>
  <c r="M77" i="9" s="1"/>
  <c r="O94" i="9" a="1"/>
  <c r="O94" i="9" s="1"/>
  <c r="L92" i="9" a="1"/>
  <c r="L92" i="9" s="1"/>
  <c r="C90" i="9" a="1"/>
  <c r="C90" i="9" s="1"/>
  <c r="K90" i="9" a="1"/>
  <c r="K90" i="9" s="1"/>
  <c r="Q84" i="9" a="1"/>
  <c r="Q84" i="9" s="1"/>
  <c r="P87" i="9" a="1"/>
  <c r="P87" i="9" s="1"/>
  <c r="H85" i="9" a="1"/>
  <c r="H85" i="9" s="1"/>
  <c r="L78" i="9" a="1"/>
  <c r="L78" i="9" s="1"/>
  <c r="H76" i="9" a="1"/>
  <c r="H76" i="9" s="1"/>
  <c r="J81" i="9"/>
  <c r="J89" i="9"/>
  <c r="J80" i="9"/>
  <c r="J88" i="9"/>
  <c r="J79" i="9"/>
  <c r="J78" i="9"/>
  <c r="J77" i="9"/>
  <c r="J76" i="9"/>
  <c r="J87" i="9"/>
  <c r="J86" i="9"/>
  <c r="J85" i="9"/>
  <c r="J84" i="9"/>
  <c r="J83" i="9"/>
  <c r="J82" i="9"/>
  <c r="J93" i="9"/>
  <c r="J92" i="9"/>
  <c r="J91" i="9"/>
  <c r="J90" i="9"/>
  <c r="S94" i="9" a="1"/>
  <c r="S94" i="9" s="1"/>
  <c r="T89" i="9" a="1"/>
  <c r="T89" i="9" s="1"/>
  <c r="P93" i="9" a="1"/>
  <c r="P93" i="9" s="1"/>
  <c r="G91" i="9"/>
  <c r="O85" i="9" a="1"/>
  <c r="O85" i="9" s="1"/>
  <c r="F83" i="9"/>
  <c r="C87" i="9" a="1"/>
  <c r="C87" i="9" s="1"/>
  <c r="U76" i="9" a="1"/>
  <c r="U76" i="9" s="1"/>
  <c r="C78" i="9" a="1"/>
  <c r="C78" i="9" s="1"/>
  <c r="G79" i="9"/>
  <c r="R90" i="9" a="1"/>
  <c r="R90" i="9" s="1"/>
  <c r="T91" i="9" a="1"/>
  <c r="T91" i="9" s="1"/>
  <c r="U93" i="9" a="1"/>
  <c r="U93" i="9" s="1"/>
  <c r="M86" i="9" a="1"/>
  <c r="M86" i="9" s="1"/>
  <c r="B85" i="9" a="1"/>
  <c r="B85" i="9" s="1"/>
  <c r="P82" i="9" a="1"/>
  <c r="P82" i="9" s="1"/>
  <c r="S77" i="9" a="1"/>
  <c r="S77" i="9" s="1"/>
  <c r="T79" i="9" a="1"/>
  <c r="T79" i="9" s="1"/>
  <c r="U81" i="9" a="1"/>
  <c r="U81" i="9" s="1"/>
  <c r="P91" i="9" a="1"/>
  <c r="P91" i="9" s="1"/>
  <c r="R92" i="9" a="1"/>
  <c r="R92" i="9" s="1"/>
  <c r="H91" i="9" a="1"/>
  <c r="H91" i="9" s="1"/>
  <c r="K87" i="9" a="1"/>
  <c r="K87" i="9" s="1"/>
  <c r="K82" i="9" a="1"/>
  <c r="K82" i="9" s="1"/>
  <c r="N83" i="9" a="1"/>
  <c r="N83" i="9" s="1"/>
  <c r="Q78" i="9" a="1"/>
  <c r="Q78" i="9" s="1"/>
  <c r="R80" i="9" a="1"/>
  <c r="R80" i="9" s="1"/>
  <c r="H79" i="9" a="1"/>
  <c r="H79" i="9" s="1"/>
  <c r="N92" i="9" a="1"/>
  <c r="N92" i="9" s="1"/>
  <c r="F89" i="9"/>
  <c r="C93" i="9" a="1"/>
  <c r="C93" i="9" s="1"/>
  <c r="C82" i="9" a="1"/>
  <c r="C82" i="9" s="1"/>
  <c r="G83" i="9"/>
  <c r="L84" i="9" a="1"/>
  <c r="L84" i="9" s="1"/>
  <c r="O79" i="9" a="1"/>
  <c r="O79" i="9" s="1"/>
  <c r="P81" i="9" a="1"/>
  <c r="P81" i="9" s="1"/>
  <c r="C81" i="9" a="1"/>
  <c r="C81" i="9" s="1"/>
  <c r="E78" i="9" a="1"/>
  <c r="E78" i="9" s="1"/>
  <c r="E76" i="9" a="1"/>
  <c r="E76" i="9" s="1"/>
  <c r="D79" i="9" a="1"/>
  <c r="D79" i="9" s="1"/>
  <c r="D77" i="9" a="1"/>
  <c r="D77" i="9" s="1"/>
  <c r="E79" i="9" a="1"/>
  <c r="E79" i="9" s="1"/>
  <c r="D81" i="9" a="1"/>
  <c r="D81" i="9" s="1"/>
  <c r="E77" i="9" a="1"/>
  <c r="E77" i="9" s="1"/>
  <c r="D80" i="9" a="1"/>
  <c r="D80" i="9" s="1"/>
  <c r="D78" i="9" a="1"/>
  <c r="D78" i="9" s="1"/>
  <c r="E81" i="9" a="1"/>
  <c r="E81" i="9" s="1"/>
  <c r="D76" i="9" a="1"/>
  <c r="D76" i="9" s="1"/>
  <c r="E80" i="9" a="1"/>
  <c r="E80" i="9" s="1"/>
  <c r="E82" i="9" a="1"/>
  <c r="E82" i="9" s="1"/>
  <c r="D85" i="9" a="1"/>
  <c r="D85" i="9" s="1"/>
  <c r="D83" i="9" a="1"/>
  <c r="D83" i="9" s="1"/>
  <c r="E85" i="9" a="1"/>
  <c r="E85" i="9" s="1"/>
  <c r="D86" i="9" a="1"/>
  <c r="D86" i="9" s="1"/>
  <c r="E83" i="9" a="1"/>
  <c r="E83" i="9" s="1"/>
  <c r="D87" i="9" a="1"/>
  <c r="D87" i="9" s="1"/>
  <c r="D84" i="9" a="1"/>
  <c r="D84" i="9" s="1"/>
  <c r="D82" i="9" a="1"/>
  <c r="D82" i="9" s="1"/>
  <c r="E86" i="9" a="1"/>
  <c r="E86" i="9" s="1"/>
  <c r="E87" i="9" a="1"/>
  <c r="E87" i="9" s="1"/>
  <c r="E84" i="9" a="1"/>
  <c r="E84" i="9" s="1"/>
  <c r="N41" i="9" a="1"/>
  <c r="N41" i="9" s="1"/>
  <c r="T19" i="9" a="1"/>
  <c r="T19" i="9" s="1"/>
  <c r="B30" i="9" a="1"/>
  <c r="B30" i="9" s="1"/>
  <c r="C16" i="9" a="1"/>
  <c r="C16" i="9" s="1"/>
  <c r="F16" i="9"/>
  <c r="B15" i="9" a="1"/>
  <c r="B15" i="9" s="1"/>
  <c r="B18" i="9" a="1"/>
  <c r="B18" i="9" s="1"/>
  <c r="P30" i="9" a="1"/>
  <c r="P30" i="9" s="1"/>
  <c r="H39" i="9" a="1"/>
  <c r="H39" i="9" s="1"/>
  <c r="G19" i="9"/>
  <c r="K25" i="9" a="1"/>
  <c r="K25" i="9" s="1"/>
  <c r="L24" i="9" a="1"/>
  <c r="L24" i="9" s="1"/>
  <c r="Q39" i="9" a="1"/>
  <c r="Q39" i="9" s="1"/>
  <c r="T37" i="9" a="1"/>
  <c r="T37" i="9" s="1"/>
  <c r="U39" i="9" a="1"/>
  <c r="U39" i="9" s="1"/>
  <c r="U41" i="9" a="1"/>
  <c r="U41" i="9" s="1"/>
  <c r="S22" i="9" a="1"/>
  <c r="S22" i="9" s="1"/>
  <c r="F17" i="9"/>
  <c r="M17" i="9" a="1"/>
  <c r="M17" i="9" s="1"/>
  <c r="R17" i="9" a="1"/>
  <c r="R17" i="9" s="1"/>
  <c r="U17" i="9" a="1"/>
  <c r="U17" i="9" s="1"/>
  <c r="P19" i="9" a="1"/>
  <c r="P19" i="9" s="1"/>
  <c r="P31" i="9" a="1"/>
  <c r="P31" i="9" s="1"/>
  <c r="G17" i="9"/>
  <c r="F20" i="9"/>
  <c r="K27" i="9" a="1"/>
  <c r="K27" i="9" s="1"/>
  <c r="L25" i="9" a="1"/>
  <c r="L25" i="9" s="1"/>
  <c r="R40" i="9" a="1"/>
  <c r="R40" i="9" s="1"/>
  <c r="R38" i="9" a="1"/>
  <c r="R38" i="9" s="1"/>
  <c r="S40" i="9" a="1"/>
  <c r="S40" i="9" s="1"/>
  <c r="B42" i="9" a="1"/>
  <c r="B42" i="9" s="1"/>
  <c r="B17" i="9" a="1"/>
  <c r="B17" i="9" s="1"/>
  <c r="E23" i="9" a="1"/>
  <c r="E23" i="9" s="1"/>
  <c r="U18" i="9" a="1"/>
  <c r="U18" i="9" s="1"/>
  <c r="C19" i="9" a="1"/>
  <c r="C19" i="9" s="1"/>
  <c r="S20" i="9" a="1"/>
  <c r="S20" i="9" s="1"/>
  <c r="O22" i="9" a="1"/>
  <c r="O22" i="9" s="1"/>
  <c r="P32" i="9" a="1"/>
  <c r="P32" i="9" s="1"/>
  <c r="F18" i="9"/>
  <c r="H22" i="9" a="1"/>
  <c r="H22" i="9" s="1"/>
  <c r="L29" i="9" a="1"/>
  <c r="L29" i="9" s="1"/>
  <c r="L26" i="9" a="1"/>
  <c r="L26" i="9" s="1"/>
  <c r="P13" i="9" a="1"/>
  <c r="P13" i="9" s="1"/>
  <c r="P39" i="9" a="1"/>
  <c r="P39" i="9" s="1"/>
  <c r="H13" i="9" a="1"/>
  <c r="H13" i="9" s="1"/>
  <c r="E90" i="9" a="1"/>
  <c r="E90" i="9" s="1"/>
  <c r="Q42" i="9" a="1"/>
  <c r="Q42" i="9" s="1"/>
  <c r="B28" i="9" a="1"/>
  <c r="B28" i="9" s="1"/>
  <c r="S26" i="9" a="1"/>
  <c r="S26" i="9" s="1"/>
  <c r="S21" i="9" a="1"/>
  <c r="S21" i="9" s="1"/>
  <c r="Q23" i="9" a="1"/>
  <c r="Q23" i="9" s="1"/>
  <c r="R25" i="9" a="1"/>
  <c r="R25" i="9" s="1"/>
  <c r="T25" i="9" a="1"/>
  <c r="T25" i="9" s="1"/>
  <c r="P33" i="9" a="1"/>
  <c r="P33" i="9" s="1"/>
  <c r="F23" i="9"/>
  <c r="H24" i="9" a="1"/>
  <c r="H24" i="9" s="1"/>
  <c r="L31" i="9" a="1"/>
  <c r="L31" i="9" s="1"/>
  <c r="L27" i="9" a="1"/>
  <c r="L27" i="9" s="1"/>
  <c r="O15" i="9" a="1"/>
  <c r="O15" i="9" s="1"/>
  <c r="N40" i="9" a="1"/>
  <c r="N40" i="9" s="1"/>
  <c r="C15" i="9" a="1"/>
  <c r="C15" i="9" s="1"/>
  <c r="T29" i="9" a="1"/>
  <c r="T29" i="9" s="1"/>
  <c r="N28" i="9" a="1"/>
  <c r="N28" i="9" s="1"/>
  <c r="U35" i="9" a="1"/>
  <c r="U35" i="9" s="1"/>
  <c r="U28" i="9" a="1"/>
  <c r="U28" i="9" s="1"/>
  <c r="U30" i="9" a="1"/>
  <c r="U30" i="9" s="1"/>
  <c r="Q27" i="9" a="1"/>
  <c r="Q27" i="9" s="1"/>
  <c r="R34" i="9" a="1"/>
  <c r="R34" i="9" s="1"/>
  <c r="F24" i="9"/>
  <c r="H25" i="9" a="1"/>
  <c r="H25" i="9" s="1"/>
  <c r="L33" i="9" a="1"/>
  <c r="L33" i="9" s="1"/>
  <c r="M29" i="9" a="1"/>
  <c r="M29" i="9" s="1"/>
  <c r="N17" i="9" a="1"/>
  <c r="N17" i="9" s="1"/>
  <c r="F21" i="9"/>
  <c r="H21" i="9" a="1"/>
  <c r="H21" i="9" s="1"/>
  <c r="R31" i="9" a="1"/>
  <c r="R31" i="9" s="1"/>
  <c r="C32" i="9" a="1"/>
  <c r="C32" i="9" s="1"/>
  <c r="S37" i="9" a="1"/>
  <c r="S37" i="9" s="1"/>
  <c r="F34" i="9"/>
  <c r="U32" i="9" a="1"/>
  <c r="U32" i="9" s="1"/>
  <c r="B33" i="9" a="1"/>
  <c r="B33" i="9" s="1"/>
  <c r="R35" i="9" a="1"/>
  <c r="R35" i="9" s="1"/>
  <c r="F25" i="9"/>
  <c r="H28" i="9" a="1"/>
  <c r="H28" i="9" s="1"/>
  <c r="L35" i="9" a="1"/>
  <c r="L35" i="9" s="1"/>
  <c r="M30" i="9" a="1"/>
  <c r="M30" i="9" s="1"/>
  <c r="N19" i="9" a="1"/>
  <c r="N19" i="9" s="1"/>
  <c r="B23" i="9" a="1"/>
  <c r="B23" i="9" s="1"/>
  <c r="C23" i="9" a="1"/>
  <c r="C23" i="9" s="1"/>
  <c r="E88" i="9" a="1"/>
  <c r="E88" i="9" s="1"/>
  <c r="B37" i="9" a="1"/>
  <c r="B37" i="9" s="1"/>
  <c r="G15" i="9"/>
  <c r="T28" i="9" a="1"/>
  <c r="T28" i="9" s="1"/>
  <c r="C36" i="9" a="1"/>
  <c r="C36" i="9" s="1"/>
  <c r="G36" i="9"/>
  <c r="O36" i="9" a="1"/>
  <c r="O36" i="9" s="1"/>
  <c r="Q37" i="9" a="1"/>
  <c r="Q37" i="9" s="1"/>
  <c r="F26" i="9"/>
  <c r="F19" i="9"/>
  <c r="P40" i="9" a="1"/>
  <c r="P40" i="9" s="1"/>
  <c r="M31" i="9" a="1"/>
  <c r="M31" i="9" s="1"/>
  <c r="N20" i="9" a="1"/>
  <c r="N20" i="9" s="1"/>
  <c r="F29" i="9"/>
  <c r="H29" i="9" a="1"/>
  <c r="H29" i="9" s="1"/>
  <c r="L41" i="9" a="1"/>
  <c r="L41" i="9" s="1"/>
  <c r="G14" i="9"/>
  <c r="C24" i="9" a="1"/>
  <c r="C24" i="9" s="1"/>
  <c r="B36" i="9" a="1"/>
  <c r="B36" i="9" s="1"/>
  <c r="U37" i="9" a="1"/>
  <c r="U37" i="9" s="1"/>
  <c r="C38" i="9" a="1"/>
  <c r="C38" i="9" s="1"/>
  <c r="H40" i="9" a="1"/>
  <c r="H40" i="9" s="1"/>
  <c r="S39" i="9" a="1"/>
  <c r="S39" i="9" s="1"/>
  <c r="F27" i="9"/>
  <c r="K15" i="9" a="1"/>
  <c r="K15" i="9" s="1"/>
  <c r="N13" i="9" a="1"/>
  <c r="N13" i="9" s="1"/>
  <c r="M32" i="9" a="1"/>
  <c r="M32" i="9" s="1"/>
  <c r="O28" i="9" a="1"/>
  <c r="O28" i="9" s="1"/>
  <c r="B31" i="9" a="1"/>
  <c r="B31" i="9" s="1"/>
  <c r="C31" i="9" a="1"/>
  <c r="C31" i="9" s="1"/>
  <c r="P18" i="9" a="1"/>
  <c r="P18" i="9" s="1"/>
  <c r="Q36" i="9" a="1"/>
  <c r="Q36" i="9" s="1"/>
  <c r="O23" i="9" a="1"/>
  <c r="O23" i="9" s="1"/>
  <c r="C40" i="9" a="1"/>
  <c r="C40" i="9" s="1"/>
  <c r="T20" i="9" a="1"/>
  <c r="T20" i="9" s="1"/>
  <c r="U20" i="9" a="1"/>
  <c r="U20" i="9" s="1"/>
  <c r="Q28" i="9" a="1"/>
  <c r="Q28" i="9" s="1"/>
  <c r="F28" i="9"/>
  <c r="H23" i="9" a="1"/>
  <c r="H23" i="9" s="1"/>
  <c r="M15" i="9" a="1"/>
  <c r="M15" i="9" s="1"/>
  <c r="M33" i="9" a="1"/>
  <c r="M33" i="9" s="1"/>
  <c r="P34" i="9" a="1"/>
  <c r="P34" i="9" s="1"/>
  <c r="F37" i="9"/>
  <c r="H37" i="9" a="1"/>
  <c r="H37" i="9" s="1"/>
  <c r="D91" i="9" a="1"/>
  <c r="D91" i="9" s="1"/>
  <c r="T41" i="9" a="1"/>
  <c r="T41" i="9" s="1"/>
  <c r="K41" i="9" a="1"/>
  <c r="K41" i="9" s="1"/>
  <c r="N42" i="9" a="1"/>
  <c r="N42" i="9" s="1"/>
  <c r="H41" i="9" a="1"/>
  <c r="H41" i="9" s="1"/>
  <c r="M42" i="9" a="1"/>
  <c r="M42" i="9" s="1"/>
  <c r="U19" i="9" a="1"/>
  <c r="U19" i="9" s="1"/>
  <c r="H15" i="9" a="1"/>
  <c r="H15" i="9" s="1"/>
  <c r="G32" i="9"/>
  <c r="O13" i="9" a="1"/>
  <c r="O13" i="9" s="1"/>
  <c r="Q16" i="9" a="1"/>
  <c r="Q16" i="9" s="1"/>
  <c r="K40" i="9" a="1"/>
  <c r="K40" i="9" s="1"/>
  <c r="R33" i="9" a="1"/>
  <c r="R33" i="9" s="1"/>
  <c r="H30" i="9" a="1"/>
  <c r="H30" i="9" s="1"/>
  <c r="H26" i="9" a="1"/>
  <c r="H26" i="9" s="1"/>
  <c r="L17" i="9" a="1"/>
  <c r="L17" i="9" s="1"/>
  <c r="M34" i="9" a="1"/>
  <c r="M34" i="9" s="1"/>
  <c r="P36" i="9" a="1"/>
  <c r="P36" i="9" s="1"/>
  <c r="B39" i="9" a="1"/>
  <c r="B39" i="9" s="1"/>
  <c r="C39" i="9" a="1"/>
  <c r="C39" i="9" s="1"/>
  <c r="L42" i="9" a="1"/>
  <c r="L42" i="9" s="1"/>
  <c r="M41" i="9" a="1"/>
  <c r="M41" i="9" s="1"/>
  <c r="H14" i="9" a="1"/>
  <c r="H14" i="9" s="1"/>
  <c r="Q19" i="9" a="1"/>
  <c r="Q19" i="9" s="1"/>
  <c r="B19" i="9" a="1"/>
  <c r="B19" i="9" s="1"/>
  <c r="U14" i="9" a="1"/>
  <c r="U14" i="9" s="1"/>
  <c r="U34" i="9" a="1"/>
  <c r="U34" i="9" s="1"/>
  <c r="P16" i="9" a="1"/>
  <c r="P16" i="9" s="1"/>
  <c r="R36" i="9" a="1"/>
  <c r="R36" i="9" s="1"/>
  <c r="H31" i="9" a="1"/>
  <c r="H31" i="9" s="1"/>
  <c r="H27" i="9" a="1"/>
  <c r="H27" i="9" s="1"/>
  <c r="K19" i="9" a="1"/>
  <c r="K19" i="9" s="1"/>
  <c r="O35" i="9" a="1"/>
  <c r="O35" i="9" s="1"/>
  <c r="P38" i="9" a="1"/>
  <c r="P38" i="9" s="1"/>
  <c r="G13" i="9"/>
  <c r="T40" i="9" a="1"/>
  <c r="T40" i="9" s="1"/>
  <c r="O42" i="9" a="1"/>
  <c r="O42" i="9" s="1"/>
  <c r="R15" i="9" a="1"/>
  <c r="R15" i="9" s="1"/>
  <c r="S27" i="9" a="1"/>
  <c r="S27" i="9" s="1"/>
  <c r="K13" i="9" a="1"/>
  <c r="K13" i="9" s="1"/>
  <c r="G16" i="9"/>
  <c r="U13" i="9" a="1"/>
  <c r="U13" i="9" s="1"/>
  <c r="G31" i="9"/>
  <c r="P23" i="9" a="1"/>
  <c r="P23" i="9" s="1"/>
  <c r="H32" i="9" a="1"/>
  <c r="H32" i="9" s="1"/>
  <c r="L38" i="9" a="1"/>
  <c r="L38" i="9" s="1"/>
  <c r="M28" i="9" a="1"/>
  <c r="M28" i="9" s="1"/>
  <c r="N37" i="9" a="1"/>
  <c r="N37" i="9" s="1"/>
  <c r="U40" i="9" a="1"/>
  <c r="U40" i="9" s="1"/>
  <c r="U15" i="9" a="1"/>
  <c r="U15" i="9" s="1"/>
  <c r="F14" i="9"/>
  <c r="C17" i="9" a="1"/>
  <c r="C17" i="9" s="1"/>
  <c r="F31" i="9"/>
  <c r="T14" i="9" a="1"/>
  <c r="T14" i="9" s="1"/>
  <c r="S17" i="9" a="1"/>
  <c r="S17" i="9" s="1"/>
  <c r="C18" i="9" a="1"/>
  <c r="C18" i="9" s="1"/>
  <c r="T27" i="9" a="1"/>
  <c r="T27" i="9" s="1"/>
  <c r="P24" i="9" a="1"/>
  <c r="P24" i="9" s="1"/>
  <c r="H33" i="9" a="1"/>
  <c r="H33" i="9" s="1"/>
  <c r="L14" i="9" a="1"/>
  <c r="L14" i="9" s="1"/>
  <c r="N35" i="9" a="1"/>
  <c r="N35" i="9" s="1"/>
  <c r="O39" i="9" a="1"/>
  <c r="O39" i="9" s="1"/>
  <c r="P14" i="9" a="1"/>
  <c r="P14" i="9" s="1"/>
  <c r="S16" i="9" a="1"/>
  <c r="S16" i="9" s="1"/>
  <c r="B16" i="9" a="1"/>
  <c r="B16" i="9" s="1"/>
  <c r="D89" i="9" a="1"/>
  <c r="D89" i="9" s="1"/>
  <c r="Q18" i="9" a="1"/>
  <c r="Q18" i="9" s="1"/>
  <c r="O38" i="9" a="1"/>
  <c r="O38" i="9" s="1"/>
  <c r="P20" i="9" a="1"/>
  <c r="P20" i="9" s="1"/>
  <c r="Q20" i="9" a="1"/>
  <c r="Q20" i="9" s="1"/>
  <c r="P22" i="9" a="1"/>
  <c r="P22" i="9" s="1"/>
  <c r="B35" i="9" a="1"/>
  <c r="B35" i="9" s="1"/>
  <c r="P25" i="9" a="1"/>
  <c r="P25" i="9" s="1"/>
  <c r="H34" i="9" a="1"/>
  <c r="H34" i="9" s="1"/>
  <c r="K16" i="9" a="1"/>
  <c r="K16" i="9" s="1"/>
  <c r="N36" i="9" a="1"/>
  <c r="N36" i="9" s="1"/>
  <c r="Q40" i="9" a="1"/>
  <c r="Q40" i="9" s="1"/>
  <c r="O16" i="9" a="1"/>
  <c r="O16" i="9" s="1"/>
  <c r="Q17" i="9" a="1"/>
  <c r="Q17" i="9" s="1"/>
  <c r="F22" i="9"/>
  <c r="O21" i="9" a="1"/>
  <c r="O21" i="9" s="1"/>
  <c r="U22" i="9" a="1"/>
  <c r="U22" i="9" s="1"/>
  <c r="U21" i="9" a="1"/>
  <c r="U21" i="9" s="1"/>
  <c r="C27" i="9" a="1"/>
  <c r="C27" i="9" s="1"/>
  <c r="U25" i="9" a="1"/>
  <c r="U25" i="9" s="1"/>
  <c r="T36" i="9" a="1"/>
  <c r="T36" i="9" s="1"/>
  <c r="R26" i="9" a="1"/>
  <c r="R26" i="9" s="1"/>
  <c r="H35" i="9" a="1"/>
  <c r="H35" i="9" s="1"/>
  <c r="H19" i="9" a="1"/>
  <c r="H19" i="9" s="1"/>
  <c r="N38" i="9" a="1"/>
  <c r="N38" i="9" s="1"/>
  <c r="O14" i="9" a="1"/>
  <c r="O14" i="9" s="1"/>
  <c r="N18" i="9" a="1"/>
  <c r="N18" i="9" s="1"/>
  <c r="O18" i="9" a="1"/>
  <c r="O18" i="9" s="1"/>
  <c r="B24" i="9" a="1"/>
  <c r="B24" i="9" s="1"/>
  <c r="B21" i="9" a="1"/>
  <c r="B21" i="9" s="1"/>
  <c r="G35" i="9"/>
  <c r="T24" i="9" a="1"/>
  <c r="T24" i="9" s="1"/>
  <c r="F13" i="9"/>
  <c r="R23" i="9" a="1"/>
  <c r="R23" i="9" s="1"/>
  <c r="P21" i="9" a="1"/>
  <c r="P21" i="9" s="1"/>
  <c r="C21" i="9" a="1"/>
  <c r="C21" i="9" s="1"/>
  <c r="Q32" i="9" a="1"/>
  <c r="Q32" i="9" s="1"/>
  <c r="G18" i="9"/>
  <c r="K32" i="9" a="1"/>
  <c r="K32" i="9" s="1"/>
  <c r="L28" i="9" a="1"/>
  <c r="L28" i="9" s="1"/>
  <c r="M23" i="9" a="1"/>
  <c r="M23" i="9" s="1"/>
  <c r="N24" i="9" a="1"/>
  <c r="N24" i="9" s="1"/>
  <c r="S24" i="9" a="1"/>
  <c r="S24" i="9" s="1"/>
  <c r="S41" i="9" a="1"/>
  <c r="S41" i="9" s="1"/>
  <c r="C41" i="9" a="1"/>
  <c r="C41" i="9" s="1"/>
  <c r="Q24" i="9" a="1"/>
  <c r="Q24" i="9" s="1"/>
  <c r="B13" i="9" a="1"/>
  <c r="B13" i="9" s="1"/>
  <c r="B27" i="9" a="1"/>
  <c r="B27" i="9" s="1"/>
  <c r="S30" i="9" a="1"/>
  <c r="S30" i="9" s="1"/>
  <c r="C33" i="9" a="1"/>
  <c r="C33" i="9" s="1"/>
  <c r="L40" i="9" a="1"/>
  <c r="L40" i="9" s="1"/>
  <c r="R27" i="9" a="1"/>
  <c r="R27" i="9" s="1"/>
  <c r="H36" i="9" a="1"/>
  <c r="H36" i="9" s="1"/>
  <c r="G20" i="9"/>
  <c r="M14" i="9" a="1"/>
  <c r="M14" i="9" s="1"/>
  <c r="N16" i="9" a="1"/>
  <c r="N16" i="9" s="1"/>
  <c r="O19" i="9" a="1"/>
  <c r="O19" i="9" s="1"/>
  <c r="M19" i="9" a="1"/>
  <c r="M19" i="9" s="1"/>
  <c r="F30" i="9"/>
  <c r="R41" i="9" a="1"/>
  <c r="R41" i="9" s="1"/>
  <c r="U42" i="9" a="1"/>
  <c r="U42" i="9" s="1"/>
  <c r="K42" i="9" a="1"/>
  <c r="K42" i="9" s="1"/>
  <c r="C28" i="9" a="1"/>
  <c r="C28" i="9" s="1"/>
  <c r="B20" i="9" a="1"/>
  <c r="B20" i="9" s="1"/>
  <c r="R30" i="9" a="1"/>
  <c r="R30" i="9" s="1"/>
  <c r="G34" i="9"/>
  <c r="S36" i="9" a="1"/>
  <c r="S36" i="9" s="1"/>
  <c r="B14" i="9" a="1"/>
  <c r="B14" i="9" s="1"/>
  <c r="Q29" i="9" a="1"/>
  <c r="Q29" i="9" s="1"/>
  <c r="K38" i="9" a="1"/>
  <c r="K38" i="9" s="1"/>
  <c r="K29" i="9" a="1"/>
  <c r="K29" i="9" s="1"/>
  <c r="K22" i="9" a="1"/>
  <c r="K22" i="9" s="1"/>
  <c r="M18" i="9" a="1"/>
  <c r="M18" i="9" s="1"/>
  <c r="N21" i="9" a="1"/>
  <c r="N21" i="9" s="1"/>
  <c r="K20" i="9" a="1"/>
  <c r="K20" i="9" s="1"/>
  <c r="B32" i="9" a="1"/>
  <c r="B32" i="9" s="1"/>
  <c r="E91" i="9" a="1"/>
  <c r="E91" i="9" s="1"/>
  <c r="T42" i="9" a="1"/>
  <c r="T42" i="9" s="1"/>
  <c r="U29" i="9" a="1"/>
  <c r="U29" i="9" s="1"/>
  <c r="R24" i="9" a="1"/>
  <c r="R24" i="9" s="1"/>
  <c r="T18" i="9" a="1"/>
  <c r="T18" i="9" s="1"/>
  <c r="Q13" i="9" a="1"/>
  <c r="Q13" i="9" s="1"/>
  <c r="R16" i="9" a="1"/>
  <c r="R16" i="9" s="1"/>
  <c r="L15" i="9" a="1"/>
  <c r="L15" i="9" s="1"/>
  <c r="Q30" i="9" a="1"/>
  <c r="Q30" i="9" s="1"/>
  <c r="K14" i="9" a="1"/>
  <c r="K14" i="9" s="1"/>
  <c r="K30" i="9" a="1"/>
  <c r="K30" i="9" s="1"/>
  <c r="K24" i="9" a="1"/>
  <c r="K24" i="9" s="1"/>
  <c r="M21" i="9" a="1"/>
  <c r="M21" i="9" s="1"/>
  <c r="N22" i="9" a="1"/>
  <c r="N22" i="9" s="1"/>
  <c r="G21" i="9"/>
  <c r="F38" i="9"/>
  <c r="R19" i="9" a="1"/>
  <c r="R19" i="9" s="1"/>
  <c r="S31" i="9" a="1"/>
  <c r="S31" i="9" s="1"/>
  <c r="P26" i="9" a="1"/>
  <c r="P26" i="9" s="1"/>
  <c r="R21" i="9" a="1"/>
  <c r="R21" i="9" s="1"/>
  <c r="H16" i="9" a="1"/>
  <c r="H16" i="9" s="1"/>
  <c r="S15" i="9" a="1"/>
  <c r="S15" i="9" s="1"/>
  <c r="T16" i="9" a="1"/>
  <c r="T16" i="9" s="1"/>
  <c r="Q31" i="9" a="1"/>
  <c r="Q31" i="9" s="1"/>
  <c r="H17" i="9" a="1"/>
  <c r="H17" i="9" s="1"/>
  <c r="K31" i="9" a="1"/>
  <c r="K31" i="9" s="1"/>
  <c r="K26" i="9" a="1"/>
  <c r="K26" i="9" s="1"/>
  <c r="M22" i="9" a="1"/>
  <c r="M22" i="9" s="1"/>
  <c r="N23" i="9" a="1"/>
  <c r="N23" i="9" s="1"/>
  <c r="U23" i="9" a="1"/>
  <c r="U23" i="9" s="1"/>
  <c r="A12" i="9"/>
  <c r="J36" i="9"/>
  <c r="J20" i="9"/>
  <c r="J35" i="9"/>
  <c r="J19" i="9"/>
  <c r="J34" i="9"/>
  <c r="J18" i="9"/>
  <c r="J33" i="9"/>
  <c r="J17" i="9"/>
  <c r="J32" i="9"/>
  <c r="J16" i="9"/>
  <c r="J31" i="9"/>
  <c r="J15" i="9"/>
  <c r="J30" i="9"/>
  <c r="J14" i="9"/>
  <c r="J29" i="9"/>
  <c r="J13" i="9"/>
  <c r="J28" i="9"/>
  <c r="J27" i="9"/>
  <c r="J26" i="9"/>
  <c r="J25" i="9"/>
  <c r="J40" i="9"/>
  <c r="J24" i="9"/>
  <c r="J39" i="9"/>
  <c r="J23" i="9"/>
  <c r="J38" i="9"/>
  <c r="J22" i="9"/>
  <c r="J37" i="9"/>
  <c r="J21" i="9"/>
  <c r="Q22" i="9" a="1"/>
  <c r="Q22" i="9" s="1"/>
  <c r="C37" i="9" a="1"/>
  <c r="C37" i="9" s="1"/>
  <c r="Q14" i="9" a="1"/>
  <c r="Q14" i="9" s="1"/>
  <c r="O17" i="9" a="1"/>
  <c r="O17" i="9" s="1"/>
  <c r="B38" i="9" a="1"/>
  <c r="B38" i="9" s="1"/>
  <c r="S13" i="9" a="1"/>
  <c r="S13" i="9" s="1"/>
  <c r="B26" i="9" a="1"/>
  <c r="B26" i="9" s="1"/>
  <c r="S33" i="9" a="1"/>
  <c r="S33" i="9" s="1"/>
  <c r="G22" i="9"/>
  <c r="K33" i="9" a="1"/>
  <c r="K33" i="9" s="1"/>
  <c r="L30" i="9" a="1"/>
  <c r="L30" i="9" s="1"/>
  <c r="M24" i="9" a="1"/>
  <c r="M24" i="9" s="1"/>
  <c r="N25" i="9" a="1"/>
  <c r="N25" i="9" s="1"/>
  <c r="Q25" i="9" a="1"/>
  <c r="Q25" i="9" s="1"/>
  <c r="E89" i="9" a="1"/>
  <c r="E89" i="9" s="1"/>
  <c r="B41" i="9" a="1"/>
  <c r="B41" i="9" s="1"/>
  <c r="C14" i="9" a="1"/>
  <c r="C14" i="9" s="1"/>
  <c r="T31" i="9" a="1"/>
  <c r="T31" i="9" s="1"/>
  <c r="P28" i="9" a="1"/>
  <c r="P28" i="9" s="1"/>
  <c r="M20" i="9" a="1"/>
  <c r="M20" i="9" s="1"/>
  <c r="S23" i="9" a="1"/>
  <c r="S23" i="9" s="1"/>
  <c r="L19" i="9" a="1"/>
  <c r="L19" i="9" s="1"/>
  <c r="R29" i="9" a="1"/>
  <c r="R29" i="9" s="1"/>
  <c r="S34" i="9" a="1"/>
  <c r="S34" i="9" s="1"/>
  <c r="G23" i="9"/>
  <c r="K34" i="9" a="1"/>
  <c r="K34" i="9" s="1"/>
  <c r="L32" i="9" a="1"/>
  <c r="L32" i="9" s="1"/>
  <c r="M25" i="9" a="1"/>
  <c r="M25" i="9" s="1"/>
  <c r="N26" i="9" a="1"/>
  <c r="N26" i="9" s="1"/>
  <c r="O26" i="9" a="1"/>
  <c r="O26" i="9" s="1"/>
  <c r="H42" i="9" a="1"/>
  <c r="H42" i="9" s="1"/>
  <c r="P15" i="9" a="1"/>
  <c r="P15" i="9" s="1"/>
  <c r="T33" i="9" a="1"/>
  <c r="T33" i="9" s="1"/>
  <c r="G30" i="9"/>
  <c r="C25" i="9" a="1"/>
  <c r="C25" i="9" s="1"/>
  <c r="T32" i="9" a="1"/>
  <c r="T32" i="9" s="1"/>
  <c r="T23" i="9" a="1"/>
  <c r="T23" i="9" s="1"/>
  <c r="T38" i="9" a="1"/>
  <c r="T38" i="9" s="1"/>
  <c r="S35" i="9" a="1"/>
  <c r="S35" i="9" s="1"/>
  <c r="G24" i="9"/>
  <c r="K35" i="9" a="1"/>
  <c r="K35" i="9" s="1"/>
  <c r="L34" i="9" a="1"/>
  <c r="L34" i="9" s="1"/>
  <c r="M26" i="9" a="1"/>
  <c r="M26" i="9" s="1"/>
  <c r="P27" i="9" a="1"/>
  <c r="P27" i="9" s="1"/>
  <c r="M27" i="9" a="1"/>
  <c r="M27" i="9" s="1"/>
  <c r="D92" i="9" a="1"/>
  <c r="D92" i="9" s="1"/>
  <c r="C26" i="9" a="1"/>
  <c r="C26" i="9" s="1"/>
  <c r="F39" i="9"/>
  <c r="T35" i="9" a="1"/>
  <c r="T35" i="9" s="1"/>
  <c r="U26" i="9" a="1"/>
  <c r="U26" i="9" s="1"/>
  <c r="F36" i="9"/>
  <c r="S25" i="9" a="1"/>
  <c r="S25" i="9" s="1"/>
  <c r="N15" i="9" a="1"/>
  <c r="N15" i="9" s="1"/>
  <c r="R37" i="9" a="1"/>
  <c r="R37" i="9" s="1"/>
  <c r="G25" i="9"/>
  <c r="L36" i="9" a="1"/>
  <c r="L36" i="9" s="1"/>
  <c r="M37" i="9" a="1"/>
  <c r="M37" i="9" s="1"/>
  <c r="O27" i="9" a="1"/>
  <c r="O27" i="9" s="1"/>
  <c r="O29" i="9" a="1"/>
  <c r="O29" i="9" s="1"/>
  <c r="K28" i="9" a="1"/>
  <c r="K28" i="9" s="1"/>
  <c r="E36" i="9" a="1"/>
  <c r="E36" i="9" s="1"/>
  <c r="S29" i="9" a="1"/>
  <c r="S29" i="9" s="1"/>
  <c r="C13" i="9" a="1"/>
  <c r="C13" i="9" s="1"/>
  <c r="K39" i="9" a="1"/>
  <c r="K39" i="9" s="1"/>
  <c r="S28" i="9" a="1"/>
  <c r="S28" i="9" s="1"/>
  <c r="T17" i="9" a="1"/>
  <c r="T17" i="9" s="1"/>
  <c r="N27" i="9" a="1"/>
  <c r="N27" i="9" s="1"/>
  <c r="U16" i="9" a="1"/>
  <c r="U16" i="9" s="1"/>
  <c r="S38" i="9" a="1"/>
  <c r="S38" i="9" s="1"/>
  <c r="G26" i="9"/>
  <c r="L37" i="9" a="1"/>
  <c r="L37" i="9" s="1"/>
  <c r="N39" i="9" a="1"/>
  <c r="N39" i="9" s="1"/>
  <c r="N29" i="9" a="1"/>
  <c r="N29" i="9" s="1"/>
  <c r="O30" i="9" a="1"/>
  <c r="O30" i="9" s="1"/>
  <c r="G29" i="9"/>
  <c r="D93" i="9" a="1"/>
  <c r="D93" i="9" s="1"/>
  <c r="Q41" i="9" a="1"/>
  <c r="Q41" i="9" s="1"/>
  <c r="D32" i="9" a="1"/>
  <c r="D32" i="9" s="1"/>
  <c r="G33" i="9"/>
  <c r="T15" i="9" a="1"/>
  <c r="T15" i="9" s="1"/>
  <c r="K17" i="9" a="1"/>
  <c r="K17" i="9" s="1"/>
  <c r="F32" i="9"/>
  <c r="R20" i="9" a="1"/>
  <c r="R20" i="9" s="1"/>
  <c r="F40" i="9"/>
  <c r="S19" i="9" a="1"/>
  <c r="S19" i="9" s="1"/>
  <c r="T39" i="9" a="1"/>
  <c r="T39" i="9" s="1"/>
  <c r="G27" i="9"/>
  <c r="M39" i="9" a="1"/>
  <c r="M39" i="9" s="1"/>
  <c r="N14" i="9" a="1"/>
  <c r="N14" i="9" s="1"/>
  <c r="N30" i="9" a="1"/>
  <c r="N30" i="9" s="1"/>
  <c r="O31" i="9" a="1"/>
  <c r="O31" i="9" s="1"/>
  <c r="U31" i="9" a="1"/>
  <c r="U31" i="9" s="1"/>
  <c r="P41" i="9" a="1"/>
  <c r="P41" i="9" s="1"/>
  <c r="U38" i="9" a="1"/>
  <c r="U38" i="9" s="1"/>
  <c r="S18" i="9" a="1"/>
  <c r="S18" i="9" s="1"/>
  <c r="H20" i="9" a="1"/>
  <c r="H20" i="9" s="1"/>
  <c r="C34" i="9" a="1"/>
  <c r="C34" i="9" s="1"/>
  <c r="C22" i="9" a="1"/>
  <c r="C22" i="9" s="1"/>
  <c r="T34" i="9" a="1"/>
  <c r="T34" i="9" s="1"/>
  <c r="R22" i="9" a="1"/>
  <c r="R22" i="9" s="1"/>
  <c r="C29" i="9" a="1"/>
  <c r="C29" i="9" s="1"/>
  <c r="G28" i="9"/>
  <c r="O40" i="9" a="1"/>
  <c r="O40" i="9" s="1"/>
  <c r="M16" i="9" a="1"/>
  <c r="M16" i="9" s="1"/>
  <c r="N31" i="9" a="1"/>
  <c r="N31" i="9" s="1"/>
  <c r="O32" i="9" a="1"/>
  <c r="O32" i="9" s="1"/>
  <c r="S32" i="9" a="1"/>
  <c r="S32" i="9" s="1"/>
  <c r="D90" i="9" a="1"/>
  <c r="D90" i="9" s="1"/>
  <c r="P42" i="9" a="1"/>
  <c r="P42" i="9" s="1"/>
  <c r="R42" i="9" a="1"/>
  <c r="R42" i="9" s="1"/>
  <c r="Q38" i="9" a="1"/>
  <c r="Q38" i="9" s="1"/>
  <c r="Q21" i="9" a="1"/>
  <c r="Q21" i="9" s="1"/>
  <c r="B25" i="9" a="1"/>
  <c r="B25" i="9" s="1"/>
  <c r="S14" i="9" a="1"/>
  <c r="S14" i="9" s="1"/>
  <c r="O25" i="9" a="1"/>
  <c r="O25" i="9" s="1"/>
  <c r="M36" i="9" a="1"/>
  <c r="M36" i="9" s="1"/>
  <c r="U27" i="9" a="1"/>
  <c r="U27" i="9" s="1"/>
  <c r="G39" i="9"/>
  <c r="K37" i="9" a="1"/>
  <c r="K37" i="9" s="1"/>
  <c r="M38" i="9" a="1"/>
  <c r="M38" i="9" s="1"/>
  <c r="L18" i="9" a="1"/>
  <c r="L18" i="9" s="1"/>
  <c r="N32" i="9" a="1"/>
  <c r="N32" i="9" s="1"/>
  <c r="O33" i="9" a="1"/>
  <c r="O33" i="9" s="1"/>
  <c r="Q33" i="9" a="1"/>
  <c r="Q33" i="9" s="1"/>
  <c r="O41" i="9" a="1"/>
  <c r="O41" i="9" s="1"/>
  <c r="S42" i="9" a="1"/>
  <c r="S42" i="9" s="1"/>
  <c r="O24" i="9" a="1"/>
  <c r="O24" i="9" s="1"/>
  <c r="U24" i="9" a="1"/>
  <c r="U24" i="9" s="1"/>
  <c r="T26" i="9" a="1"/>
  <c r="T26" i="9" s="1"/>
  <c r="O20" i="9" a="1"/>
  <c r="O20" i="9" s="1"/>
  <c r="B29" i="9" a="1"/>
  <c r="B29" i="9" s="1"/>
  <c r="H38" i="9" a="1"/>
  <c r="H38" i="9" s="1"/>
  <c r="F33" i="9"/>
  <c r="C20" i="9" a="1"/>
  <c r="C20" i="9" s="1"/>
  <c r="L39" i="9" a="1"/>
  <c r="L39" i="9" s="1"/>
  <c r="L16" i="9" a="1"/>
  <c r="L16" i="9" s="1"/>
  <c r="L20" i="9" a="1"/>
  <c r="L20" i="9" s="1"/>
  <c r="N33" i="9" a="1"/>
  <c r="N33" i="9" s="1"/>
  <c r="Q34" i="9" a="1"/>
  <c r="Q34" i="9" s="1"/>
  <c r="O34" i="9" a="1"/>
  <c r="O34" i="9" s="1"/>
  <c r="C42" i="9" a="1"/>
  <c r="C42" i="9" s="1"/>
  <c r="Q15" i="9" a="1"/>
  <c r="Q15" i="9" s="1"/>
  <c r="U33" i="9" a="1"/>
  <c r="U33" i="9" s="1"/>
  <c r="R28" i="9" a="1"/>
  <c r="R28" i="9" s="1"/>
  <c r="T21" i="9" a="1"/>
  <c r="T21" i="9" s="1"/>
  <c r="T30" i="9" a="1"/>
  <c r="T30" i="9" s="1"/>
  <c r="G40" i="9"/>
  <c r="C35" i="9" a="1"/>
  <c r="C35" i="9" s="1"/>
  <c r="B22" i="9" a="1"/>
  <c r="B22" i="9" s="1"/>
  <c r="M40" i="9" a="1"/>
  <c r="M40" i="9" s="1"/>
  <c r="K18" i="9" a="1"/>
  <c r="K18" i="9" s="1"/>
  <c r="L21" i="9" a="1"/>
  <c r="L21" i="9" s="1"/>
  <c r="N34" i="9" a="1"/>
  <c r="N34" i="9" s="1"/>
  <c r="Q35" i="9" a="1"/>
  <c r="Q35" i="9" s="1"/>
  <c r="M35" i="9" a="1"/>
  <c r="M35" i="9" s="1"/>
  <c r="T22" i="9" a="1"/>
  <c r="T22" i="9" s="1"/>
  <c r="R18" i="9" a="1"/>
  <c r="R18" i="9" s="1"/>
  <c r="B34" i="9" a="1"/>
  <c r="B34" i="9" s="1"/>
  <c r="P17" i="9" a="1"/>
  <c r="P17" i="9" s="1"/>
  <c r="R32" i="9" a="1"/>
  <c r="R32" i="9" s="1"/>
  <c r="T13" i="9" a="1"/>
  <c r="T13" i="9" s="1"/>
  <c r="U36" i="9" a="1"/>
  <c r="U36" i="9" s="1"/>
  <c r="C30" i="9" a="1"/>
  <c r="C30" i="9" s="1"/>
  <c r="L13" i="9" a="1"/>
  <c r="L13" i="9" s="1"/>
  <c r="K21" i="9" a="1"/>
  <c r="K21" i="9" s="1"/>
  <c r="L22" i="9" a="1"/>
  <c r="L22" i="9" s="1"/>
  <c r="P35" i="9" a="1"/>
  <c r="P35" i="9" s="1"/>
  <c r="P37" i="9" a="1"/>
  <c r="P37" i="9" s="1"/>
  <c r="K36" i="9" a="1"/>
  <c r="K36" i="9" s="1"/>
  <c r="E92" i="9" a="1"/>
  <c r="E92" i="9" s="1"/>
  <c r="F35" i="9"/>
  <c r="Q26" i="9" a="1"/>
  <c r="Q26" i="9" s="1"/>
  <c r="R14" i="9" a="1"/>
  <c r="R14" i="9" s="1"/>
  <c r="M13" i="9" a="1"/>
  <c r="M13" i="9" s="1"/>
  <c r="R13" i="9" a="1"/>
  <c r="R13" i="9" s="1"/>
  <c r="F15" i="9"/>
  <c r="P29" i="9" a="1"/>
  <c r="P29" i="9" s="1"/>
  <c r="G38" i="9"/>
  <c r="H18" i="9" a="1"/>
  <c r="H18" i="9" s="1"/>
  <c r="K23" i="9" a="1"/>
  <c r="K23" i="9" s="1"/>
  <c r="L23" i="9" a="1"/>
  <c r="L23" i="9" s="1"/>
  <c r="O37" i="9" a="1"/>
  <c r="O37" i="9" s="1"/>
  <c r="R39" i="9" a="1"/>
  <c r="R39" i="9" s="1"/>
  <c r="G37" i="9"/>
  <c r="E13" i="9" a="1"/>
  <c r="E13" i="9" s="1"/>
  <c r="D16" i="9" a="1"/>
  <c r="D16" i="9" s="1"/>
  <c r="E40" i="9" a="1"/>
  <c r="E40" i="9" s="1"/>
  <c r="E20" i="9" a="1"/>
  <c r="E20" i="9" s="1"/>
  <c r="E18" i="9" a="1"/>
  <c r="E18" i="9" s="1"/>
  <c r="D22" i="9" a="1"/>
  <c r="D22" i="9" s="1"/>
  <c r="E14" i="9" a="1"/>
  <c r="E14" i="9" s="1"/>
  <c r="D34" i="9" a="1"/>
  <c r="D34" i="9" s="1"/>
  <c r="D30" i="9" a="1"/>
  <c r="D30" i="9" s="1"/>
  <c r="E22" i="9" a="1"/>
  <c r="E22" i="9" s="1"/>
  <c r="D21" i="9" a="1"/>
  <c r="D21" i="9" s="1"/>
  <c r="D37" i="9" a="1"/>
  <c r="D37" i="9" s="1"/>
  <c r="D38" i="9" a="1"/>
  <c r="D38" i="9" s="1"/>
  <c r="D17" i="9" a="1"/>
  <c r="D17" i="9" s="1"/>
  <c r="E30" i="9" a="1"/>
  <c r="E30" i="9" s="1"/>
  <c r="E25" i="9" a="1"/>
  <c r="E25" i="9" s="1"/>
  <c r="E16" i="9" a="1"/>
  <c r="E16" i="9" s="1"/>
  <c r="D29" i="9" a="1"/>
  <c r="D29" i="9" s="1"/>
  <c r="D18" i="9" a="1"/>
  <c r="D18" i="9" s="1"/>
  <c r="E37" i="9" a="1"/>
  <c r="E37" i="9" s="1"/>
  <c r="E38" i="9" a="1"/>
  <c r="E38" i="9" s="1"/>
  <c r="D35" i="9" a="1"/>
  <c r="D35" i="9" s="1"/>
  <c r="E28" i="9" a="1"/>
  <c r="E28" i="9" s="1"/>
  <c r="D19" i="9" a="1"/>
  <c r="D19" i="9" s="1"/>
  <c r="D24" i="9" a="1"/>
  <c r="D24" i="9" s="1"/>
  <c r="D13" i="9" a="1"/>
  <c r="D13" i="9" s="1"/>
  <c r="D25" i="9" a="1"/>
  <c r="D25" i="9" s="1"/>
  <c r="D26" i="9" a="1"/>
  <c r="D26" i="9" s="1"/>
  <c r="E21" i="9" a="1"/>
  <c r="E21" i="9" s="1"/>
  <c r="D15" i="9" a="1"/>
  <c r="D15" i="9" s="1"/>
  <c r="E26" i="9" a="1"/>
  <c r="E26" i="9" s="1"/>
  <c r="E29" i="9" a="1"/>
  <c r="E29" i="9" s="1"/>
  <c r="D27" i="9" a="1"/>
  <c r="D27" i="9" s="1"/>
  <c r="D28" i="9" a="1"/>
  <c r="D28" i="9" s="1"/>
  <c r="D23" i="9" a="1"/>
  <c r="D23" i="9" s="1"/>
  <c r="E39" i="9" a="1"/>
  <c r="E39" i="9" s="1"/>
  <c r="E24" i="9" a="1"/>
  <c r="E24" i="9" s="1"/>
  <c r="E31" i="9" a="1"/>
  <c r="E31" i="9" s="1"/>
  <c r="E32" i="9" a="1"/>
  <c r="E32" i="9" s="1"/>
  <c r="D14" i="9" a="1"/>
  <c r="D14" i="9" s="1"/>
  <c r="E17" i="9" a="1"/>
  <c r="E17" i="9" s="1"/>
  <c r="D36" i="9" a="1"/>
  <c r="D36" i="9" s="1"/>
  <c r="E15" i="9" a="1"/>
  <c r="E15" i="9" s="1"/>
  <c r="E33" i="9" a="1"/>
  <c r="E33" i="9" s="1"/>
  <c r="D31" i="9" a="1"/>
  <c r="D31" i="9" s="1"/>
  <c r="D40" i="9" a="1"/>
  <c r="D40" i="9" s="1"/>
  <c r="E34" i="9" a="1"/>
  <c r="E34" i="9" s="1"/>
  <c r="E19" i="9" a="1"/>
  <c r="E19" i="9" s="1"/>
  <c r="D33" i="9" a="1"/>
  <c r="D33" i="9" s="1"/>
  <c r="E35" i="9" a="1"/>
  <c r="E35" i="9" s="1"/>
  <c r="E27" i="9" a="1"/>
  <c r="E27" i="9" s="1"/>
  <c r="D39" i="9" a="1"/>
  <c r="D39" i="9" s="1"/>
  <c r="D20" i="9" a="1"/>
  <c r="D20" i="9" s="1"/>
  <c r="J255" i="2" a="1"/>
  <c r="J255" i="2" s="1"/>
  <c r="Z255" i="2" s="1"/>
  <c r="J254" i="2" a="1"/>
  <c r="J254" i="2" s="1"/>
  <c r="Z254" i="2" s="1"/>
  <c r="J258" i="2" a="1"/>
  <c r="J258" i="2" s="1"/>
  <c r="Z258" i="2" s="1"/>
  <c r="J257" i="2" a="1"/>
  <c r="J257" i="2" s="1"/>
  <c r="Z257" i="2" s="1"/>
  <c r="J256" i="2" a="1"/>
  <c r="J256" i="2" s="1"/>
  <c r="Z256" i="2" s="1"/>
  <c r="J42" i="2" a="1"/>
  <c r="J42" i="2" s="1"/>
  <c r="J43" i="2" a="1"/>
  <c r="J43" i="2" s="1"/>
  <c r="Z43" i="2" s="1"/>
  <c r="E42" i="2" a="1"/>
  <c r="E42" i="2" s="1"/>
  <c r="Q42" i="2" s="1"/>
  <c r="L105" i="2"/>
  <c r="I105" i="2"/>
  <c r="G105" i="2"/>
  <c r="J101" i="2"/>
  <c r="J136" i="2"/>
  <c r="F105" i="2"/>
  <c r="J98" i="2"/>
  <c r="Z98" i="2" s="1"/>
  <c r="J133" i="2"/>
  <c r="Z133" i="2" s="1"/>
  <c r="H105" i="2"/>
  <c r="L94" i="2"/>
  <c r="L129" i="2" a="1"/>
  <c r="L129" i="2" s="1"/>
  <c r="I94" i="2"/>
  <c r="I129" i="2" a="1"/>
  <c r="I129" i="2" s="1"/>
  <c r="H94" i="2"/>
  <c r="H129" i="2" a="1"/>
  <c r="H129" i="2" s="1"/>
  <c r="J131" i="2"/>
  <c r="J96" i="2"/>
  <c r="F94" i="2"/>
  <c r="F129" i="2" a="1"/>
  <c r="F129" i="2" s="1"/>
  <c r="Q34" i="2"/>
  <c r="E131" i="2"/>
  <c r="E96" i="2"/>
  <c r="G94" i="2"/>
  <c r="G129" i="2" a="1"/>
  <c r="G129" i="2" s="1"/>
  <c r="E98" i="2"/>
  <c r="E100" i="2" s="1" a="1"/>
  <c r="E100" i="2" s="1"/>
  <c r="E133" i="2"/>
  <c r="E135" i="2" s="1" a="1"/>
  <c r="E135" i="2" s="1"/>
  <c r="J18" i="2" a="1"/>
  <c r="J18" i="2" s="1"/>
  <c r="J15" i="2" a="1"/>
  <c r="J15" i="2" s="1"/>
  <c r="Z15" i="2" s="1"/>
  <c r="J16" i="2" a="1"/>
  <c r="J16" i="2" s="1"/>
  <c r="Z16" i="2" s="1"/>
  <c r="J56" i="2" a="1"/>
  <c r="J56" i="2" s="1"/>
  <c r="Z56" i="2" s="1"/>
  <c r="J59" i="2" a="1"/>
  <c r="J59" i="2" s="1"/>
  <c r="Z59" i="2" s="1"/>
  <c r="J54" i="2" a="1"/>
  <c r="J54" i="2" s="1"/>
  <c r="Z54" i="2" s="1"/>
  <c r="J61" i="2" a="1"/>
  <c r="J61" i="2" s="1"/>
  <c r="Z61" i="2" s="1"/>
  <c r="J58" i="2" a="1"/>
  <c r="J58" i="2" s="1"/>
  <c r="Z58" i="2" s="1"/>
  <c r="J60" i="2" a="1"/>
  <c r="J60" i="2" s="1"/>
  <c r="Z60" i="2" s="1"/>
  <c r="J55" i="2" a="1"/>
  <c r="J55" i="2" s="1"/>
  <c r="Z55" i="2" s="1"/>
  <c r="E19" i="2" a="1"/>
  <c r="E19" i="2" s="1"/>
  <c r="E67" i="2" a="1"/>
  <c r="E67" i="2" s="1"/>
  <c r="J67" i="2" a="1"/>
  <c r="J67" i="2" s="1"/>
  <c r="Z67" i="2" s="1"/>
  <c r="E18" i="2" a="1"/>
  <c r="E18" i="2" s="1"/>
  <c r="J13" i="2" a="1"/>
  <c r="J13" i="2" s="1"/>
  <c r="Z13" i="2" s="1"/>
  <c r="E66" i="2" a="1"/>
  <c r="E66" i="2" s="1"/>
  <c r="J20" i="2" a="1"/>
  <c r="J20" i="2" s="1"/>
  <c r="E20" i="2" a="1"/>
  <c r="E20" i="2" s="1"/>
  <c r="E111" i="2" s="1"/>
  <c r="E112" i="2" s="1" a="1"/>
  <c r="E112" i="2" s="1"/>
  <c r="E15" i="2" a="1"/>
  <c r="E15" i="2" s="1"/>
  <c r="E54" i="2" a="1"/>
  <c r="E54" i="2" s="1"/>
  <c r="E56" i="2" a="1"/>
  <c r="E56" i="2" s="1"/>
  <c r="E61" i="2" a="1"/>
  <c r="E61" i="2" s="1"/>
  <c r="E58" i="2" a="1"/>
  <c r="E58" i="2" s="1"/>
  <c r="E60" i="2" a="1"/>
  <c r="E60" i="2" s="1"/>
  <c r="E14" i="2" a="1"/>
  <c r="E14" i="2" s="1"/>
  <c r="E55" i="2" a="1"/>
  <c r="E55" i="2" s="1"/>
  <c r="E57" i="2" a="1"/>
  <c r="E57" i="2" s="1"/>
  <c r="J66" i="2" a="1"/>
  <c r="J66" i="2" s="1"/>
  <c r="Z66" i="2" s="1"/>
  <c r="J14" i="2" a="1"/>
  <c r="J14" i="2" s="1"/>
  <c r="Z14" i="2" s="1"/>
  <c r="E68" i="2" a="1"/>
  <c r="E68" i="2" s="1"/>
  <c r="E59" i="2" a="1"/>
  <c r="E59" i="2" s="1"/>
  <c r="E13" i="2" a="1"/>
  <c r="E13" i="2" s="1"/>
  <c r="E142" i="2" s="1"/>
  <c r="E150" i="2" s="1" a="1"/>
  <c r="E150" i="2" s="1"/>
  <c r="J17" i="2" a="1"/>
  <c r="J17" i="2" s="1"/>
  <c r="Z17" i="2" s="1"/>
  <c r="E16" i="2" a="1"/>
  <c r="E16" i="2" s="1"/>
  <c r="J41" i="2" a="1"/>
  <c r="J41" i="2" s="1"/>
  <c r="Z41" i="2" s="1"/>
  <c r="J33" i="2" a="1"/>
  <c r="J33" i="2" s="1"/>
  <c r="Z33" i="2" s="1"/>
  <c r="J29" i="2" a="1"/>
  <c r="J29" i="2" s="1"/>
  <c r="Z29" i="2" s="1"/>
  <c r="J37" i="2" a="1"/>
  <c r="J37" i="2" s="1"/>
  <c r="Z37" i="2" s="1"/>
  <c r="E37" i="2" a="1"/>
  <c r="E37" i="2" s="1"/>
  <c r="E31" i="2" a="1"/>
  <c r="E31" i="2" s="1"/>
  <c r="J47" i="2" a="1"/>
  <c r="J47" i="2" s="1"/>
  <c r="J49" i="2" a="1"/>
  <c r="J49" i="2" s="1"/>
  <c r="E45" i="2" a="1"/>
  <c r="E45" i="2" s="1"/>
  <c r="J51" i="2" a="1"/>
  <c r="J51" i="2" s="1"/>
  <c r="J53" i="2" a="1"/>
  <c r="J53" i="2" s="1"/>
  <c r="E41" i="2" a="1"/>
  <c r="E41" i="2" s="1"/>
  <c r="J45" i="2" a="1"/>
  <c r="J45" i="2" s="1"/>
  <c r="Z45" i="2" s="1"/>
  <c r="E52" i="2" a="1"/>
  <c r="E52" i="2" s="1"/>
  <c r="Q52" i="2" s="1"/>
  <c r="E48" i="2" a="1"/>
  <c r="E48" i="2" s="1"/>
  <c r="Q48" i="2" s="1"/>
  <c r="J46" i="2" a="1"/>
  <c r="J46" i="2" s="1"/>
  <c r="J48" i="2" a="1"/>
  <c r="J48" i="2" s="1"/>
  <c r="E53" i="2" a="1"/>
  <c r="E53" i="2" s="1"/>
  <c r="Q53" i="2" s="1"/>
  <c r="E50" i="2" a="1"/>
  <c r="E50" i="2" s="1"/>
  <c r="Q50" i="2" s="1"/>
  <c r="J50" i="2" a="1"/>
  <c r="J50" i="2" s="1"/>
  <c r="E33" i="2" a="1"/>
  <c r="E33" i="2" s="1"/>
  <c r="J52" i="2" a="1"/>
  <c r="J52" i="2" s="1"/>
  <c r="E51" i="2" a="1"/>
  <c r="E51" i="2" s="1"/>
  <c r="Q51" i="2" s="1"/>
  <c r="L149" i="2" a="1"/>
  <c r="L149" i="2" s="1"/>
  <c r="I149" i="2" a="1"/>
  <c r="I149" i="2" s="1"/>
  <c r="H149" i="2" a="1"/>
  <c r="H149" i="2" s="1"/>
  <c r="G149" i="2" a="1"/>
  <c r="G149" i="2" s="1"/>
  <c r="F149" i="2" a="1"/>
  <c r="F149" i="2" s="1"/>
  <c r="J253" i="2"/>
  <c r="Z253" i="2" s="1"/>
  <c r="Q101" i="2"/>
  <c r="Q103" i="2"/>
  <c r="E102" i="2" a="1"/>
  <c r="E102" i="2" s="1"/>
  <c r="Q102" i="2" s="1"/>
  <c r="U27" i="2"/>
  <c r="E155" i="2"/>
  <c r="E227" i="2"/>
  <c r="E213" i="2"/>
  <c r="E161" i="2"/>
  <c r="E163" i="2" s="1" a="1"/>
  <c r="E163" i="2" s="1"/>
  <c r="E164" i="2"/>
  <c r="E166" i="2" s="1" a="1"/>
  <c r="E166" i="2" s="1"/>
  <c r="E169" i="2" s="1" a="1"/>
  <c r="E169" i="2" s="1"/>
  <c r="L71" i="2"/>
  <c r="L226" i="2"/>
  <c r="L212" i="2"/>
  <c r="L160" i="2"/>
  <c r="L181" i="2"/>
  <c r="L141" i="2"/>
  <c r="L64" i="2"/>
  <c r="L180" i="2"/>
  <c r="L140" i="2"/>
  <c r="L63" i="2"/>
  <c r="L211" i="2"/>
  <c r="L159" i="2"/>
  <c r="L225" i="2"/>
  <c r="I159" i="2"/>
  <c r="I180" i="2"/>
  <c r="I140" i="2"/>
  <c r="I63" i="2"/>
  <c r="I225" i="2"/>
  <c r="I211" i="2"/>
  <c r="I71" i="2"/>
  <c r="I226" i="2"/>
  <c r="I212" i="2"/>
  <c r="I160" i="2"/>
  <c r="I181" i="2"/>
  <c r="I141" i="2"/>
  <c r="I64" i="2"/>
  <c r="H225" i="2"/>
  <c r="H211" i="2"/>
  <c r="H159" i="2"/>
  <c r="H180" i="2"/>
  <c r="H140" i="2"/>
  <c r="H63" i="2"/>
  <c r="G225" i="2"/>
  <c r="G211" i="2"/>
  <c r="G159" i="2"/>
  <c r="G180" i="2"/>
  <c r="G140" i="2"/>
  <c r="G63" i="2"/>
  <c r="G71" i="2"/>
  <c r="G226" i="2"/>
  <c r="G212" i="2"/>
  <c r="G141" i="2"/>
  <c r="G160" i="2"/>
  <c r="G181" i="2"/>
  <c r="G64" i="2"/>
  <c r="J164" i="2"/>
  <c r="J151" i="2"/>
  <c r="Z151" i="2" s="1"/>
  <c r="J170" i="2"/>
  <c r="Z170" i="2" s="1"/>
  <c r="J213" i="2"/>
  <c r="J214" i="2" s="1" a="1"/>
  <c r="J214" i="2" s="1"/>
  <c r="J227" i="2"/>
  <c r="J155" i="2"/>
  <c r="J161" i="2"/>
  <c r="J163" i="2" s="1" a="1"/>
  <c r="J163" i="2" s="1"/>
  <c r="J229" i="2"/>
  <c r="J215" i="2"/>
  <c r="F71" i="2"/>
  <c r="F160" i="2"/>
  <c r="F226" i="2"/>
  <c r="F212" i="2"/>
  <c r="F64" i="2"/>
  <c r="F181" i="2"/>
  <c r="F141" i="2"/>
  <c r="E215" i="2"/>
  <c r="E229" i="2"/>
  <c r="F225" i="2"/>
  <c r="F211" i="2"/>
  <c r="F159" i="2"/>
  <c r="F180" i="2"/>
  <c r="F140" i="2"/>
  <c r="F63" i="2"/>
  <c r="E170" i="2"/>
  <c r="E136" i="2"/>
  <c r="E138" i="2" s="1" a="1"/>
  <c r="E138" i="2" s="1"/>
  <c r="E151" i="2"/>
  <c r="E152" i="2" s="1" a="1"/>
  <c r="E152" i="2" s="1"/>
  <c r="L70" i="2"/>
  <c r="I70" i="2"/>
  <c r="G70" i="2"/>
  <c r="F70" i="2"/>
  <c r="H70" i="2"/>
  <c r="E46" i="2" a="1"/>
  <c r="E46" i="2" s="1"/>
  <c r="Q46" i="2" s="1"/>
  <c r="E47" i="2" a="1"/>
  <c r="E47" i="2" s="1"/>
  <c r="Q47" i="2" s="1"/>
  <c r="E44" i="2" a="1"/>
  <c r="E44" i="2" s="1"/>
  <c r="Q44" i="2" s="1"/>
  <c r="E30" i="2" a="1"/>
  <c r="E30" i="2" s="1"/>
  <c r="Q30" i="2" s="1"/>
  <c r="E49" i="2" a="1"/>
  <c r="E49" i="2" s="1"/>
  <c r="Q49" i="2" s="1"/>
  <c r="J40" i="2" a="1"/>
  <c r="J40" i="2" s="1"/>
  <c r="E40" i="2" a="1"/>
  <c r="E40" i="2" s="1"/>
  <c r="Q40" i="2" s="1"/>
  <c r="F176" i="2" a="1"/>
  <c r="F176" i="2" s="1"/>
  <c r="J44" i="2" a="1"/>
  <c r="J44" i="2" s="1"/>
  <c r="J28" i="2" a="1"/>
  <c r="J28" i="2" s="1"/>
  <c r="J30" i="2" a="1"/>
  <c r="J30" i="2" s="1"/>
  <c r="J32" i="2" a="1"/>
  <c r="J32" i="2" s="1"/>
  <c r="L39" i="2"/>
  <c r="AB39" i="2" s="1"/>
  <c r="L35" i="2" a="1"/>
  <c r="L35" i="2" s="1"/>
  <c r="AB35" i="2" s="1"/>
  <c r="L38" i="2"/>
  <c r="AB38" i="2" s="1"/>
  <c r="L34" i="2" a="1"/>
  <c r="L34" i="2" s="1"/>
  <c r="AB34" i="2" s="1"/>
  <c r="I39" i="2"/>
  <c r="Y39" i="2" s="1"/>
  <c r="I35" i="2" a="1"/>
  <c r="I35" i="2" s="1"/>
  <c r="Y35" i="2" s="1"/>
  <c r="I38" i="2"/>
  <c r="Y38" i="2" s="1"/>
  <c r="I34" i="2" a="1"/>
  <c r="I34" i="2" s="1"/>
  <c r="Y34" i="2" s="1"/>
  <c r="J36" i="2" a="1"/>
  <c r="J36" i="2" s="1"/>
  <c r="H39" i="2"/>
  <c r="X39" i="2" s="1"/>
  <c r="H35" i="2" a="1"/>
  <c r="H35" i="2" s="1"/>
  <c r="X35" i="2" s="1"/>
  <c r="H38" i="2"/>
  <c r="X38" i="2" s="1"/>
  <c r="H34" i="2" a="1"/>
  <c r="H34" i="2" s="1"/>
  <c r="X34" i="2" s="1"/>
  <c r="G39" i="2"/>
  <c r="W39" i="2" s="1"/>
  <c r="G35" i="2" a="1"/>
  <c r="G35" i="2" s="1"/>
  <c r="W35" i="2" s="1"/>
  <c r="G38" i="2"/>
  <c r="W38" i="2" s="1"/>
  <c r="G34" i="2" a="1"/>
  <c r="G34" i="2" s="1"/>
  <c r="W34" i="2" s="1"/>
  <c r="F39" i="2"/>
  <c r="V39" i="2" s="1"/>
  <c r="F35" i="2" a="1"/>
  <c r="F35" i="2" s="1"/>
  <c r="V35" i="2" s="1"/>
  <c r="F38" i="2"/>
  <c r="V38" i="2" s="1"/>
  <c r="F34" i="2" a="1"/>
  <c r="F34" i="2" s="1"/>
  <c r="E36" i="2" a="1"/>
  <c r="E36" i="2" s="1"/>
  <c r="Q36" i="2" s="1"/>
  <c r="U38" i="2"/>
  <c r="Q38" i="2"/>
  <c r="U39" i="2"/>
  <c r="Q39" i="2"/>
  <c r="Q28" i="2"/>
  <c r="E32" i="2" a="1"/>
  <c r="E32" i="2" s="1"/>
  <c r="L270" i="2" a="1"/>
  <c r="L270" i="2" s="1"/>
  <c r="AB270" i="2" s="1"/>
  <c r="L26" i="2" a="1"/>
  <c r="L26" i="2" s="1"/>
  <c r="L27" i="2" a="1"/>
  <c r="L27" i="2" s="1"/>
  <c r="I26" i="2" a="1"/>
  <c r="I26" i="2" s="1"/>
  <c r="I27" i="2" a="1"/>
  <c r="I27" i="2" s="1"/>
  <c r="H27" i="2" a="1"/>
  <c r="H27" i="2" s="1"/>
  <c r="G27" i="2" a="1"/>
  <c r="G27" i="2" s="1"/>
  <c r="F27" i="2" a="1"/>
  <c r="F27" i="2" s="1"/>
  <c r="F29" i="2" s="1" a="1"/>
  <c r="F29" i="2" s="1"/>
  <c r="V32" i="2"/>
  <c r="I12" i="2" a="1"/>
  <c r="I12" i="2" s="1"/>
  <c r="F64" i="9"/>
  <c r="F66" i="9"/>
  <c r="F55" i="9"/>
  <c r="F43" i="9"/>
  <c r="G60" i="9"/>
  <c r="F50" i="9"/>
  <c r="G61" i="9"/>
  <c r="G47" i="9"/>
  <c r="G64" i="9"/>
  <c r="G56" i="9"/>
  <c r="G65" i="9"/>
  <c r="F52" i="9"/>
  <c r="F41" i="9"/>
  <c r="F60" i="9"/>
  <c r="G54" i="9"/>
  <c r="G62" i="9"/>
  <c r="G46" i="9"/>
  <c r="G48" i="9"/>
  <c r="F58" i="9"/>
  <c r="G49" i="9"/>
  <c r="F67" i="9"/>
  <c r="G44" i="9"/>
  <c r="G67" i="9"/>
  <c r="G43" i="9"/>
  <c r="F59" i="9"/>
  <c r="F53" i="9"/>
  <c r="F56" i="9"/>
  <c r="G63" i="9"/>
  <c r="F44" i="9"/>
  <c r="G57" i="9"/>
  <c r="F62" i="9"/>
  <c r="G42" i="9"/>
  <c r="F61" i="9"/>
  <c r="F68" i="9"/>
  <c r="F57" i="9"/>
  <c r="G52" i="9"/>
  <c r="G55" i="9"/>
  <c r="F63" i="9"/>
  <c r="G50" i="9"/>
  <c r="F51" i="9"/>
  <c r="G68" i="9"/>
  <c r="F54" i="9"/>
  <c r="F48" i="9"/>
  <c r="F45" i="9"/>
  <c r="G58" i="9"/>
  <c r="F47" i="9"/>
  <c r="G45" i="9"/>
  <c r="G41" i="9"/>
  <c r="G66" i="9"/>
  <c r="G53" i="9"/>
  <c r="F46" i="9"/>
  <c r="G51" i="9"/>
  <c r="F42" i="9"/>
  <c r="G59" i="9"/>
  <c r="F65" i="9"/>
  <c r="F49" i="9"/>
  <c r="F271" i="2" a="1"/>
  <c r="F271" i="2" s="1"/>
  <c r="V271" i="2" s="1"/>
  <c r="E55" i="9" a="1"/>
  <c r="E55" i="9" s="1"/>
  <c r="E46" i="9" a="1"/>
  <c r="E46" i="9" s="1"/>
  <c r="E45" i="9" a="1"/>
  <c r="E45" i="9" s="1"/>
  <c r="E56" i="9" a="1"/>
  <c r="E56" i="9" s="1"/>
  <c r="E43" i="9" a="1"/>
  <c r="E43" i="9" s="1"/>
  <c r="E44" i="9" a="1"/>
  <c r="E44" i="9" s="1"/>
  <c r="E62" i="9" a="1"/>
  <c r="E62" i="9" s="1"/>
  <c r="E63" i="9" a="1"/>
  <c r="E63" i="9" s="1"/>
  <c r="E51" i="9" a="1"/>
  <c r="E51" i="9" s="1"/>
  <c r="E59" i="9" a="1"/>
  <c r="E59" i="9" s="1"/>
  <c r="E48" i="9" a="1"/>
  <c r="E48" i="9" s="1"/>
  <c r="E53" i="9" a="1"/>
  <c r="E53" i="9" s="1"/>
  <c r="E41" i="9" a="1"/>
  <c r="E41" i="9" s="1"/>
  <c r="E58" i="9" a="1"/>
  <c r="E58" i="9" s="1"/>
  <c r="E54" i="9" a="1"/>
  <c r="E54" i="9" s="1"/>
  <c r="E68" i="9" a="1"/>
  <c r="E68" i="9" s="1"/>
  <c r="E60" i="9" a="1"/>
  <c r="E60" i="9" s="1"/>
  <c r="E47" i="9" a="1"/>
  <c r="E47" i="9" s="1"/>
  <c r="E67" i="9" a="1"/>
  <c r="E67" i="9" s="1"/>
  <c r="E61" i="9" a="1"/>
  <c r="E61" i="9" s="1"/>
  <c r="E49" i="9" a="1"/>
  <c r="E49" i="9" s="1"/>
  <c r="E66" i="9" a="1"/>
  <c r="E66" i="9" s="1"/>
  <c r="E64" i="9" a="1"/>
  <c r="E64" i="9" s="1"/>
  <c r="E42" i="9" a="1"/>
  <c r="E42" i="9" s="1"/>
  <c r="E65" i="9" a="1"/>
  <c r="E65" i="9" s="1"/>
  <c r="E52" i="9" a="1"/>
  <c r="E52" i="9" s="1"/>
  <c r="E57" i="9" a="1"/>
  <c r="E57" i="9" s="1"/>
  <c r="E50" i="9" a="1"/>
  <c r="E50" i="9" s="1"/>
  <c r="D64" i="9" a="1"/>
  <c r="D64" i="9" s="1"/>
  <c r="D68" i="9" a="1"/>
  <c r="D68" i="9" s="1"/>
  <c r="D57" i="9" a="1"/>
  <c r="D57" i="9" s="1"/>
  <c r="D49" i="9" a="1"/>
  <c r="D49" i="9" s="1"/>
  <c r="D54" i="9" a="1"/>
  <c r="D54" i="9" s="1"/>
  <c r="D52" i="9" a="1"/>
  <c r="D52" i="9" s="1"/>
  <c r="D56" i="9" a="1"/>
  <c r="D56" i="9" s="1"/>
  <c r="D42" i="9" a="1"/>
  <c r="D42" i="9" s="1"/>
  <c r="D67" i="9" a="1"/>
  <c r="D67" i="9" s="1"/>
  <c r="D46" i="9" a="1"/>
  <c r="D46" i="9" s="1"/>
  <c r="D62" i="9" a="1"/>
  <c r="D62" i="9" s="1"/>
  <c r="D55" i="9" a="1"/>
  <c r="D55" i="9" s="1"/>
  <c r="D43" i="9" a="1"/>
  <c r="D43" i="9" s="1"/>
  <c r="D45" i="9" a="1"/>
  <c r="D45" i="9" s="1"/>
  <c r="D50" i="9" a="1"/>
  <c r="D50" i="9" s="1"/>
  <c r="D61" i="9" a="1"/>
  <c r="D61" i="9" s="1"/>
  <c r="D41" i="9" a="1"/>
  <c r="D41" i="9" s="1"/>
  <c r="D48" i="9" a="1"/>
  <c r="D48" i="9" s="1"/>
  <c r="D53" i="9" a="1"/>
  <c r="D53" i="9" s="1"/>
  <c r="D51" i="9" a="1"/>
  <c r="D51" i="9" s="1"/>
  <c r="D63" i="9" a="1"/>
  <c r="D63" i="9" s="1"/>
  <c r="D65" i="9" a="1"/>
  <c r="D65" i="9" s="1"/>
  <c r="D58" i="9" a="1"/>
  <c r="D58" i="9" s="1"/>
  <c r="D60" i="9" a="1"/>
  <c r="D60" i="9" s="1"/>
  <c r="D44" i="9" a="1"/>
  <c r="D44" i="9" s="1"/>
  <c r="D47" i="9" a="1"/>
  <c r="D47" i="9" s="1"/>
  <c r="D59" i="9" a="1"/>
  <c r="D59" i="9" s="1"/>
  <c r="D66" i="9" a="1"/>
  <c r="D66" i="9" s="1"/>
  <c r="G177" i="2" a="1"/>
  <c r="G177" i="2" s="1"/>
  <c r="G191" i="2"/>
  <c r="W191" i="2" s="1"/>
  <c r="G270" i="2" a="1"/>
  <c r="G270" i="2" s="1"/>
  <c r="W270" i="2" s="1"/>
  <c r="G272" i="2" a="1"/>
  <c r="G272" i="2" s="1"/>
  <c r="W272" i="2" s="1"/>
  <c r="L207" i="2"/>
  <c r="F9" i="2" a="1"/>
  <c r="F9" i="2" s="1"/>
  <c r="F19" i="2" s="1" a="1"/>
  <c r="F19" i="2" s="1"/>
  <c r="A75" i="9"/>
  <c r="F96" i="9"/>
  <c r="E99" i="9" a="1"/>
  <c r="E99" i="9" s="1"/>
  <c r="G97" i="9"/>
  <c r="I176" i="2" a="1"/>
  <c r="I176" i="2" s="1"/>
  <c r="F270" i="2" a="1"/>
  <c r="F270" i="2" s="1"/>
  <c r="V270" i="2" s="1"/>
  <c r="F99" i="9"/>
  <c r="F185" i="2"/>
  <c r="F187" i="2" s="1" a="1"/>
  <c r="F187" i="2" s="1"/>
  <c r="F194" i="2"/>
  <c r="V194" i="2" s="1"/>
  <c r="G96" i="9"/>
  <c r="G95" i="9"/>
  <c r="D99" i="9" a="1"/>
  <c r="D99" i="9" s="1"/>
  <c r="F97" i="9"/>
  <c r="E96" i="9" a="1"/>
  <c r="E96" i="9" s="1"/>
  <c r="F98" i="9"/>
  <c r="G98" i="9"/>
  <c r="F8" i="2" a="1"/>
  <c r="F8" i="2" s="1"/>
  <c r="V8" i="2" s="1"/>
  <c r="F65" i="2" a="1"/>
  <c r="F65" i="2" s="1"/>
  <c r="V65" i="2" s="1"/>
  <c r="G6" i="2" a="1"/>
  <c r="G6" i="2" s="1"/>
  <c r="G94" i="9"/>
  <c r="F95" i="9"/>
  <c r="F94" i="9"/>
  <c r="I9" i="2" a="1"/>
  <c r="I9" i="2" s="1"/>
  <c r="G99" i="9"/>
  <c r="I65" i="2" a="1"/>
  <c r="I65" i="2" s="1"/>
  <c r="F177" i="2" a="1"/>
  <c r="F177" i="2" s="1"/>
  <c r="I177" i="2" a="1"/>
  <c r="I177" i="2" s="1"/>
  <c r="E94" i="9" a="1"/>
  <c r="E94" i="9" s="1"/>
  <c r="D98" i="9" a="1"/>
  <c r="D98" i="9" s="1"/>
  <c r="E97" i="9" a="1"/>
  <c r="E97" i="9" s="1"/>
  <c r="D95" i="9" a="1"/>
  <c r="D95" i="9" s="1"/>
  <c r="E98" i="9" a="1"/>
  <c r="E98" i="9" s="1"/>
  <c r="D96" i="9" a="1"/>
  <c r="D96" i="9" s="1"/>
  <c r="D97" i="9" a="1"/>
  <c r="D97" i="9" s="1"/>
  <c r="E95" i="9" a="1"/>
  <c r="E95" i="9" s="1"/>
  <c r="D94" i="9" a="1"/>
  <c r="D94" i="9" s="1"/>
  <c r="I185" i="2"/>
  <c r="F209" i="2"/>
  <c r="F208" i="2"/>
  <c r="G182" i="2" a="1"/>
  <c r="G182" i="2" s="1"/>
  <c r="G183" i="2" s="1" a="1"/>
  <c r="G183" i="2" s="1"/>
  <c r="F272" i="2" a="1"/>
  <c r="F272" i="2" s="1"/>
  <c r="V272" i="2" s="1"/>
  <c r="F7" i="2" a="1"/>
  <c r="F7" i="2" s="1"/>
  <c r="F200" i="2"/>
  <c r="V200" i="2" s="1"/>
  <c r="F250" i="2"/>
  <c r="F25" i="2" a="1"/>
  <c r="F25" i="2" s="1"/>
  <c r="F24" i="2" a="1"/>
  <c r="F24" i="2" s="1"/>
  <c r="F53" i="2" s="1" a="1"/>
  <c r="F53" i="2" s="1"/>
  <c r="I272" i="2" a="1"/>
  <c r="I272" i="2" s="1"/>
  <c r="Y272" i="2" s="1"/>
  <c r="F6" i="2" a="1"/>
  <c r="F6" i="2" s="1"/>
  <c r="F201" i="2" a="1"/>
  <c r="F201" i="2" s="1"/>
  <c r="F203" i="2" s="1" a="1"/>
  <c r="F203" i="2" s="1"/>
  <c r="J204" i="2" a="1"/>
  <c r="J204" i="2" s="1"/>
  <c r="Z204" i="2" s="1"/>
  <c r="I270" i="2" a="1"/>
  <c r="I270" i="2" s="1"/>
  <c r="Y270" i="2" s="1"/>
  <c r="F12" i="2" a="1"/>
  <c r="F12" i="2" s="1"/>
  <c r="G207" i="2"/>
  <c r="G185" i="2"/>
  <c r="L271" i="2" a="1"/>
  <c r="L271" i="2" s="1"/>
  <c r="AB271" i="2" s="1"/>
  <c r="F11" i="2" a="1"/>
  <c r="F11" i="2" s="1"/>
  <c r="F182" i="2" a="1"/>
  <c r="F182" i="2" s="1"/>
  <c r="F184" i="2" s="1" a="1"/>
  <c r="F184" i="2" s="1"/>
  <c r="F191" i="2"/>
  <c r="V191" i="2" s="1"/>
  <c r="F197" i="2"/>
  <c r="V197" i="2" s="1"/>
  <c r="F251" i="2"/>
  <c r="G271" i="2" a="1"/>
  <c r="G271" i="2" s="1"/>
  <c r="W271" i="2" s="1"/>
  <c r="G200" i="2"/>
  <c r="W200" i="2" s="1"/>
  <c r="L194" i="2"/>
  <c r="AB194" i="2" s="1"/>
  <c r="J188" i="2" a="1"/>
  <c r="J188" i="2" s="1"/>
  <c r="Z188" i="2" s="1"/>
  <c r="I191" i="2"/>
  <c r="Y191" i="2" s="1"/>
  <c r="H26" i="2" a="1"/>
  <c r="H26" i="2" s="1"/>
  <c r="L208" i="2"/>
  <c r="G176" i="2" a="1"/>
  <c r="G176" i="2" s="1"/>
  <c r="I271" i="2" a="1"/>
  <c r="I271" i="2" s="1"/>
  <c r="Y271" i="2" s="1"/>
  <c r="I24" i="2" a="1"/>
  <c r="I24" i="2" s="1"/>
  <c r="I36" i="2" s="1" a="1"/>
  <c r="I36" i="2" s="1"/>
  <c r="I194" i="2"/>
  <c r="Y194" i="2" s="1"/>
  <c r="I209" i="2"/>
  <c r="Y209" i="2" s="1"/>
  <c r="I250" i="2"/>
  <c r="I251" i="2"/>
  <c r="J205" i="2" a="1"/>
  <c r="J205" i="2" s="1"/>
  <c r="Z205" i="2" s="1"/>
  <c r="J206" i="2" a="1"/>
  <c r="J206" i="2" s="1"/>
  <c r="Z206" i="2" s="1"/>
  <c r="I25" i="2" a="1"/>
  <c r="I25" i="2" s="1"/>
  <c r="L272" i="2" a="1"/>
  <c r="L272" i="2" s="1"/>
  <c r="AB272" i="2" s="1"/>
  <c r="I197" i="2"/>
  <c r="Y197" i="2" s="1"/>
  <c r="J187" i="2" a="1"/>
  <c r="J187" i="2" s="1"/>
  <c r="Z187" i="2" s="1"/>
  <c r="L24" i="2" a="1"/>
  <c r="L24" i="2" s="1"/>
  <c r="L52" i="2" s="1" a="1"/>
  <c r="L52" i="2" s="1"/>
  <c r="I182" i="2" a="1"/>
  <c r="I182" i="2" s="1"/>
  <c r="I183" i="2" s="1" a="1"/>
  <c r="I183" i="2" s="1"/>
  <c r="H24" i="2" a="1"/>
  <c r="H24" i="2" s="1"/>
  <c r="H44" i="2" s="1" a="1"/>
  <c r="H44" i="2" s="1"/>
  <c r="H25" i="2" a="1"/>
  <c r="H25" i="2" s="1"/>
  <c r="L25" i="2" a="1"/>
  <c r="L25" i="2" s="1"/>
  <c r="F207" i="2"/>
  <c r="G250" i="2"/>
  <c r="J178" i="2"/>
  <c r="Z178" i="2" s="1"/>
  <c r="L185" i="2"/>
  <c r="L65" i="2" a="1"/>
  <c r="L65" i="2" s="1"/>
  <c r="L12" i="2" a="1"/>
  <c r="L12" i="2" s="1"/>
  <c r="L209" i="2"/>
  <c r="AB209" i="2" s="1"/>
  <c r="J243" i="2"/>
  <c r="J268" i="2"/>
  <c r="J278" i="2" s="1"/>
  <c r="Z278" i="2" s="1"/>
  <c r="J186" i="2" a="1"/>
  <c r="J186" i="2" s="1"/>
  <c r="Z186" i="2" s="1"/>
  <c r="L182" i="2" a="1"/>
  <c r="L182" i="2" s="1"/>
  <c r="L183" i="2" s="1" a="1"/>
  <c r="L183" i="2" s="1"/>
  <c r="I7" i="2" a="1"/>
  <c r="I7" i="2" s="1"/>
  <c r="Y7" i="2" s="1"/>
  <c r="J189" i="2" a="1"/>
  <c r="J189" i="2" s="1"/>
  <c r="Z189" i="2" s="1"/>
  <c r="H177" i="2" a="1"/>
  <c r="H177" i="2" s="1"/>
  <c r="G24" i="2" a="1"/>
  <c r="G24" i="2" s="1"/>
  <c r="G36" i="2" s="1" a="1"/>
  <c r="G36" i="2" s="1"/>
  <c r="I200" i="2"/>
  <c r="Y200" i="2" s="1"/>
  <c r="L250" i="2"/>
  <c r="G11" i="2" a="1"/>
  <c r="G11" i="2" s="1"/>
  <c r="I8" i="2" a="1"/>
  <c r="I8" i="2" s="1"/>
  <c r="Y8" i="2" s="1"/>
  <c r="G7" i="2" a="1"/>
  <c r="G7" i="2" s="1"/>
  <c r="W7" i="2" s="1"/>
  <c r="L251" i="2"/>
  <c r="G251" i="2"/>
  <c r="J183" i="2" a="1"/>
  <c r="J183" i="2" s="1"/>
  <c r="J193" i="2" a="1"/>
  <c r="J193" i="2" s="1"/>
  <c r="Z193" i="2" s="1"/>
  <c r="J198" i="2" a="1"/>
  <c r="J198" i="2" s="1"/>
  <c r="Z198" i="2" s="1"/>
  <c r="J195" i="2" a="1"/>
  <c r="J195" i="2" s="1"/>
  <c r="Z195" i="2" s="1"/>
  <c r="J196" i="2" a="1"/>
  <c r="J196" i="2" s="1"/>
  <c r="Z196" i="2" s="1"/>
  <c r="G25" i="2" a="1"/>
  <c r="G25" i="2" s="1"/>
  <c r="G12" i="2" a="1"/>
  <c r="G12" i="2" s="1"/>
  <c r="G194" i="2"/>
  <c r="W194" i="2" s="1"/>
  <c r="J192" i="2" a="1"/>
  <c r="J192" i="2" s="1"/>
  <c r="Z192" i="2" s="1"/>
  <c r="L191" i="2"/>
  <c r="AB191" i="2" s="1"/>
  <c r="J287" i="2"/>
  <c r="Z287" i="2" s="1"/>
  <c r="L201" i="2" a="1"/>
  <c r="L201" i="2" s="1"/>
  <c r="I208" i="2"/>
  <c r="L200" i="2"/>
  <c r="AB200" i="2" s="1"/>
  <c r="I201" i="2" a="1"/>
  <c r="I201" i="2" s="1"/>
  <c r="Y201" i="2" s="1"/>
  <c r="J199" i="2" a="1"/>
  <c r="J199" i="2" s="1"/>
  <c r="Z199" i="2" s="1"/>
  <c r="G197" i="2"/>
  <c r="W197" i="2" s="1"/>
  <c r="G26" i="2" a="1"/>
  <c r="G26" i="2" s="1"/>
  <c r="J202" i="2" a="1"/>
  <c r="J202" i="2" s="1"/>
  <c r="Z202" i="2" s="1"/>
  <c r="G9" i="2" a="1"/>
  <c r="G9" i="2" s="1"/>
  <c r="W9" i="2" s="1"/>
  <c r="G8" i="2" a="1"/>
  <c r="G8" i="2" s="1"/>
  <c r="W8" i="2" s="1"/>
  <c r="F26" i="2" a="1"/>
  <c r="F26" i="2" s="1"/>
  <c r="F56" i="2" s="1" a="1"/>
  <c r="F56" i="2" s="1"/>
  <c r="L177" i="2" a="1"/>
  <c r="L177" i="2" s="1"/>
  <c r="L7" i="2" a="1"/>
  <c r="L7" i="2" s="1"/>
  <c r="AB7" i="2" s="1"/>
  <c r="I207" i="2"/>
  <c r="G201" i="2" a="1"/>
  <c r="G201" i="2" s="1"/>
  <c r="G208" i="2"/>
  <c r="B14" i="16" a="1"/>
  <c r="B14" i="16" s="1"/>
  <c r="J276" i="2"/>
  <c r="Z276" i="2" s="1"/>
  <c r="L176" i="2" a="1"/>
  <c r="L176" i="2" s="1"/>
  <c r="L8" i="2" a="1"/>
  <c r="L8" i="2" s="1"/>
  <c r="AB8" i="2" s="1"/>
  <c r="L6" i="2" a="1"/>
  <c r="L6" i="2" s="1"/>
  <c r="H12" i="2" a="1"/>
  <c r="H12" i="2" s="1"/>
  <c r="L9" i="2" a="1"/>
  <c r="L9" i="2" s="1"/>
  <c r="AB9" i="2" s="1"/>
  <c r="L11" i="2" a="1"/>
  <c r="L11" i="2" s="1"/>
  <c r="G65" i="2" a="1"/>
  <c r="G65" i="2" s="1"/>
  <c r="G209" i="2"/>
  <c r="W209" i="2" s="1"/>
  <c r="I11" i="2" a="1"/>
  <c r="I11" i="2" s="1"/>
  <c r="I6" i="2" a="1"/>
  <c r="I6" i="2" s="1"/>
  <c r="H6" i="2" a="1"/>
  <c r="H6" i="2" s="1"/>
  <c r="L197" i="2"/>
  <c r="AB197" i="2" s="1"/>
  <c r="J10" i="2"/>
  <c r="J269" i="2"/>
  <c r="Z269" i="2" s="1"/>
  <c r="J241" i="2"/>
  <c r="J242" i="2" s="1" a="1"/>
  <c r="J242" i="2" s="1"/>
  <c r="J285" i="2"/>
  <c r="J265" i="2"/>
  <c r="J266" i="2" s="1"/>
  <c r="H271" i="2" a="1"/>
  <c r="H271" i="2" s="1"/>
  <c r="X271" i="2" s="1"/>
  <c r="B15" i="16"/>
  <c r="H9" i="2" a="1"/>
  <c r="H9" i="2" s="1"/>
  <c r="H65" i="2" a="1"/>
  <c r="H65" i="2" s="1"/>
  <c r="H272" i="2" a="1"/>
  <c r="H272" i="2" s="1"/>
  <c r="X272" i="2" s="1"/>
  <c r="H7" i="2" a="1"/>
  <c r="H7" i="2" s="1"/>
  <c r="X7" i="2" s="1"/>
  <c r="H209" i="2"/>
  <c r="X209" i="2" s="1"/>
  <c r="H11" i="2" a="1"/>
  <c r="H11" i="2" s="1"/>
  <c r="H8" i="2" a="1"/>
  <c r="H8" i="2" s="1"/>
  <c r="X8" i="2" s="1"/>
  <c r="Q197" i="2"/>
  <c r="H176" i="2" a="1"/>
  <c r="H176" i="2" s="1"/>
  <c r="H191" i="2"/>
  <c r="X191" i="2" s="1"/>
  <c r="H270" i="2" a="1"/>
  <c r="H270" i="2" s="1"/>
  <c r="X270" i="2" s="1"/>
  <c r="H250" i="2"/>
  <c r="H182" i="2" a="1"/>
  <c r="H182" i="2" s="1"/>
  <c r="H184" i="2" s="1" a="1"/>
  <c r="H184" i="2" s="1"/>
  <c r="H194" i="2"/>
  <c r="X194" i="2" s="1"/>
  <c r="E253" i="2"/>
  <c r="Q253" i="2" s="1"/>
  <c r="E195" i="2" a="1"/>
  <c r="E195" i="2" s="1"/>
  <c r="H197" i="2"/>
  <c r="X197" i="2" s="1"/>
  <c r="H201" i="2" a="1"/>
  <c r="H201" i="2" s="1"/>
  <c r="H207" i="2"/>
  <c r="H208" i="2"/>
  <c r="E204" i="2" a="1"/>
  <c r="E204" i="2" s="1"/>
  <c r="E196" i="2" a="1"/>
  <c r="E196" i="2" s="1"/>
  <c r="E198" i="2" a="1"/>
  <c r="E198" i="2" s="1"/>
  <c r="E190" i="2" a="1"/>
  <c r="E190" i="2" s="1"/>
  <c r="E187" i="2" a="1"/>
  <c r="E187" i="2" s="1"/>
  <c r="E252" i="2"/>
  <c r="H185" i="2"/>
  <c r="H200" i="2"/>
  <c r="X200" i="2" s="1"/>
  <c r="E203" i="2" a="1"/>
  <c r="E203" i="2" s="1"/>
  <c r="Q25" i="2"/>
  <c r="E199" i="2" a="1"/>
  <c r="E199" i="2" s="1"/>
  <c r="E186" i="2" a="1"/>
  <c r="E186" i="2" s="1"/>
  <c r="U201" i="2"/>
  <c r="E206" i="2" a="1"/>
  <c r="E206" i="2" s="1"/>
  <c r="E192" i="2" a="1"/>
  <c r="E192" i="2" s="1"/>
  <c r="E205" i="2" a="1"/>
  <c r="E205" i="2" s="1"/>
  <c r="E189" i="2" a="1"/>
  <c r="E189" i="2" s="1"/>
  <c r="E188" i="2" a="1"/>
  <c r="E188" i="2" s="1"/>
  <c r="Q191" i="2"/>
  <c r="E183" i="2" a="1"/>
  <c r="E183" i="2" s="1"/>
  <c r="E184" i="2" a="1"/>
  <c r="E184" i="2" s="1"/>
  <c r="Q201" i="2"/>
  <c r="Q200" i="2"/>
  <c r="U194" i="2"/>
  <c r="R210" i="2"/>
  <c r="N7" i="2"/>
  <c r="Q6" i="2"/>
  <c r="Q9" i="2"/>
  <c r="Q65" i="2"/>
  <c r="U8" i="2"/>
  <c r="E178" i="2"/>
  <c r="Q176" i="2"/>
  <c r="U9" i="2"/>
  <c r="U7" i="2"/>
  <c r="Q7" i="2"/>
  <c r="U270" i="2"/>
  <c r="Q270" i="2"/>
  <c r="U34" i="2"/>
  <c r="U272" i="2"/>
  <c r="U35" i="2"/>
  <c r="U271" i="2"/>
  <c r="Q271" i="2"/>
  <c r="Q24" i="2"/>
  <c r="Q26" i="2"/>
  <c r="U26" i="2"/>
  <c r="Q27" i="2"/>
  <c r="P3" i="2"/>
  <c r="O3" i="2"/>
  <c r="C237" i="2"/>
  <c r="S237" i="2" s="1"/>
  <c r="C236" i="2"/>
  <c r="S236" i="2" s="1"/>
  <c r="C235" i="2"/>
  <c r="S235" i="2" s="1"/>
  <c r="C223" i="2"/>
  <c r="S223" i="2" s="1"/>
  <c r="C222" i="2"/>
  <c r="S222" i="2" s="1"/>
  <c r="C221" i="2"/>
  <c r="S221" i="2" s="1"/>
  <c r="D4" i="2"/>
  <c r="Q141" i="2"/>
  <c r="J99" i="9"/>
  <c r="J98" i="9"/>
  <c r="J97" i="9"/>
  <c r="J96" i="9"/>
  <c r="J95" i="9"/>
  <c r="J94" i="9"/>
  <c r="A72" i="9"/>
  <c r="P85" i="2"/>
  <c r="K85" i="2" s="1" a="1"/>
  <c r="K85" i="2" s="1"/>
  <c r="N298" i="2"/>
  <c r="N263" i="2"/>
  <c r="N4" i="2"/>
  <c r="G3" i="1" s="1"/>
  <c r="B8" i="16"/>
  <c r="AC1" i="2"/>
  <c r="M3" i="2"/>
  <c r="S4" i="2"/>
  <c r="D3" i="1"/>
  <c r="B4" i="16"/>
  <c r="D182" i="2" s="1"/>
  <c r="B3" i="16"/>
  <c r="N289" i="2"/>
  <c r="C19" i="14"/>
  <c r="B19" i="14"/>
  <c r="C18" i="14"/>
  <c r="B18" i="14"/>
  <c r="C17" i="14"/>
  <c r="B17" i="14"/>
  <c r="C16" i="14"/>
  <c r="B16" i="14"/>
  <c r="C15" i="14"/>
  <c r="B15" i="14"/>
  <c r="C14" i="14"/>
  <c r="B14" i="14"/>
  <c r="C12" i="14"/>
  <c r="B12" i="14"/>
  <c r="C11" i="14"/>
  <c r="B11" i="14"/>
  <c r="C10" i="14"/>
  <c r="B10" i="14"/>
  <c r="C9" i="14"/>
  <c r="B9" i="14"/>
  <c r="C5" i="14"/>
  <c r="B5" i="14"/>
  <c r="C4" i="14"/>
  <c r="B4" i="14"/>
  <c r="N287" i="2"/>
  <c r="B4" i="24" a="1"/>
  <c r="G33" i="2" l="1" a="1"/>
  <c r="G33" i="2" s="1"/>
  <c r="W33" i="2" s="1"/>
  <c r="W26" i="2"/>
  <c r="H54" i="2" a="1"/>
  <c r="H54" i="2" s="1"/>
  <c r="X54" i="2" s="1"/>
  <c r="X26" i="2"/>
  <c r="G31" i="2" a="1"/>
  <c r="G31" i="2" s="1"/>
  <c r="W31" i="2" s="1"/>
  <c r="W27" i="2"/>
  <c r="H29" i="2" a="1"/>
  <c r="H29" i="2" s="1"/>
  <c r="X29" i="2" s="1"/>
  <c r="X27" i="2"/>
  <c r="I29" i="2" a="1"/>
  <c r="I29" i="2" s="1"/>
  <c r="Y29" i="2" s="1"/>
  <c r="Y27" i="2"/>
  <c r="I55" i="2" a="1"/>
  <c r="I55" i="2" s="1"/>
  <c r="Y55" i="2" s="1"/>
  <c r="Y26" i="2"/>
  <c r="L31" i="2" a="1"/>
  <c r="L31" i="2" s="1"/>
  <c r="AB31" i="2" s="1"/>
  <c r="AB27" i="2"/>
  <c r="L57" i="2" a="1"/>
  <c r="L57" i="2" s="1"/>
  <c r="AB57" i="2" s="1"/>
  <c r="AB26" i="2"/>
  <c r="L67" i="2" a="1"/>
  <c r="L67" i="2" s="1"/>
  <c r="AB67" i="2" s="1"/>
  <c r="AB65" i="2"/>
  <c r="L190" i="2" a="1"/>
  <c r="L190" i="2" s="1"/>
  <c r="AB190" i="2" s="1"/>
  <c r="AB185" i="2"/>
  <c r="I66" i="2" a="1"/>
  <c r="I66" i="2" s="1"/>
  <c r="Y66" i="2" s="1"/>
  <c r="Y65" i="2"/>
  <c r="I199" i="2" a="1"/>
  <c r="I199" i="2" s="1"/>
  <c r="Y199" i="2" s="1"/>
  <c r="Y185" i="2"/>
  <c r="H67" i="2" a="1"/>
  <c r="H67" i="2" s="1"/>
  <c r="X67" i="2" s="1"/>
  <c r="X65" i="2"/>
  <c r="G66" i="2" a="1"/>
  <c r="G66" i="2" s="1"/>
  <c r="W66" i="2" s="1"/>
  <c r="W65" i="2"/>
  <c r="G204" i="2" a="1"/>
  <c r="G204" i="2" s="1"/>
  <c r="W204" i="2" s="1"/>
  <c r="W201" i="2"/>
  <c r="H19" i="2" a="1"/>
  <c r="H19" i="2" s="1"/>
  <c r="X19" i="2" s="1"/>
  <c r="X9" i="2"/>
  <c r="J111" i="2"/>
  <c r="Z20" i="2"/>
  <c r="J166" i="2" a="1"/>
  <c r="J166" i="2" s="1"/>
  <c r="Z166" i="2" s="1"/>
  <c r="Z164" i="2"/>
  <c r="L202" i="2" a="1"/>
  <c r="L202" i="2" s="1"/>
  <c r="AB202" i="2" s="1"/>
  <c r="AB201" i="2"/>
  <c r="I20" i="2" a="1"/>
  <c r="I20" i="2" s="1"/>
  <c r="Y9" i="2"/>
  <c r="H187" i="2" a="1"/>
  <c r="H187" i="2" s="1"/>
  <c r="X187" i="2" s="1"/>
  <c r="X185" i="2"/>
  <c r="G187" i="2" a="1"/>
  <c r="G187" i="2" s="1"/>
  <c r="W187" i="2" s="1"/>
  <c r="W185" i="2"/>
  <c r="H206" i="2" a="1"/>
  <c r="H206" i="2" s="1"/>
  <c r="X206" i="2" s="1"/>
  <c r="X201" i="2"/>
  <c r="J76" i="2"/>
  <c r="Z18" i="2"/>
  <c r="K236" i="2"/>
  <c r="K237" i="2" s="1"/>
  <c r="K292" i="2"/>
  <c r="K293" i="2" s="1"/>
  <c r="K280" i="2"/>
  <c r="K281" i="2" s="1"/>
  <c r="K260" i="2"/>
  <c r="K222" i="2"/>
  <c r="K223" i="2" s="1"/>
  <c r="I255" i="2" a="1"/>
  <c r="I255" i="2" s="1"/>
  <c r="Y255" i="2" s="1"/>
  <c r="I256" i="2" a="1"/>
  <c r="I256" i="2" s="1"/>
  <c r="Y256" i="2" s="1"/>
  <c r="I258" i="2" a="1"/>
  <c r="I258" i="2" s="1"/>
  <c r="Y258" i="2" s="1"/>
  <c r="I257" i="2" a="1"/>
  <c r="I257" i="2" s="1"/>
  <c r="Y257" i="2" s="1"/>
  <c r="I254" i="2" a="1"/>
  <c r="I254" i="2" s="1"/>
  <c r="Y254" i="2" s="1"/>
  <c r="H256" i="2" a="1"/>
  <c r="H256" i="2" s="1"/>
  <c r="X256" i="2" s="1"/>
  <c r="H258" i="2" a="1"/>
  <c r="H258" i="2" s="1"/>
  <c r="X258" i="2" s="1"/>
  <c r="H255" i="2" a="1"/>
  <c r="H255" i="2" s="1"/>
  <c r="X255" i="2" s="1"/>
  <c r="H254" i="2" a="1"/>
  <c r="H254" i="2" s="1"/>
  <c r="X254" i="2" s="1"/>
  <c r="H257" i="2" a="1"/>
  <c r="H257" i="2" s="1"/>
  <c r="X257" i="2" s="1"/>
  <c r="L257" i="2" a="1"/>
  <c r="L257" i="2" s="1"/>
  <c r="AB257" i="2" s="1"/>
  <c r="L254" i="2" a="1"/>
  <c r="L254" i="2" s="1"/>
  <c r="AB254" i="2" s="1"/>
  <c r="L258" i="2" a="1"/>
  <c r="L258" i="2" s="1"/>
  <c r="AB258" i="2" s="1"/>
  <c r="L256" i="2" a="1"/>
  <c r="L256" i="2" s="1"/>
  <c r="AB256" i="2" s="1"/>
  <c r="L255" i="2" a="1"/>
  <c r="L255" i="2" s="1"/>
  <c r="AB255" i="2" s="1"/>
  <c r="G257" i="2" a="1"/>
  <c r="G257" i="2" s="1"/>
  <c r="W257" i="2" s="1"/>
  <c r="G254" i="2" a="1"/>
  <c r="G254" i="2" s="1"/>
  <c r="W254" i="2" s="1"/>
  <c r="G258" i="2" a="1"/>
  <c r="G258" i="2" s="1"/>
  <c r="W258" i="2" s="1"/>
  <c r="G255" i="2" a="1"/>
  <c r="G255" i="2" s="1"/>
  <c r="W255" i="2" s="1"/>
  <c r="G256" i="2" a="1"/>
  <c r="G256" i="2" s="1"/>
  <c r="W256" i="2" s="1"/>
  <c r="F257" i="2" a="1"/>
  <c r="F257" i="2" s="1"/>
  <c r="F258" i="2" a="1"/>
  <c r="F258" i="2" s="1"/>
  <c r="F255" i="2" a="1"/>
  <c r="F255" i="2" s="1"/>
  <c r="F256" i="2" a="1"/>
  <c r="F256" i="2" s="1"/>
  <c r="F254" i="2" a="1"/>
  <c r="F254" i="2" s="1"/>
  <c r="F259" i="2" s="1"/>
  <c r="F261" i="2" s="1"/>
  <c r="F43" i="2" a="1"/>
  <c r="F43" i="2" s="1"/>
  <c r="V43" i="2" s="1"/>
  <c r="H42" i="2" a="1"/>
  <c r="H42" i="2" s="1"/>
  <c r="L42" i="2" a="1"/>
  <c r="L42" i="2" s="1"/>
  <c r="F42" i="2" a="1"/>
  <c r="F42" i="2" s="1"/>
  <c r="G42" i="2" a="1"/>
  <c r="G42" i="2" s="1"/>
  <c r="G43" i="2" a="1"/>
  <c r="G43" i="2" s="1"/>
  <c r="W43" i="2" s="1"/>
  <c r="I42" i="2" a="1"/>
  <c r="I42" i="2" s="1"/>
  <c r="H43" i="2" a="1"/>
  <c r="H43" i="2" s="1"/>
  <c r="X43" i="2" s="1"/>
  <c r="I43" i="2" a="1"/>
  <c r="I43" i="2" s="1"/>
  <c r="Y43" i="2" s="1"/>
  <c r="L43" i="2" a="1"/>
  <c r="L43" i="2" s="1"/>
  <c r="AB43" i="2" s="1"/>
  <c r="R200" i="2"/>
  <c r="R191" i="2"/>
  <c r="R197" i="2"/>
  <c r="I101" i="2"/>
  <c r="I136" i="2"/>
  <c r="F133" i="2"/>
  <c r="F98" i="2"/>
  <c r="V98" i="2" s="1"/>
  <c r="L101" i="2"/>
  <c r="L136" i="2"/>
  <c r="J137" i="2" a="1"/>
  <c r="J137" i="2" s="1"/>
  <c r="J138" i="2" a="1"/>
  <c r="J138" i="2" s="1"/>
  <c r="J102" i="2" a="1"/>
  <c r="J102" i="2" s="1"/>
  <c r="J103" i="2" a="1"/>
  <c r="J103" i="2" s="1"/>
  <c r="H133" i="2"/>
  <c r="X133" i="2" s="1"/>
  <c r="H98" i="2"/>
  <c r="X98" i="2" s="1"/>
  <c r="G133" i="2"/>
  <c r="W133" i="2" s="1"/>
  <c r="G98" i="2"/>
  <c r="W98" i="2" s="1"/>
  <c r="L98" i="2"/>
  <c r="AB98" i="2" s="1"/>
  <c r="L133" i="2"/>
  <c r="AB133" i="2" s="1"/>
  <c r="R194" i="2"/>
  <c r="I133" i="2"/>
  <c r="Y133" i="2" s="1"/>
  <c r="I98" i="2"/>
  <c r="Y98" i="2" s="1"/>
  <c r="J107" i="2"/>
  <c r="Z107" i="2" s="1"/>
  <c r="H101" i="2"/>
  <c r="H136" i="2"/>
  <c r="J135" i="2" a="1"/>
  <c r="J135" i="2" s="1"/>
  <c r="Z135" i="2" s="1"/>
  <c r="J134" i="2" a="1"/>
  <c r="J134" i="2" s="1"/>
  <c r="Z134" i="2" s="1"/>
  <c r="F101" i="2"/>
  <c r="F136" i="2"/>
  <c r="J72" i="2"/>
  <c r="Z72" i="2" s="1"/>
  <c r="J99" i="2" a="1"/>
  <c r="J99" i="2" s="1"/>
  <c r="Z99" i="2" s="1"/>
  <c r="J100" i="2" a="1"/>
  <c r="J100" i="2" s="1"/>
  <c r="Z100" i="2" s="1"/>
  <c r="G101" i="2"/>
  <c r="G136" i="2"/>
  <c r="H131" i="2"/>
  <c r="H96" i="2"/>
  <c r="I131" i="2"/>
  <c r="I96" i="2"/>
  <c r="R34" i="2"/>
  <c r="L131" i="2"/>
  <c r="L96" i="2"/>
  <c r="V34" i="2"/>
  <c r="F131" i="2"/>
  <c r="F96" i="2"/>
  <c r="G131" i="2"/>
  <c r="G96" i="2"/>
  <c r="F192" i="2" a="1"/>
  <c r="F192" i="2" s="1"/>
  <c r="F189" i="2" a="1"/>
  <c r="F189" i="2" s="1"/>
  <c r="Q98" i="2"/>
  <c r="U98" i="2"/>
  <c r="E99" i="2" a="1"/>
  <c r="E99" i="2" s="1"/>
  <c r="Q99" i="2" s="1"/>
  <c r="F198" i="2" a="1"/>
  <c r="F198" i="2" s="1"/>
  <c r="I19" i="2" a="1"/>
  <c r="I19" i="2" s="1"/>
  <c r="Y19" i="2" s="1"/>
  <c r="I14" i="2" a="1"/>
  <c r="I14" i="2" s="1"/>
  <c r="V9" i="2"/>
  <c r="I13" i="2" a="1"/>
  <c r="I13" i="2" s="1"/>
  <c r="J175" i="2" a="1"/>
  <c r="J175" i="2" s="1"/>
  <c r="Z175" i="2" s="1"/>
  <c r="J174" i="2" a="1"/>
  <c r="J174" i="2" s="1"/>
  <c r="Z174" i="2" s="1"/>
  <c r="J173" i="2" a="1"/>
  <c r="J173" i="2" s="1"/>
  <c r="Z173" i="2" s="1"/>
  <c r="J172" i="2" a="1"/>
  <c r="J172" i="2" s="1"/>
  <c r="Z172" i="2" s="1"/>
  <c r="J171" i="2" a="1"/>
  <c r="J171" i="2" s="1"/>
  <c r="Z171" i="2" s="1"/>
  <c r="E174" i="2" a="1"/>
  <c r="E174" i="2" s="1"/>
  <c r="E175" i="2" a="1"/>
  <c r="E175" i="2" s="1"/>
  <c r="E172" i="2" a="1"/>
  <c r="E172" i="2" s="1"/>
  <c r="E173" i="2" a="1"/>
  <c r="E173" i="2" s="1"/>
  <c r="E171" i="2" a="1"/>
  <c r="E171" i="2" s="1"/>
  <c r="J169" i="2" a="1"/>
  <c r="J169" i="2" s="1"/>
  <c r="Z169" i="2" s="1"/>
  <c r="E168" i="2" a="1"/>
  <c r="E168" i="2" s="1"/>
  <c r="E167" i="2" a="1"/>
  <c r="E167" i="2" s="1"/>
  <c r="F61" i="2" a="1"/>
  <c r="F61" i="2" s="1"/>
  <c r="V61" i="2" s="1"/>
  <c r="G59" i="2" a="1"/>
  <c r="G59" i="2" s="1"/>
  <c r="W59" i="2" s="1"/>
  <c r="I16" i="2" a="1"/>
  <c r="I16" i="2" s="1"/>
  <c r="H56" i="2" a="1"/>
  <c r="H56" i="2" s="1"/>
  <c r="X56" i="2" s="1"/>
  <c r="L59" i="2" a="1"/>
  <c r="L59" i="2" s="1"/>
  <c r="AB59" i="2" s="1"/>
  <c r="H66" i="2" a="1"/>
  <c r="H66" i="2" s="1"/>
  <c r="X66" i="2" s="1"/>
  <c r="F58" i="2" a="1"/>
  <c r="F58" i="2" s="1"/>
  <c r="V58" i="2" s="1"/>
  <c r="G54" i="2" a="1"/>
  <c r="G54" i="2" s="1"/>
  <c r="W54" i="2" s="1"/>
  <c r="I68" i="2" a="1"/>
  <c r="I68" i="2" s="1"/>
  <c r="Y68" i="2" s="1"/>
  <c r="H61" i="2" a="1"/>
  <c r="H61" i="2" s="1"/>
  <c r="X61" i="2" s="1"/>
  <c r="L54" i="2" a="1"/>
  <c r="L54" i="2" s="1"/>
  <c r="AB54" i="2" s="1"/>
  <c r="F20" i="2" a="1"/>
  <c r="F20" i="2" s="1"/>
  <c r="F111" i="2" s="1"/>
  <c r="F112" i="2" s="1" a="1"/>
  <c r="F112" i="2" s="1"/>
  <c r="F60" i="2" a="1"/>
  <c r="F60" i="2" s="1"/>
  <c r="V60" i="2" s="1"/>
  <c r="G56" i="2" a="1"/>
  <c r="G56" i="2" s="1"/>
  <c r="W56" i="2" s="1"/>
  <c r="H58" i="2" a="1"/>
  <c r="H58" i="2" s="1"/>
  <c r="X58" i="2" s="1"/>
  <c r="L56" i="2" a="1"/>
  <c r="L56" i="2" s="1"/>
  <c r="AB56" i="2" s="1"/>
  <c r="F17" i="2" a="1"/>
  <c r="F17" i="2" s="1"/>
  <c r="V17" i="2" s="1"/>
  <c r="F55" i="2" a="1"/>
  <c r="F55" i="2" s="1"/>
  <c r="V55" i="2" s="1"/>
  <c r="G61" i="2" a="1"/>
  <c r="G61" i="2" s="1"/>
  <c r="W61" i="2" s="1"/>
  <c r="L15" i="2" a="1"/>
  <c r="L15" i="2" s="1"/>
  <c r="AB15" i="2" s="1"/>
  <c r="H60" i="2" a="1"/>
  <c r="H60" i="2" s="1"/>
  <c r="X60" i="2" s="1"/>
  <c r="L61" i="2" a="1"/>
  <c r="L61" i="2" s="1"/>
  <c r="AB61" i="2" s="1"/>
  <c r="E12" i="9" a="1"/>
  <c r="E12" i="9" s="1"/>
  <c r="U12" i="9" a="1"/>
  <c r="U12" i="9" s="1"/>
  <c r="Q12" i="9" a="1"/>
  <c r="Q12" i="9" s="1"/>
  <c r="H12" i="9" a="1"/>
  <c r="H12" i="9" s="1"/>
  <c r="C12" i="9" a="1"/>
  <c r="C12" i="9" s="1"/>
  <c r="B12" i="9" a="1"/>
  <c r="B12" i="9" s="1"/>
  <c r="P12" i="9" a="1"/>
  <c r="P12" i="9" s="1"/>
  <c r="R12" i="9" a="1"/>
  <c r="R12" i="9" s="1"/>
  <c r="L12" i="9" a="1"/>
  <c r="L12" i="9" s="1"/>
  <c r="O12" i="9" a="1"/>
  <c r="O12" i="9" s="1"/>
  <c r="N12" i="9" a="1"/>
  <c r="N12" i="9" s="1"/>
  <c r="T12" i="9" a="1"/>
  <c r="T12" i="9" s="1"/>
  <c r="M12" i="9" a="1"/>
  <c r="M12" i="9" s="1"/>
  <c r="S12" i="9" a="1"/>
  <c r="S12" i="9" s="1"/>
  <c r="K12" i="9" a="1"/>
  <c r="K12" i="9" s="1"/>
  <c r="F14" i="2" a="1"/>
  <c r="F14" i="2" s="1"/>
  <c r="F72" i="2" s="1"/>
  <c r="F57" i="2" a="1"/>
  <c r="F57" i="2" s="1"/>
  <c r="V57" i="2" s="1"/>
  <c r="G58" i="2" a="1"/>
  <c r="G58" i="2" s="1"/>
  <c r="W58" i="2" s="1"/>
  <c r="L18" i="2" a="1"/>
  <c r="L18" i="2" s="1"/>
  <c r="AB18" i="2" s="1"/>
  <c r="H55" i="2" a="1"/>
  <c r="H55" i="2" s="1"/>
  <c r="X55" i="2" s="1"/>
  <c r="L58" i="2" a="1"/>
  <c r="L58" i="2" s="1"/>
  <c r="AB58" i="2" s="1"/>
  <c r="F68" i="2" a="1"/>
  <c r="F68" i="2" s="1"/>
  <c r="V68" i="2" s="1"/>
  <c r="G20" i="2" a="1"/>
  <c r="G20" i="2" s="1"/>
  <c r="G60" i="2" a="1"/>
  <c r="G60" i="2" s="1"/>
  <c r="W60" i="2" s="1"/>
  <c r="L66" i="2" a="1"/>
  <c r="L66" i="2" s="1"/>
  <c r="AB66" i="2" s="1"/>
  <c r="H57" i="2" a="1"/>
  <c r="H57" i="2" s="1"/>
  <c r="X57" i="2" s="1"/>
  <c r="L60" i="2" a="1"/>
  <c r="L60" i="2" s="1"/>
  <c r="AB60" i="2" s="1"/>
  <c r="G17" i="2" a="1"/>
  <c r="G17" i="2" s="1"/>
  <c r="W17" i="2" s="1"/>
  <c r="G55" i="2" a="1"/>
  <c r="G55" i="2" s="1"/>
  <c r="W55" i="2" s="1"/>
  <c r="L17" i="2" a="1"/>
  <c r="L17" i="2" s="1"/>
  <c r="AB17" i="2" s="1"/>
  <c r="I57" i="2" a="1"/>
  <c r="I57" i="2" s="1"/>
  <c r="Y57" i="2" s="1"/>
  <c r="H20" i="2" a="1"/>
  <c r="H20" i="2" s="1"/>
  <c r="T75" i="9" a="1"/>
  <c r="T75" i="9" s="1"/>
  <c r="L75" i="9" a="1"/>
  <c r="L75" i="9" s="1"/>
  <c r="O75" i="9" a="1"/>
  <c r="O75" i="9" s="1"/>
  <c r="Q75" i="9" a="1"/>
  <c r="Q75" i="9" s="1"/>
  <c r="C75" i="9" a="1"/>
  <c r="C75" i="9" s="1"/>
  <c r="S75" i="9" a="1"/>
  <c r="S75" i="9" s="1"/>
  <c r="K75" i="9" a="1"/>
  <c r="K75" i="9" s="1"/>
  <c r="N75" i="9" a="1"/>
  <c r="N75" i="9" s="1"/>
  <c r="U75" i="9" a="1"/>
  <c r="U75" i="9" s="1"/>
  <c r="U100" i="9" s="1"/>
  <c r="P75" i="9" a="1"/>
  <c r="P75" i="9" s="1"/>
  <c r="M75" i="9" a="1"/>
  <c r="M75" i="9" s="1"/>
  <c r="R75" i="9" a="1"/>
  <c r="R75" i="9" s="1"/>
  <c r="H75" i="9" a="1"/>
  <c r="H75" i="9" s="1"/>
  <c r="B75" i="9" a="1"/>
  <c r="B75" i="9" s="1"/>
  <c r="F67" i="2" a="1"/>
  <c r="F67" i="2" s="1"/>
  <c r="V67" i="2" s="1"/>
  <c r="G14" i="2" a="1"/>
  <c r="G14" i="2" s="1"/>
  <c r="G57" i="2" a="1"/>
  <c r="G57" i="2" s="1"/>
  <c r="W57" i="2" s="1"/>
  <c r="L20" i="2" a="1"/>
  <c r="L20" i="2" s="1"/>
  <c r="I59" i="2" a="1"/>
  <c r="I59" i="2" s="1"/>
  <c r="Y59" i="2" s="1"/>
  <c r="H17" i="2" a="1"/>
  <c r="H17" i="2" s="1"/>
  <c r="X17" i="2" s="1"/>
  <c r="F13" i="2" a="1"/>
  <c r="F13" i="2" s="1"/>
  <c r="F142" i="2" s="1"/>
  <c r="F150" i="2" s="1" a="1"/>
  <c r="F150" i="2" s="1"/>
  <c r="G68" i="2" a="1"/>
  <c r="G68" i="2" s="1"/>
  <c r="W68" i="2" s="1"/>
  <c r="I18" i="2" a="1"/>
  <c r="I18" i="2" s="1"/>
  <c r="L14" i="2" a="1"/>
  <c r="L14" i="2" s="1"/>
  <c r="AB14" i="2" s="1"/>
  <c r="I54" i="2" a="1"/>
  <c r="I54" i="2" s="1"/>
  <c r="Y54" i="2" s="1"/>
  <c r="H14" i="2" a="1"/>
  <c r="H14" i="2" s="1"/>
  <c r="X14" i="2" s="1"/>
  <c r="F16" i="2" a="1"/>
  <c r="F16" i="2" s="1"/>
  <c r="F107" i="2" s="1"/>
  <c r="G19" i="2" a="1"/>
  <c r="G19" i="2" s="1"/>
  <c r="W19" i="2" s="1"/>
  <c r="I15" i="2" a="1"/>
  <c r="I15" i="2" s="1"/>
  <c r="Y15" i="2" s="1"/>
  <c r="L68" i="2" a="1"/>
  <c r="L68" i="2" s="1"/>
  <c r="AB68" i="2" s="1"/>
  <c r="I56" i="2" a="1"/>
  <c r="I56" i="2" s="1"/>
  <c r="Y56" i="2" s="1"/>
  <c r="H68" i="2" a="1"/>
  <c r="H68" i="2" s="1"/>
  <c r="X68" i="2" s="1"/>
  <c r="F18" i="2" a="1"/>
  <c r="F18" i="2" s="1"/>
  <c r="F76" i="2" s="1"/>
  <c r="F77" i="2" s="1" a="1"/>
  <c r="F77" i="2" s="1"/>
  <c r="G67" i="2" a="1"/>
  <c r="G67" i="2" s="1"/>
  <c r="W67" i="2" s="1"/>
  <c r="I17" i="2" a="1"/>
  <c r="I17" i="2" s="1"/>
  <c r="Y17" i="2" s="1"/>
  <c r="L19" i="2" a="1"/>
  <c r="L19" i="2" s="1"/>
  <c r="AB19" i="2" s="1"/>
  <c r="I61" i="2" a="1"/>
  <c r="I61" i="2" s="1"/>
  <c r="Y61" i="2" s="1"/>
  <c r="H15" i="2" a="1"/>
  <c r="H15" i="2" s="1"/>
  <c r="X15" i="2" s="1"/>
  <c r="F66" i="2" a="1"/>
  <c r="F66" i="2" s="1"/>
  <c r="V66" i="2" s="1"/>
  <c r="G13" i="2" a="1"/>
  <c r="G13" i="2" s="1"/>
  <c r="W13" i="2" s="1"/>
  <c r="L16" i="2" a="1"/>
  <c r="L16" i="2" s="1"/>
  <c r="AB16" i="2" s="1"/>
  <c r="I58" i="2" a="1"/>
  <c r="I58" i="2" s="1"/>
  <c r="Y58" i="2" s="1"/>
  <c r="F15" i="2" a="1"/>
  <c r="F15" i="2" s="1"/>
  <c r="V15" i="2" s="1"/>
  <c r="G16" i="2" a="1"/>
  <c r="G16" i="2" s="1"/>
  <c r="W16" i="2" s="1"/>
  <c r="I60" i="2" a="1"/>
  <c r="I60" i="2" s="1"/>
  <c r="Y60" i="2" s="1"/>
  <c r="F59" i="2" a="1"/>
  <c r="F59" i="2" s="1"/>
  <c r="V59" i="2" s="1"/>
  <c r="G18" i="2" a="1"/>
  <c r="G18" i="2" s="1"/>
  <c r="W18" i="2" s="1"/>
  <c r="L13" i="2" a="1"/>
  <c r="L13" i="2" s="1"/>
  <c r="AB13" i="2" s="1"/>
  <c r="H16" i="2" a="1"/>
  <c r="H16" i="2" s="1"/>
  <c r="X16" i="2" s="1"/>
  <c r="F54" i="2" a="1"/>
  <c r="F54" i="2" s="1"/>
  <c r="V54" i="2" s="1"/>
  <c r="I67" i="2" a="1"/>
  <c r="I67" i="2" s="1"/>
  <c r="Y67" i="2" s="1"/>
  <c r="H59" i="2" a="1"/>
  <c r="H59" i="2" s="1"/>
  <c r="X59" i="2" s="1"/>
  <c r="L55" i="2" a="1"/>
  <c r="L55" i="2" s="1"/>
  <c r="AB55" i="2" s="1"/>
  <c r="H13" i="2" a="1"/>
  <c r="H13" i="2" s="1"/>
  <c r="X13" i="2" s="1"/>
  <c r="G15" i="2" a="1"/>
  <c r="G15" i="2" s="1"/>
  <c r="W15" i="2" s="1"/>
  <c r="H18" i="2" a="1"/>
  <c r="H18" i="2" s="1"/>
  <c r="X18" i="2" s="1"/>
  <c r="E165" i="2" a="1"/>
  <c r="E165" i="2" s="1"/>
  <c r="J165" i="2" a="1"/>
  <c r="J165" i="2" s="1"/>
  <c r="Z165" i="2" s="1"/>
  <c r="E162" i="2" a="1"/>
  <c r="E162" i="2" s="1"/>
  <c r="J162" i="2" a="1"/>
  <c r="J162" i="2" s="1"/>
  <c r="E148" i="2" a="1"/>
  <c r="E148" i="2" s="1"/>
  <c r="E154" i="2" a="1"/>
  <c r="E154" i="2" s="1"/>
  <c r="U154" i="2" s="1"/>
  <c r="E153" i="2" a="1"/>
  <c r="E153" i="2" s="1"/>
  <c r="F46" i="2" a="1"/>
  <c r="F46" i="2" s="1"/>
  <c r="F190" i="2" a="1"/>
  <c r="F190" i="2" s="1"/>
  <c r="G29" i="2" a="1"/>
  <c r="G29" i="2" s="1"/>
  <c r="W29" i="2" s="1"/>
  <c r="F188" i="2" a="1"/>
  <c r="F188" i="2" s="1"/>
  <c r="G53" i="2" a="1"/>
  <c r="G53" i="2" s="1"/>
  <c r="F193" i="2" a="1"/>
  <c r="F193" i="2" s="1"/>
  <c r="F199" i="2" a="1"/>
  <c r="F199" i="2" s="1"/>
  <c r="G50" i="2" a="1"/>
  <c r="G50" i="2" s="1"/>
  <c r="H45" i="2" a="1"/>
  <c r="H45" i="2" s="1"/>
  <c r="X45" i="2" s="1"/>
  <c r="I31" i="2" a="1"/>
  <c r="I31" i="2" s="1"/>
  <c r="Y31" i="2" s="1"/>
  <c r="L41" i="2" a="1"/>
  <c r="L41" i="2" s="1"/>
  <c r="AB41" i="2" s="1"/>
  <c r="L33" i="2" a="1"/>
  <c r="L33" i="2" s="1"/>
  <c r="AB33" i="2" s="1"/>
  <c r="L29" i="2" a="1"/>
  <c r="L29" i="2" s="1"/>
  <c r="AB29" i="2" s="1"/>
  <c r="I48" i="2" a="1"/>
  <c r="I48" i="2" s="1"/>
  <c r="G52" i="2" a="1"/>
  <c r="G52" i="2" s="1"/>
  <c r="I50" i="2" a="1"/>
  <c r="I50" i="2" s="1"/>
  <c r="F37" i="2" a="1"/>
  <c r="F37" i="2" s="1"/>
  <c r="V37" i="2" s="1"/>
  <c r="G47" i="2" a="1"/>
  <c r="G47" i="2" s="1"/>
  <c r="I52" i="2" a="1"/>
  <c r="I52" i="2" s="1"/>
  <c r="F31" i="2" a="1"/>
  <c r="F31" i="2" s="1"/>
  <c r="V31" i="2" s="1"/>
  <c r="G49" i="2" a="1"/>
  <c r="G49" i="2" s="1"/>
  <c r="H37" i="2" a="1"/>
  <c r="H37" i="2" s="1"/>
  <c r="X37" i="2" s="1"/>
  <c r="L47" i="2" a="1"/>
  <c r="L47" i="2" s="1"/>
  <c r="F45" i="2" a="1"/>
  <c r="F45" i="2" s="1"/>
  <c r="V45" i="2" s="1"/>
  <c r="G51" i="2" a="1"/>
  <c r="G51" i="2" s="1"/>
  <c r="H31" i="2" a="1"/>
  <c r="H31" i="2" s="1"/>
  <c r="X31" i="2" s="1"/>
  <c r="I37" i="2" a="1"/>
  <c r="I37" i="2" s="1"/>
  <c r="Y37" i="2" s="1"/>
  <c r="L49" i="2" a="1"/>
  <c r="L49" i="2" s="1"/>
  <c r="F33" i="2" a="1"/>
  <c r="F33" i="2" s="1"/>
  <c r="V33" i="2" s="1"/>
  <c r="F48" i="2" a="1"/>
  <c r="F48" i="2" s="1"/>
  <c r="H41" i="2" a="1"/>
  <c r="H41" i="2" s="1"/>
  <c r="X41" i="2" s="1"/>
  <c r="H46" i="2" a="1"/>
  <c r="H46" i="2" s="1"/>
  <c r="L53" i="2" a="1"/>
  <c r="L53" i="2" s="1"/>
  <c r="L51" i="2" a="1"/>
  <c r="L51" i="2" s="1"/>
  <c r="I198" i="2" a="1"/>
  <c r="I198" i="2" s="1"/>
  <c r="Y198" i="2" s="1"/>
  <c r="F50" i="2" a="1"/>
  <c r="F50" i="2" s="1"/>
  <c r="H33" i="2" a="1"/>
  <c r="H33" i="2" s="1"/>
  <c r="X33" i="2" s="1"/>
  <c r="H48" i="2" a="1"/>
  <c r="H48" i="2" s="1"/>
  <c r="I41" i="2" a="1"/>
  <c r="I41" i="2" s="1"/>
  <c r="Y41" i="2" s="1"/>
  <c r="L45" i="2" a="1"/>
  <c r="L45" i="2" s="1"/>
  <c r="AB45" i="2" s="1"/>
  <c r="F52" i="2" a="1"/>
  <c r="F52" i="2" s="1"/>
  <c r="H50" i="2" a="1"/>
  <c r="H50" i="2" s="1"/>
  <c r="I33" i="2" a="1"/>
  <c r="I33" i="2" s="1"/>
  <c r="Y33" i="2" s="1"/>
  <c r="L46" i="2" a="1"/>
  <c r="L46" i="2" s="1"/>
  <c r="F47" i="2" a="1"/>
  <c r="F47" i="2" s="1"/>
  <c r="H52" i="2" a="1"/>
  <c r="H52" i="2" s="1"/>
  <c r="L48" i="2" a="1"/>
  <c r="L48" i="2" s="1"/>
  <c r="I193" i="2" a="1"/>
  <c r="I193" i="2" s="1"/>
  <c r="Y193" i="2" s="1"/>
  <c r="F49" i="2" a="1"/>
  <c r="F49" i="2" s="1"/>
  <c r="H47" i="2" a="1"/>
  <c r="H47" i="2" s="1"/>
  <c r="L50" i="2" a="1"/>
  <c r="L50" i="2" s="1"/>
  <c r="I186" i="2" a="1"/>
  <c r="I186" i="2" s="1"/>
  <c r="Y186" i="2" s="1"/>
  <c r="F51" i="2" a="1"/>
  <c r="F51" i="2" s="1"/>
  <c r="G37" i="2" a="1"/>
  <c r="G37" i="2" s="1"/>
  <c r="W37" i="2" s="1"/>
  <c r="H49" i="2" a="1"/>
  <c r="H49" i="2" s="1"/>
  <c r="I47" i="2" a="1"/>
  <c r="I47" i="2" s="1"/>
  <c r="H51" i="2" a="1"/>
  <c r="H51" i="2" s="1"/>
  <c r="I49" i="2" a="1"/>
  <c r="I49" i="2" s="1"/>
  <c r="F41" i="2" a="1"/>
  <c r="F41" i="2" s="1"/>
  <c r="V41" i="2" s="1"/>
  <c r="G45" i="2" a="1"/>
  <c r="G45" i="2" s="1"/>
  <c r="W45" i="2" s="1"/>
  <c r="H53" i="2" a="1"/>
  <c r="H53" i="2" s="1"/>
  <c r="I51" i="2" a="1"/>
  <c r="I51" i="2" s="1"/>
  <c r="L37" i="2" a="1"/>
  <c r="L37" i="2" s="1"/>
  <c r="AB37" i="2" s="1"/>
  <c r="G41" i="2" a="1"/>
  <c r="G41" i="2" s="1"/>
  <c r="W41" i="2" s="1"/>
  <c r="G46" i="2" a="1"/>
  <c r="G46" i="2" s="1"/>
  <c r="I45" i="2" a="1"/>
  <c r="I45" i="2" s="1"/>
  <c r="Y45" i="2" s="1"/>
  <c r="I53" i="2" a="1"/>
  <c r="I53" i="2" s="1"/>
  <c r="G48" i="2" a="1"/>
  <c r="G48" i="2" s="1"/>
  <c r="I46" i="2" a="1"/>
  <c r="I46" i="2" s="1"/>
  <c r="I187" i="2" a="1"/>
  <c r="I187" i="2" s="1"/>
  <c r="Y187" i="2" s="1"/>
  <c r="I190" i="2" a="1"/>
  <c r="I190" i="2" s="1"/>
  <c r="Y190" i="2" s="1"/>
  <c r="I196" i="2" a="1"/>
  <c r="I196" i="2" s="1"/>
  <c r="Y196" i="2" s="1"/>
  <c r="I189" i="2" a="1"/>
  <c r="I189" i="2" s="1"/>
  <c r="Y189" i="2" s="1"/>
  <c r="F186" i="2" a="1"/>
  <c r="F186" i="2" s="1"/>
  <c r="E3" i="1" a="1"/>
  <c r="E3" i="1" s="1"/>
  <c r="F3" i="1" a="1"/>
  <c r="F3" i="1" s="1"/>
  <c r="J259" i="2"/>
  <c r="H253" i="2"/>
  <c r="X253" i="2" s="1"/>
  <c r="I253" i="2"/>
  <c r="Y253" i="2" s="1"/>
  <c r="L253" i="2"/>
  <c r="AB253" i="2" s="1"/>
  <c r="F253" i="2"/>
  <c r="V253" i="2" s="1"/>
  <c r="G253" i="2"/>
  <c r="W253" i="2" s="1"/>
  <c r="N260" i="2"/>
  <c r="V27" i="2"/>
  <c r="V259" i="2"/>
  <c r="F206" i="2" a="1"/>
  <c r="F206" i="2" s="1"/>
  <c r="J154" i="2" a="1"/>
  <c r="J154" i="2" s="1"/>
  <c r="Z154" i="2" s="1"/>
  <c r="L195" i="2" a="1"/>
  <c r="L195" i="2" s="1"/>
  <c r="AB195" i="2" s="1"/>
  <c r="F195" i="2" a="1"/>
  <c r="F195" i="2" s="1"/>
  <c r="F205" i="2" a="1"/>
  <c r="F205" i="2" s="1"/>
  <c r="Q100" i="2"/>
  <c r="U100" i="2"/>
  <c r="E137" i="2" a="1"/>
  <c r="E137" i="2" s="1"/>
  <c r="I151" i="2"/>
  <c r="Y151" i="2" s="1"/>
  <c r="I170" i="2"/>
  <c r="Y170" i="2" s="1"/>
  <c r="I164" i="2"/>
  <c r="E107" i="2"/>
  <c r="E230" i="2"/>
  <c r="E144" i="2"/>
  <c r="H151" i="2"/>
  <c r="X151" i="2" s="1"/>
  <c r="H170" i="2"/>
  <c r="X170" i="2" s="1"/>
  <c r="H164" i="2"/>
  <c r="L151" i="2"/>
  <c r="AB151" i="2" s="1"/>
  <c r="L170" i="2"/>
  <c r="AB170" i="2" s="1"/>
  <c r="I229" i="2"/>
  <c r="I215" i="2"/>
  <c r="F161" i="2"/>
  <c r="F163" i="2" s="1" a="1"/>
  <c r="F163" i="2" s="1"/>
  <c r="F155" i="2"/>
  <c r="F227" i="2"/>
  <c r="F213" i="2"/>
  <c r="G161" i="2"/>
  <c r="G163" i="2" s="1" a="1"/>
  <c r="G163" i="2" s="1"/>
  <c r="G227" i="2"/>
  <c r="G213" i="2"/>
  <c r="G155" i="2"/>
  <c r="D225" i="2"/>
  <c r="D211" i="2"/>
  <c r="D105" i="2"/>
  <c r="D159" i="2"/>
  <c r="D180" i="2"/>
  <c r="D140" i="2"/>
  <c r="D63" i="2"/>
  <c r="V201" i="2"/>
  <c r="G151" i="2"/>
  <c r="W151" i="2" s="1"/>
  <c r="G170" i="2"/>
  <c r="W170" i="2" s="1"/>
  <c r="L164" i="2"/>
  <c r="F215" i="2"/>
  <c r="F229" i="2"/>
  <c r="G164" i="2"/>
  <c r="L229" i="2"/>
  <c r="L215" i="2"/>
  <c r="Q133" i="2"/>
  <c r="U133" i="2"/>
  <c r="E134" i="2" a="1"/>
  <c r="E134" i="2" s="1"/>
  <c r="G229" i="2"/>
  <c r="G215" i="2"/>
  <c r="H229" i="2"/>
  <c r="H215" i="2"/>
  <c r="J146" i="2"/>
  <c r="L155" i="2"/>
  <c r="L227" i="2"/>
  <c r="L213" i="2"/>
  <c r="L161" i="2"/>
  <c r="L163" i="2" s="1" a="1"/>
  <c r="L163" i="2" s="1"/>
  <c r="E146" i="2"/>
  <c r="E76" i="2"/>
  <c r="E77" i="2" s="1" a="1"/>
  <c r="E77" i="2" s="1"/>
  <c r="J142" i="2"/>
  <c r="Z142" i="2" s="1"/>
  <c r="F170" i="2"/>
  <c r="F151" i="2"/>
  <c r="J216" i="2"/>
  <c r="Z216" i="2" s="1"/>
  <c r="H161" i="2"/>
  <c r="H163" i="2" s="1" a="1"/>
  <c r="H163" i="2" s="1"/>
  <c r="H227" i="2"/>
  <c r="H213" i="2"/>
  <c r="H155" i="2"/>
  <c r="J144" i="2"/>
  <c r="J230" i="2"/>
  <c r="Z230" i="2" s="1"/>
  <c r="E72" i="2"/>
  <c r="E216" i="2"/>
  <c r="I155" i="2"/>
  <c r="I161" i="2"/>
  <c r="I163" i="2" s="1" a="1"/>
  <c r="I163" i="2" s="1"/>
  <c r="I227" i="2"/>
  <c r="I213" i="2"/>
  <c r="F164" i="2"/>
  <c r="F166" i="2" s="1" a="1"/>
  <c r="F166" i="2" s="1"/>
  <c r="J156" i="2" a="1"/>
  <c r="J156" i="2" s="1"/>
  <c r="J157" i="2" a="1"/>
  <c r="J157" i="2" s="1"/>
  <c r="J152" i="2" a="1"/>
  <c r="J152" i="2" s="1"/>
  <c r="Z152" i="2" s="1"/>
  <c r="J153" i="2" a="1"/>
  <c r="J153" i="2" s="1"/>
  <c r="Z153" i="2" s="1"/>
  <c r="Q151" i="2"/>
  <c r="U151" i="2"/>
  <c r="V7" i="2"/>
  <c r="C84" i="2"/>
  <c r="C85" i="2"/>
  <c r="S85" i="2" s="1"/>
  <c r="S82" i="2"/>
  <c r="F204" i="2" a="1"/>
  <c r="F204" i="2" s="1"/>
  <c r="V19" i="2"/>
  <c r="F44" i="2" a="1"/>
  <c r="F44" i="2" s="1"/>
  <c r="L44" i="2" a="1"/>
  <c r="L44" i="2" s="1"/>
  <c r="L40" i="2" a="1"/>
  <c r="L40" i="2" s="1"/>
  <c r="I40" i="2" a="1"/>
  <c r="I40" i="2" s="1"/>
  <c r="F40" i="2" a="1"/>
  <c r="F40" i="2" s="1"/>
  <c r="H40" i="2" a="1"/>
  <c r="H40" i="2" s="1"/>
  <c r="G44" i="2" a="1"/>
  <c r="G44" i="2" s="1"/>
  <c r="G40" i="2" a="1"/>
  <c r="G40" i="2" s="1"/>
  <c r="F196" i="2" a="1"/>
  <c r="F196" i="2" s="1"/>
  <c r="I44" i="2" a="1"/>
  <c r="I44" i="2" s="1"/>
  <c r="Q61" i="2"/>
  <c r="U61" i="2"/>
  <c r="Q60" i="2"/>
  <c r="U60" i="2"/>
  <c r="Q59" i="2"/>
  <c r="U59" i="2"/>
  <c r="Q58" i="2"/>
  <c r="U58" i="2"/>
  <c r="Q56" i="2"/>
  <c r="U56" i="2"/>
  <c r="Q55" i="2"/>
  <c r="U55" i="2"/>
  <c r="Q57" i="2"/>
  <c r="U57" i="2"/>
  <c r="Q54" i="2"/>
  <c r="U54" i="2"/>
  <c r="V56" i="2"/>
  <c r="Q45" i="2"/>
  <c r="U45" i="2"/>
  <c r="Q43" i="2"/>
  <c r="U43" i="2"/>
  <c r="U41" i="2"/>
  <c r="Q41" i="2"/>
  <c r="L28" i="2" a="1"/>
  <c r="L28" i="2" s="1"/>
  <c r="L30" i="2" a="1"/>
  <c r="L30" i="2" s="1"/>
  <c r="F28" i="2" a="1"/>
  <c r="F28" i="2" s="1"/>
  <c r="G28" i="2" a="1"/>
  <c r="G28" i="2" s="1"/>
  <c r="L32" i="2" a="1"/>
  <c r="L32" i="2" s="1"/>
  <c r="F30" i="2" a="1"/>
  <c r="F30" i="2" s="1"/>
  <c r="G30" i="2" a="1"/>
  <c r="G30" i="2" s="1"/>
  <c r="F32" i="2" a="1"/>
  <c r="F32" i="2" s="1"/>
  <c r="G32" i="2" a="1"/>
  <c r="G32" i="2" s="1"/>
  <c r="I28" i="2" a="1"/>
  <c r="I28" i="2" s="1"/>
  <c r="L36" i="2" a="1"/>
  <c r="L36" i="2" s="1"/>
  <c r="I30" i="2" a="1"/>
  <c r="I30" i="2" s="1"/>
  <c r="F36" i="2" a="1"/>
  <c r="F36" i="2" s="1"/>
  <c r="H28" i="2" a="1"/>
  <c r="H28" i="2" s="1"/>
  <c r="I32" i="2" a="1"/>
  <c r="I32" i="2" s="1"/>
  <c r="D12" i="9" a="1"/>
  <c r="D12" i="9" s="1"/>
  <c r="H30" i="2" a="1"/>
  <c r="H30" i="2" s="1"/>
  <c r="V29" i="2"/>
  <c r="H32" i="2" a="1"/>
  <c r="H32" i="2" s="1"/>
  <c r="H36" i="2" a="1"/>
  <c r="H36" i="2" s="1"/>
  <c r="G184" i="2" a="1"/>
  <c r="G184" i="2" s="1"/>
  <c r="R38" i="2"/>
  <c r="R39" i="2"/>
  <c r="U37" i="2"/>
  <c r="Q37" i="2"/>
  <c r="U31" i="2"/>
  <c r="Q31" i="2"/>
  <c r="D75" i="9" a="1"/>
  <c r="D75" i="9" s="1"/>
  <c r="U29" i="2"/>
  <c r="Q29" i="2"/>
  <c r="U32" i="2"/>
  <c r="R32" i="2" s="1"/>
  <c r="Q32" i="2"/>
  <c r="G75" i="9"/>
  <c r="R272" i="2"/>
  <c r="F75" i="9"/>
  <c r="G12" i="9"/>
  <c r="F12" i="9"/>
  <c r="E75" i="9" a="1"/>
  <c r="E75" i="9" s="1"/>
  <c r="I195" i="2" a="1"/>
  <c r="I195" i="2" s="1"/>
  <c r="Y195" i="2" s="1"/>
  <c r="I192" i="2" a="1"/>
  <c r="I192" i="2" s="1"/>
  <c r="Y192" i="2" s="1"/>
  <c r="I188" i="2" a="1"/>
  <c r="I188" i="2" s="1"/>
  <c r="Y188" i="2" s="1"/>
  <c r="G198" i="2" a="1"/>
  <c r="G198" i="2" s="1"/>
  <c r="W198" i="2" s="1"/>
  <c r="G192" i="2" a="1"/>
  <c r="G192" i="2" s="1"/>
  <c r="W192" i="2" s="1"/>
  <c r="G195" i="2" a="1"/>
  <c r="G195" i="2" s="1"/>
  <c r="W195" i="2" s="1"/>
  <c r="G206" i="2" a="1"/>
  <c r="G206" i="2" s="1"/>
  <c r="W206" i="2" s="1"/>
  <c r="G205" i="2" a="1"/>
  <c r="G205" i="2" s="1"/>
  <c r="W205" i="2" s="1"/>
  <c r="G190" i="2" a="1"/>
  <c r="G190" i="2" s="1"/>
  <c r="W190" i="2" s="1"/>
  <c r="R270" i="2"/>
  <c r="F183" i="2" a="1"/>
  <c r="F183" i="2" s="1"/>
  <c r="G186" i="2" a="1"/>
  <c r="G186" i="2" s="1"/>
  <c r="W186" i="2" s="1"/>
  <c r="G199" i="2" a="1"/>
  <c r="G199" i="2" s="1"/>
  <c r="W199" i="2" s="1"/>
  <c r="G189" i="2" a="1"/>
  <c r="G189" i="2" s="1"/>
  <c r="W189" i="2" s="1"/>
  <c r="L206" i="2" a="1"/>
  <c r="L206" i="2" s="1"/>
  <c r="AB206" i="2" s="1"/>
  <c r="G196" i="2" a="1"/>
  <c r="G196" i="2" s="1"/>
  <c r="W196" i="2" s="1"/>
  <c r="G193" i="2" a="1"/>
  <c r="G193" i="2" s="1"/>
  <c r="W193" i="2" s="1"/>
  <c r="L203" i="2" a="1"/>
  <c r="L203" i="2" s="1"/>
  <c r="AB203" i="2" s="1"/>
  <c r="G188" i="2" a="1"/>
  <c r="G188" i="2" s="1"/>
  <c r="W188" i="2" s="1"/>
  <c r="F252" i="2"/>
  <c r="F202" i="2" a="1"/>
  <c r="F202" i="2" s="1"/>
  <c r="G252" i="2"/>
  <c r="L252" i="2"/>
  <c r="R35" i="2"/>
  <c r="H252" i="2"/>
  <c r="I252" i="2"/>
  <c r="I206" i="2" a="1"/>
  <c r="I206" i="2" s="1"/>
  <c r="Y206" i="2" s="1"/>
  <c r="R8" i="2"/>
  <c r="J244" i="2"/>
  <c r="Z244" i="2" s="1"/>
  <c r="R271" i="2"/>
  <c r="L205" i="2" a="1"/>
  <c r="L205" i="2" s="1"/>
  <c r="AB205" i="2" s="1"/>
  <c r="I205" i="2" a="1"/>
  <c r="I205" i="2" s="1"/>
  <c r="Y205" i="2" s="1"/>
  <c r="J277" i="2"/>
  <c r="Z277" i="2" s="1"/>
  <c r="L189" i="2" a="1"/>
  <c r="L189" i="2" s="1"/>
  <c r="AB189" i="2" s="1"/>
  <c r="H183" i="2" a="1"/>
  <c r="H183" i="2" s="1"/>
  <c r="L192" i="2" a="1"/>
  <c r="L192" i="2" s="1"/>
  <c r="AB192" i="2" s="1"/>
  <c r="L199" i="2" a="1"/>
  <c r="L199" i="2" s="1"/>
  <c r="AB199" i="2" s="1"/>
  <c r="L186" i="2" a="1"/>
  <c r="L186" i="2" s="1"/>
  <c r="AB186" i="2" s="1"/>
  <c r="G203" i="2" a="1"/>
  <c r="G203" i="2" s="1"/>
  <c r="W203" i="2" s="1"/>
  <c r="L198" i="2" a="1"/>
  <c r="L198" i="2" s="1"/>
  <c r="AB198" i="2" s="1"/>
  <c r="L204" i="2" a="1"/>
  <c r="L204" i="2" s="1"/>
  <c r="AB204" i="2" s="1"/>
  <c r="I203" i="2" a="1"/>
  <c r="I203" i="2" s="1"/>
  <c r="Y203" i="2" s="1"/>
  <c r="L187" i="2" a="1"/>
  <c r="L187" i="2" s="1"/>
  <c r="AB187" i="2" s="1"/>
  <c r="I184" i="2" a="1"/>
  <c r="I184" i="2" s="1"/>
  <c r="L193" i="2" a="1"/>
  <c r="L193" i="2" s="1"/>
  <c r="AB193" i="2" s="1"/>
  <c r="L188" i="2" a="1"/>
  <c r="L188" i="2" s="1"/>
  <c r="AB188" i="2" s="1"/>
  <c r="L196" i="2" a="1"/>
  <c r="L196" i="2" s="1"/>
  <c r="AB196" i="2" s="1"/>
  <c r="V26" i="2"/>
  <c r="B17" i="16"/>
  <c r="G202" i="2" a="1"/>
  <c r="G202" i="2" s="1"/>
  <c r="W202" i="2" s="1"/>
  <c r="I202" i="2" a="1"/>
  <c r="I202" i="2" s="1"/>
  <c r="Y202" i="2" s="1"/>
  <c r="J289" i="2"/>
  <c r="J286" i="2"/>
  <c r="J288" i="2"/>
  <c r="Z288" i="2" s="1"/>
  <c r="J290" i="2"/>
  <c r="Z290" i="2" s="1"/>
  <c r="H199" i="2" a="1"/>
  <c r="H199" i="2" s="1"/>
  <c r="X199" i="2" s="1"/>
  <c r="L184" i="2" a="1"/>
  <c r="L184" i="2" s="1"/>
  <c r="I204" i="2" a="1"/>
  <c r="I204" i="2" s="1"/>
  <c r="Y204" i="2" s="1"/>
  <c r="B4" i="24"/>
  <c r="B16" i="16"/>
  <c r="B18" i="16" s="1"/>
  <c r="U253" i="2"/>
  <c r="H192" i="2" a="1"/>
  <c r="H192" i="2" s="1"/>
  <c r="X192" i="2" s="1"/>
  <c r="Q252" i="2"/>
  <c r="H204" i="2" a="1"/>
  <c r="H204" i="2" s="1"/>
  <c r="X204" i="2" s="1"/>
  <c r="H198" i="2" a="1"/>
  <c r="H198" i="2" s="1"/>
  <c r="X198" i="2" s="1"/>
  <c r="H193" i="2" a="1"/>
  <c r="H193" i="2" s="1"/>
  <c r="X193" i="2" s="1"/>
  <c r="H203" i="2" a="1"/>
  <c r="H203" i="2" s="1"/>
  <c r="X203" i="2" s="1"/>
  <c r="H205" i="2" a="1"/>
  <c r="H205" i="2" s="1"/>
  <c r="X205" i="2" s="1"/>
  <c r="H202" i="2" a="1"/>
  <c r="H202" i="2" s="1"/>
  <c r="X202" i="2" s="1"/>
  <c r="H196" i="2" a="1"/>
  <c r="H196" i="2" s="1"/>
  <c r="X196" i="2" s="1"/>
  <c r="H186" i="2" a="1"/>
  <c r="H186" i="2" s="1"/>
  <c r="X186" i="2" s="1"/>
  <c r="H190" i="2" a="1"/>
  <c r="H190" i="2" s="1"/>
  <c r="X190" i="2" s="1"/>
  <c r="H195" i="2" a="1"/>
  <c r="H195" i="2" s="1"/>
  <c r="X195" i="2" s="1"/>
  <c r="H189" i="2" a="1"/>
  <c r="H189" i="2" s="1"/>
  <c r="X189" i="2" s="1"/>
  <c r="H188" i="2" a="1"/>
  <c r="H188" i="2" s="1"/>
  <c r="X188" i="2" s="1"/>
  <c r="V222" i="2"/>
  <c r="U222" i="2"/>
  <c r="R222" i="2" s="1"/>
  <c r="T222" i="2"/>
  <c r="AC222" i="2"/>
  <c r="Q67" i="2"/>
  <c r="U67" i="2"/>
  <c r="Q19" i="2"/>
  <c r="U19" i="2"/>
  <c r="Q16" i="2"/>
  <c r="U16" i="2"/>
  <c r="Q66" i="2"/>
  <c r="U66" i="2"/>
  <c r="Q18" i="2"/>
  <c r="U18" i="2"/>
  <c r="Q33" i="2"/>
  <c r="U33" i="2"/>
  <c r="Q20" i="2"/>
  <c r="U20" i="2"/>
  <c r="AC236" i="2"/>
  <c r="V236" i="2"/>
  <c r="U236" i="2"/>
  <c r="R236" i="2" s="1"/>
  <c r="T236" i="2"/>
  <c r="Q13" i="2"/>
  <c r="U13" i="2"/>
  <c r="Q178" i="2"/>
  <c r="U178" i="2"/>
  <c r="V237" i="2"/>
  <c r="T237" i="2"/>
  <c r="AC237" i="2"/>
  <c r="U237" i="2"/>
  <c r="R237" i="2" s="1"/>
  <c r="Q68" i="2"/>
  <c r="U68" i="2"/>
  <c r="Q14" i="2"/>
  <c r="U14" i="2"/>
  <c r="U223" i="2"/>
  <c r="R223" i="2" s="1"/>
  <c r="AC223" i="2"/>
  <c r="T223" i="2"/>
  <c r="V223" i="2"/>
  <c r="Q15" i="2"/>
  <c r="U15" i="2"/>
  <c r="Q17" i="2"/>
  <c r="U17" i="2"/>
  <c r="AC3" i="2"/>
  <c r="M5" i="2" a="1"/>
  <c r="M5" i="2" s="1"/>
  <c r="M106" i="2" s="1"/>
  <c r="M23" i="2" a="1"/>
  <c r="M23" i="2" s="1"/>
  <c r="M4" i="2" a="1"/>
  <c r="M4" i="2" s="1"/>
  <c r="M22" i="2" a="1"/>
  <c r="M22" i="2" s="1"/>
  <c r="D4" i="1"/>
  <c r="D22" i="2"/>
  <c r="D250" i="2" s="1"/>
  <c r="N292" i="2"/>
  <c r="N247" i="2"/>
  <c r="N280" i="2"/>
  <c r="N219" i="2"/>
  <c r="N233" i="2"/>
  <c r="Q140" i="2"/>
  <c r="D303" i="2"/>
  <c r="E303" i="2" s="1"/>
  <c r="Q303" i="2" s="1"/>
  <c r="D295" i="2"/>
  <c r="J53" i="9"/>
  <c r="J52" i="9"/>
  <c r="J51" i="9"/>
  <c r="J50" i="9"/>
  <c r="J49" i="9"/>
  <c r="J48" i="9"/>
  <c r="J47" i="9"/>
  <c r="J46" i="9"/>
  <c r="J45" i="9"/>
  <c r="J44" i="9"/>
  <c r="J43" i="9"/>
  <c r="J58" i="9"/>
  <c r="J42" i="9"/>
  <c r="J57" i="9"/>
  <c r="J41" i="9"/>
  <c r="J56" i="9"/>
  <c r="J55" i="9"/>
  <c r="J54" i="9"/>
  <c r="J75" i="9"/>
  <c r="D5" i="2"/>
  <c r="AC4" i="2"/>
  <c r="T4" i="2"/>
  <c r="U4" i="2"/>
  <c r="V4" i="2"/>
  <c r="J168" i="2" l="1" a="1"/>
  <c r="J168" i="2" s="1"/>
  <c r="Z168" i="2" s="1"/>
  <c r="J167" i="2" a="1"/>
  <c r="J167" i="2" s="1"/>
  <c r="Z167" i="2" s="1"/>
  <c r="J77" i="2" a="1"/>
  <c r="J77" i="2" s="1"/>
  <c r="Z77" i="2" s="1"/>
  <c r="Z76" i="2"/>
  <c r="I72" i="2"/>
  <c r="Y72" i="2" s="1"/>
  <c r="Y14" i="2"/>
  <c r="AA85" i="2"/>
  <c r="J147" i="2" a="1"/>
  <c r="J147" i="2" s="1"/>
  <c r="Z147" i="2" s="1"/>
  <c r="Z146" i="2"/>
  <c r="H166" i="2" a="1"/>
  <c r="H166" i="2" s="1"/>
  <c r="X166" i="2" s="1"/>
  <c r="X164" i="2"/>
  <c r="G166" i="2" a="1"/>
  <c r="G166" i="2" s="1"/>
  <c r="W166" i="2" s="1"/>
  <c r="W164" i="2"/>
  <c r="I142" i="2"/>
  <c r="I148" i="2" s="1" a="1"/>
  <c r="I148" i="2" s="1"/>
  <c r="Y148" i="2" s="1"/>
  <c r="Y13" i="2"/>
  <c r="J145" i="2" a="1"/>
  <c r="J145" i="2" s="1"/>
  <c r="Z145" i="2" s="1"/>
  <c r="Z144" i="2"/>
  <c r="I166" i="2" a="1"/>
  <c r="I166" i="2" s="1"/>
  <c r="Y166" i="2" s="1"/>
  <c r="Y164" i="2"/>
  <c r="I76" i="2"/>
  <c r="Y18" i="2"/>
  <c r="G111" i="2"/>
  <c r="W20" i="2"/>
  <c r="I107" i="2"/>
  <c r="Y107" i="2" s="1"/>
  <c r="Y16" i="2"/>
  <c r="I111" i="2"/>
  <c r="Y20" i="2"/>
  <c r="L111" i="2"/>
  <c r="AB20" i="2"/>
  <c r="G72" i="2"/>
  <c r="W72" i="2" s="1"/>
  <c r="W14" i="2"/>
  <c r="J112" i="2" a="1"/>
  <c r="J112" i="2" s="1"/>
  <c r="Z112" i="2" s="1"/>
  <c r="Z111" i="2"/>
  <c r="H111" i="2"/>
  <c r="X20" i="2"/>
  <c r="L166" i="2" a="1"/>
  <c r="L166" i="2" s="1"/>
  <c r="AB166" i="2" s="1"/>
  <c r="AB164" i="2"/>
  <c r="K217" i="2"/>
  <c r="AA217" i="2" s="1"/>
  <c r="K228" i="2"/>
  <c r="K231" i="2"/>
  <c r="AA231" i="2" s="1"/>
  <c r="F260" i="2"/>
  <c r="E257" i="2"/>
  <c r="V257" i="2"/>
  <c r="E258" i="2"/>
  <c r="V258" i="2"/>
  <c r="E256" i="2"/>
  <c r="V256" i="2"/>
  <c r="E254" i="2"/>
  <c r="V254" i="2"/>
  <c r="E255" i="2"/>
  <c r="V255" i="2"/>
  <c r="I134" i="2" a="1"/>
  <c r="I134" i="2" s="1"/>
  <c r="Y134" i="2" s="1"/>
  <c r="I135" i="2" a="1"/>
  <c r="I135" i="2" s="1"/>
  <c r="Y135" i="2" s="1"/>
  <c r="L134" i="2" a="1"/>
  <c r="L134" i="2" s="1"/>
  <c r="AB134" i="2" s="1"/>
  <c r="L135" i="2" a="1"/>
  <c r="L135" i="2" s="1"/>
  <c r="AB135" i="2" s="1"/>
  <c r="L100" i="2" a="1"/>
  <c r="L100" i="2" s="1"/>
  <c r="AB100" i="2" s="1"/>
  <c r="L99" i="2" a="1"/>
  <c r="L99" i="2" s="1"/>
  <c r="AB99" i="2" s="1"/>
  <c r="G99" i="2" a="1"/>
  <c r="G99" i="2" s="1"/>
  <c r="W99" i="2" s="1"/>
  <c r="G100" i="2" a="1"/>
  <c r="G100" i="2" s="1"/>
  <c r="W100" i="2" s="1"/>
  <c r="G135" i="2" a="1"/>
  <c r="G135" i="2" s="1"/>
  <c r="W135" i="2" s="1"/>
  <c r="G134" i="2" a="1"/>
  <c r="G134" i="2" s="1"/>
  <c r="W134" i="2" s="1"/>
  <c r="H76" i="2"/>
  <c r="H100" i="2" a="1"/>
  <c r="H100" i="2" s="1"/>
  <c r="X100" i="2" s="1"/>
  <c r="H99" i="2" a="1"/>
  <c r="H99" i="2" s="1"/>
  <c r="X99" i="2" s="1"/>
  <c r="F108" i="2" a="1"/>
  <c r="F108" i="2" s="1"/>
  <c r="F130" i="2" a="1"/>
  <c r="F130" i="2" s="1"/>
  <c r="F128" i="2" a="1"/>
  <c r="F128" i="2" s="1"/>
  <c r="F132" i="2" s="1"/>
  <c r="F110" i="2" a="1"/>
  <c r="F110" i="2" s="1"/>
  <c r="F121" i="2" s="1"/>
  <c r="F109" i="2" a="1"/>
  <c r="F109" i="2" s="1"/>
  <c r="F113" i="2" s="1"/>
  <c r="H135" i="2" a="1"/>
  <c r="H135" i="2" s="1"/>
  <c r="X135" i="2" s="1"/>
  <c r="H134" i="2" a="1"/>
  <c r="H134" i="2" s="1"/>
  <c r="X134" i="2" s="1"/>
  <c r="H72" i="2"/>
  <c r="X72" i="2" s="1"/>
  <c r="L72" i="2"/>
  <c r="AB72" i="2" s="1"/>
  <c r="H107" i="2"/>
  <c r="X107" i="2" s="1"/>
  <c r="L138" i="2" a="1"/>
  <c r="L138" i="2" s="1"/>
  <c r="L137" i="2" a="1"/>
  <c r="L137" i="2" s="1"/>
  <c r="L103" i="2" a="1"/>
  <c r="L103" i="2" s="1"/>
  <c r="L102" i="2" a="1"/>
  <c r="L102" i="2" s="1"/>
  <c r="G76" i="2"/>
  <c r="G137" i="2" a="1"/>
  <c r="G137" i="2" s="1"/>
  <c r="G138" i="2" a="1"/>
  <c r="G138" i="2" s="1"/>
  <c r="G102" i="2" a="1"/>
  <c r="G102" i="2" s="1"/>
  <c r="G103" i="2" a="1"/>
  <c r="G103" i="2" s="1"/>
  <c r="G107" i="2"/>
  <c r="W107" i="2" s="1"/>
  <c r="J75" i="2" a="1"/>
  <c r="J75" i="2" s="1"/>
  <c r="J95" i="2" a="1"/>
  <c r="J95" i="2" s="1"/>
  <c r="Z95" i="2" s="1"/>
  <c r="J93" i="2" a="1"/>
  <c r="J93" i="2" s="1"/>
  <c r="J74" i="2" a="1"/>
  <c r="J74" i="2" s="1"/>
  <c r="J73" i="2" a="1"/>
  <c r="J73" i="2" s="1"/>
  <c r="Z73" i="2" s="1"/>
  <c r="L76" i="2"/>
  <c r="M105" i="2"/>
  <c r="F138" i="2" a="1"/>
  <c r="F138" i="2" s="1"/>
  <c r="F137" i="2" a="1"/>
  <c r="F137" i="2" s="1"/>
  <c r="L107" i="2"/>
  <c r="AB107" i="2" s="1"/>
  <c r="F103" i="2" a="1"/>
  <c r="F103" i="2" s="1"/>
  <c r="F102" i="2" a="1"/>
  <c r="F102" i="2" s="1"/>
  <c r="F75" i="2" a="1"/>
  <c r="F75" i="2" s="1"/>
  <c r="F86" i="2" s="1"/>
  <c r="F93" i="2" a="1"/>
  <c r="F93" i="2" s="1"/>
  <c r="F97" i="2" s="1"/>
  <c r="F74" i="2" a="1"/>
  <c r="F74" i="2" s="1"/>
  <c r="F78" i="2" s="1"/>
  <c r="F73" i="2" a="1"/>
  <c r="F73" i="2" s="1"/>
  <c r="F95" i="2" a="1"/>
  <c r="F95" i="2" s="1"/>
  <c r="H137" i="2" a="1"/>
  <c r="H137" i="2" s="1"/>
  <c r="H138" i="2" a="1"/>
  <c r="H138" i="2" s="1"/>
  <c r="H103" i="2" a="1"/>
  <c r="H103" i="2" s="1"/>
  <c r="H102" i="2" a="1"/>
  <c r="H102" i="2" s="1"/>
  <c r="F100" i="2" a="1"/>
  <c r="F100" i="2" s="1"/>
  <c r="V100" i="2" s="1"/>
  <c r="F99" i="2" a="1"/>
  <c r="F99" i="2" s="1"/>
  <c r="V99" i="2" s="1"/>
  <c r="J108" i="2" a="1"/>
  <c r="J108" i="2" s="1"/>
  <c r="Z108" i="2" s="1"/>
  <c r="J109" i="2" a="1"/>
  <c r="J109" i="2" s="1"/>
  <c r="J128" i="2" a="1"/>
  <c r="J128" i="2" s="1"/>
  <c r="J110" i="2" a="1"/>
  <c r="J110" i="2" s="1"/>
  <c r="J130" i="2" a="1"/>
  <c r="J130" i="2" s="1"/>
  <c r="Z130" i="2" s="1"/>
  <c r="F134" i="2" a="1"/>
  <c r="F134" i="2" s="1"/>
  <c r="V134" i="2" s="1"/>
  <c r="F135" i="2" a="1"/>
  <c r="F135" i="2" s="1"/>
  <c r="V135" i="2" s="1"/>
  <c r="I138" i="2" a="1"/>
  <c r="I138" i="2" s="1"/>
  <c r="I137" i="2" a="1"/>
  <c r="I137" i="2" s="1"/>
  <c r="I100" i="2" a="1"/>
  <c r="I100" i="2" s="1"/>
  <c r="Y100" i="2" s="1"/>
  <c r="I99" i="2" a="1"/>
  <c r="I99" i="2" s="1"/>
  <c r="Y99" i="2" s="1"/>
  <c r="I103" i="2" a="1"/>
  <c r="I103" i="2" s="1"/>
  <c r="I102" i="2" a="1"/>
  <c r="I102" i="2" s="1"/>
  <c r="M94" i="2"/>
  <c r="M129" i="2" a="1"/>
  <c r="M129" i="2" s="1"/>
  <c r="J148" i="2" a="1"/>
  <c r="J148" i="2" s="1"/>
  <c r="Z148" i="2" s="1"/>
  <c r="J150" i="2" a="1"/>
  <c r="J150" i="2" s="1"/>
  <c r="Z150" i="2" s="1"/>
  <c r="E130" i="2" a="1"/>
  <c r="E130" i="2" s="1"/>
  <c r="E110" i="2" a="1"/>
  <c r="E110" i="2" s="1"/>
  <c r="E109" i="2" a="1"/>
  <c r="E109" i="2" s="1"/>
  <c r="E75" i="2" a="1"/>
  <c r="E75" i="2" s="1"/>
  <c r="E74" i="2" a="1"/>
  <c r="E74" i="2" s="1"/>
  <c r="E95" i="2" a="1"/>
  <c r="E95" i="2" s="1"/>
  <c r="U99" i="2"/>
  <c r="D226" i="2"/>
  <c r="F175" i="2" a="1"/>
  <c r="F175" i="2" s="1"/>
  <c r="F174" i="2" a="1"/>
  <c r="F174" i="2" s="1"/>
  <c r="F173" i="2" a="1"/>
  <c r="F173" i="2" s="1"/>
  <c r="F172" i="2" a="1"/>
  <c r="F172" i="2" s="1"/>
  <c r="F171" i="2" a="1"/>
  <c r="F171" i="2" s="1"/>
  <c r="I175" i="2" a="1"/>
  <c r="I175" i="2" s="1"/>
  <c r="Y175" i="2" s="1"/>
  <c r="I174" i="2" a="1"/>
  <c r="I174" i="2" s="1"/>
  <c r="Y174" i="2" s="1"/>
  <c r="I173" i="2" a="1"/>
  <c r="I173" i="2" s="1"/>
  <c r="Y173" i="2" s="1"/>
  <c r="I171" i="2" a="1"/>
  <c r="I171" i="2" s="1"/>
  <c r="Y171" i="2" s="1"/>
  <c r="I172" i="2" a="1"/>
  <c r="I172" i="2" s="1"/>
  <c r="Y172" i="2" s="1"/>
  <c r="G174" i="2" a="1"/>
  <c r="G174" i="2" s="1"/>
  <c r="W174" i="2" s="1"/>
  <c r="G172" i="2" a="1"/>
  <c r="G172" i="2" s="1"/>
  <c r="W172" i="2" s="1"/>
  <c r="G175" i="2" a="1"/>
  <c r="G175" i="2" s="1"/>
  <c r="W175" i="2" s="1"/>
  <c r="G173" i="2" a="1"/>
  <c r="G173" i="2" s="1"/>
  <c r="W173" i="2" s="1"/>
  <c r="G171" i="2" a="1"/>
  <c r="G171" i="2" s="1"/>
  <c r="W171" i="2" s="1"/>
  <c r="L171" i="2" a="1"/>
  <c r="L171" i="2" s="1"/>
  <c r="AB171" i="2" s="1"/>
  <c r="L173" i="2" a="1"/>
  <c r="L173" i="2" s="1"/>
  <c r="AB173" i="2" s="1"/>
  <c r="L175" i="2" a="1"/>
  <c r="L175" i="2" s="1"/>
  <c r="AB175" i="2" s="1"/>
  <c r="L172" i="2" a="1"/>
  <c r="L172" i="2" s="1"/>
  <c r="AB172" i="2" s="1"/>
  <c r="L174" i="2" a="1"/>
  <c r="L174" i="2" s="1"/>
  <c r="AB174" i="2" s="1"/>
  <c r="H174" i="2" a="1"/>
  <c r="H174" i="2" s="1"/>
  <c r="X174" i="2" s="1"/>
  <c r="H175" i="2" a="1"/>
  <c r="H175" i="2" s="1"/>
  <c r="X175" i="2" s="1"/>
  <c r="H173" i="2" a="1"/>
  <c r="H173" i="2" s="1"/>
  <c r="X173" i="2" s="1"/>
  <c r="H172" i="2" a="1"/>
  <c r="H172" i="2" s="1"/>
  <c r="X172" i="2" s="1"/>
  <c r="H171" i="2" a="1"/>
  <c r="H171" i="2" s="1"/>
  <c r="X171" i="2" s="1"/>
  <c r="H169" i="2" a="1"/>
  <c r="H169" i="2" s="1"/>
  <c r="X169" i="2" s="1"/>
  <c r="F169" i="2" a="1"/>
  <c r="F169" i="2" s="1"/>
  <c r="F168" i="2" a="1"/>
  <c r="F168" i="2" s="1"/>
  <c r="F167" i="2" a="1"/>
  <c r="F167" i="2" s="1"/>
  <c r="G167" i="2" a="1"/>
  <c r="G167" i="2" s="1"/>
  <c r="W167" i="2" s="1"/>
  <c r="I169" i="2" a="1"/>
  <c r="I169" i="2" s="1"/>
  <c r="Y169" i="2" s="1"/>
  <c r="I168" i="2" a="1"/>
  <c r="I168" i="2" s="1"/>
  <c r="Y168" i="2" s="1"/>
  <c r="I167" i="2" a="1"/>
  <c r="I167" i="2" s="1"/>
  <c r="Y167" i="2" s="1"/>
  <c r="L169" i="2" a="1"/>
  <c r="L169" i="2" s="1"/>
  <c r="AB169" i="2" s="1"/>
  <c r="L167" i="2" a="1"/>
  <c r="L167" i="2" s="1"/>
  <c r="AB167" i="2" s="1"/>
  <c r="L168" i="2" a="1"/>
  <c r="L168" i="2" s="1"/>
  <c r="AB168" i="2" s="1"/>
  <c r="F165" i="2" a="1"/>
  <c r="F165" i="2" s="1"/>
  <c r="G165" i="2" a="1"/>
  <c r="G165" i="2" s="1"/>
  <c r="W165" i="2" s="1"/>
  <c r="L165" i="2" a="1"/>
  <c r="L165" i="2" s="1"/>
  <c r="AB165" i="2" s="1"/>
  <c r="H165" i="2" a="1"/>
  <c r="H165" i="2" s="1"/>
  <c r="X165" i="2" s="1"/>
  <c r="I165" i="2" a="1"/>
  <c r="I165" i="2" s="1"/>
  <c r="Y165" i="2" s="1"/>
  <c r="S84" i="2"/>
  <c r="F22" i="1" a="1"/>
  <c r="F22" i="1" s="1"/>
  <c r="F24" i="1" a="1"/>
  <c r="F24" i="1" s="1"/>
  <c r="F30" i="1" a="1"/>
  <c r="F30" i="1" s="1"/>
  <c r="F28" i="1" a="1"/>
  <c r="F28" i="1" s="1"/>
  <c r="I24" i="1" a="1"/>
  <c r="I24" i="1" s="1"/>
  <c r="H24" i="1" s="1"/>
  <c r="G25" i="1" s="1"/>
  <c r="E22" i="1" a="1"/>
  <c r="E22" i="1" s="1"/>
  <c r="E30" i="1" a="1"/>
  <c r="E30" i="1" s="1"/>
  <c r="E24" i="1" a="1"/>
  <c r="E24" i="1" s="1"/>
  <c r="I30" i="1" a="1"/>
  <c r="I30" i="1" s="1"/>
  <c r="H30" i="1" s="1"/>
  <c r="G31" i="1" s="1"/>
  <c r="E28" i="1" a="1"/>
  <c r="E28" i="1" s="1"/>
  <c r="I12" i="1" a="1"/>
  <c r="I12" i="1" s="1"/>
  <c r="H12" i="1" s="1"/>
  <c r="G13" i="1" s="1"/>
  <c r="I18" i="1" a="1"/>
  <c r="I18" i="1" s="1"/>
  <c r="H18" i="1" s="1"/>
  <c r="G19" i="1" s="1"/>
  <c r="I36" i="1" a="1"/>
  <c r="I36" i="1" s="1"/>
  <c r="H36" i="1" s="1"/>
  <c r="G37" i="1" s="1"/>
  <c r="L162" i="2" a="1"/>
  <c r="L162" i="2" s="1"/>
  <c r="G162" i="2" a="1"/>
  <c r="G162" i="2" s="1"/>
  <c r="I162" i="2" a="1"/>
  <c r="I162" i="2" s="1"/>
  <c r="H162" i="2" a="1"/>
  <c r="H162" i="2" s="1"/>
  <c r="F162" i="2" a="1"/>
  <c r="F162" i="2" s="1"/>
  <c r="E108" i="2" a="1"/>
  <c r="E108" i="2" s="1"/>
  <c r="E128" i="2" a="1"/>
  <c r="E128" i="2" s="1"/>
  <c r="V150" i="2"/>
  <c r="F148" i="2" a="1"/>
  <c r="F148" i="2" s="1"/>
  <c r="E93" i="2" a="1"/>
  <c r="E93" i="2" s="1"/>
  <c r="E73" i="2" a="1"/>
  <c r="E73" i="2" s="1"/>
  <c r="J143" i="2" a="1"/>
  <c r="J143" i="2" s="1"/>
  <c r="Z143" i="2" s="1"/>
  <c r="M149" i="2" a="1"/>
  <c r="M149" i="2" s="1"/>
  <c r="F16" i="1" a="1"/>
  <c r="F16" i="1" s="1"/>
  <c r="F10" i="1" a="1"/>
  <c r="F10" i="1" s="1"/>
  <c r="F8" i="1" a="1"/>
  <c r="F8" i="1" s="1"/>
  <c r="F18" i="1" a="1"/>
  <c r="F18" i="1" s="1"/>
  <c r="F34" i="1" a="1"/>
  <c r="F34" i="1" s="1"/>
  <c r="F12" i="1" a="1"/>
  <c r="F12" i="1" s="1"/>
  <c r="F14" i="1" s="1"/>
  <c r="F36" i="1" a="1"/>
  <c r="F36" i="1" s="1"/>
  <c r="F5" i="1" a="1"/>
  <c r="F5" i="1" s="1"/>
  <c r="E5" i="1" a="1"/>
  <c r="E5" i="1" s="1"/>
  <c r="E16" i="1" a="1"/>
  <c r="E16" i="1" s="1"/>
  <c r="E12" i="1" a="1"/>
  <c r="E12" i="1" s="1"/>
  <c r="E14" i="1" s="1"/>
  <c r="E36" i="1" a="1"/>
  <c r="E36" i="1" s="1"/>
  <c r="E18" i="1" a="1"/>
  <c r="E18" i="1" s="1"/>
  <c r="E10" i="1" a="1"/>
  <c r="E10" i="1" s="1"/>
  <c r="E8" i="1" a="1"/>
  <c r="E8" i="1" s="1"/>
  <c r="E34" i="1" a="1"/>
  <c r="E34" i="1" s="1"/>
  <c r="L259" i="2"/>
  <c r="I259" i="2"/>
  <c r="H259" i="2"/>
  <c r="G259" i="2"/>
  <c r="E259" i="2"/>
  <c r="T259" i="2"/>
  <c r="U259" i="2"/>
  <c r="R259" i="2" s="1"/>
  <c r="J235" i="2"/>
  <c r="Z235" i="2" s="1"/>
  <c r="J221" i="2"/>
  <c r="H154" i="2" a="1"/>
  <c r="H154" i="2" s="1"/>
  <c r="X154" i="2" s="1"/>
  <c r="F154" i="2" a="1"/>
  <c r="F154" i="2" s="1"/>
  <c r="V154" i="2" s="1"/>
  <c r="G154" i="2" a="1"/>
  <c r="G154" i="2" s="1"/>
  <c r="W154" i="2" s="1"/>
  <c r="I154" i="2" a="1"/>
  <c r="I154" i="2" s="1"/>
  <c r="Y154" i="2" s="1"/>
  <c r="L154" i="2" a="1"/>
  <c r="L154" i="2" s="1"/>
  <c r="AB154" i="2" s="1"/>
  <c r="Q154" i="2"/>
  <c r="R98" i="2"/>
  <c r="R7" i="2"/>
  <c r="M63" i="2"/>
  <c r="M159" i="2"/>
  <c r="M180" i="2"/>
  <c r="M140" i="2"/>
  <c r="M225" i="2"/>
  <c r="M211" i="2"/>
  <c r="M226" i="2"/>
  <c r="M212" i="2"/>
  <c r="M160" i="2"/>
  <c r="M71" i="2"/>
  <c r="M181" i="2"/>
  <c r="M141" i="2"/>
  <c r="M64" i="2"/>
  <c r="H216" i="2"/>
  <c r="F216" i="2"/>
  <c r="F221" i="2" s="1"/>
  <c r="I216" i="2"/>
  <c r="L146" i="2"/>
  <c r="H146" i="2"/>
  <c r="F146" i="2"/>
  <c r="F147" i="2" s="1" a="1"/>
  <c r="F147" i="2" s="1"/>
  <c r="H144" i="2"/>
  <c r="H230" i="2"/>
  <c r="G216" i="2"/>
  <c r="L144" i="2"/>
  <c r="L230" i="2"/>
  <c r="I146" i="2"/>
  <c r="I144" i="2"/>
  <c r="I230" i="2"/>
  <c r="G146" i="2"/>
  <c r="F144" i="2"/>
  <c r="F145" i="2" s="1" a="1"/>
  <c r="F145" i="2" s="1"/>
  <c r="F230" i="2"/>
  <c r="F235" i="2" s="1"/>
  <c r="L216" i="2"/>
  <c r="G230" i="2"/>
  <c r="G144" i="2"/>
  <c r="V133" i="2"/>
  <c r="Q135" i="2"/>
  <c r="U135" i="2"/>
  <c r="Q134" i="2"/>
  <c r="U134" i="2"/>
  <c r="G142" i="2"/>
  <c r="W142" i="2" s="1"/>
  <c r="L142" i="2"/>
  <c r="AB142" i="2" s="1"/>
  <c r="H142" i="2"/>
  <c r="X142" i="2" s="1"/>
  <c r="D181" i="2"/>
  <c r="D212" i="2"/>
  <c r="D141" i="2"/>
  <c r="D160" i="2"/>
  <c r="D64" i="2"/>
  <c r="D106" i="2"/>
  <c r="I156" i="2" a="1"/>
  <c r="I156" i="2" s="1"/>
  <c r="I157" i="2" a="1"/>
  <c r="I157" i="2" s="1"/>
  <c r="F156" i="2" a="1"/>
  <c r="F156" i="2" s="1"/>
  <c r="F157" i="2" a="1"/>
  <c r="F157" i="2" s="1"/>
  <c r="H156" i="2" a="1"/>
  <c r="H156" i="2" s="1"/>
  <c r="H157" i="2" a="1"/>
  <c r="H157" i="2" s="1"/>
  <c r="L156" i="2" a="1"/>
  <c r="L156" i="2" s="1"/>
  <c r="L157" i="2" a="1"/>
  <c r="L157" i="2" s="1"/>
  <c r="G157" i="2" a="1"/>
  <c r="G157" i="2" s="1"/>
  <c r="G156" i="2" a="1"/>
  <c r="G156" i="2" s="1"/>
  <c r="F152" i="2" a="1"/>
  <c r="F152" i="2" s="1"/>
  <c r="V152" i="2" s="1"/>
  <c r="F153" i="2" a="1"/>
  <c r="F153" i="2" s="1"/>
  <c r="V153" i="2" s="1"/>
  <c r="H152" i="2" a="1"/>
  <c r="H152" i="2" s="1"/>
  <c r="X152" i="2" s="1"/>
  <c r="H153" i="2" a="1"/>
  <c r="H153" i="2" s="1"/>
  <c r="X153" i="2" s="1"/>
  <c r="L152" i="2" a="1"/>
  <c r="L152" i="2" s="1"/>
  <c r="AB152" i="2" s="1"/>
  <c r="L153" i="2" a="1"/>
  <c r="L153" i="2" s="1"/>
  <c r="AB153" i="2" s="1"/>
  <c r="I152" i="2" a="1"/>
  <c r="I152" i="2" s="1"/>
  <c r="Y152" i="2" s="1"/>
  <c r="I153" i="2" a="1"/>
  <c r="I153" i="2" s="1"/>
  <c r="Y153" i="2" s="1"/>
  <c r="G152" i="2" a="1"/>
  <c r="G152" i="2" s="1"/>
  <c r="W152" i="2" s="1"/>
  <c r="G153" i="2" a="1"/>
  <c r="G153" i="2" s="1"/>
  <c r="W153" i="2" s="1"/>
  <c r="V151" i="2"/>
  <c r="M70" i="2"/>
  <c r="V14" i="2"/>
  <c r="V18" i="2"/>
  <c r="V13" i="2"/>
  <c r="V16" i="2"/>
  <c r="V20" i="2"/>
  <c r="R55" i="2"/>
  <c r="R56" i="2"/>
  <c r="R58" i="2"/>
  <c r="R54" i="2"/>
  <c r="R59" i="2"/>
  <c r="R60" i="2"/>
  <c r="R57" i="2"/>
  <c r="R61" i="2"/>
  <c r="R45" i="2"/>
  <c r="R43" i="2"/>
  <c r="R37" i="2"/>
  <c r="R41" i="2"/>
  <c r="R31" i="2"/>
  <c r="M39" i="2"/>
  <c r="AC39" i="2" s="1"/>
  <c r="M35" i="2" a="1"/>
  <c r="M35" i="2" s="1"/>
  <c r="AC35" i="2" s="1"/>
  <c r="M38" i="2"/>
  <c r="AC38" i="2" s="1"/>
  <c r="M34" i="2" a="1"/>
  <c r="M34" i="2" s="1"/>
  <c r="R29" i="2"/>
  <c r="M27" i="2" a="1"/>
  <c r="M27" i="2" s="1"/>
  <c r="M29" i="2" s="1" a="1"/>
  <c r="M29" i="2" s="1"/>
  <c r="AC32" i="2"/>
  <c r="R26" i="2"/>
  <c r="J279" i="2"/>
  <c r="Z279" i="2" s="1"/>
  <c r="R9" i="2"/>
  <c r="R65" i="2"/>
  <c r="R27" i="2"/>
  <c r="R68" i="2"/>
  <c r="R67" i="2"/>
  <c r="R33" i="2"/>
  <c r="J291" i="2"/>
  <c r="Z291" i="2" s="1"/>
  <c r="R66" i="2"/>
  <c r="R17" i="2"/>
  <c r="R19" i="2"/>
  <c r="R253" i="2"/>
  <c r="B19" i="16"/>
  <c r="R15" i="2"/>
  <c r="R201" i="2"/>
  <c r="M250" i="2"/>
  <c r="M251" i="2"/>
  <c r="M197" i="2"/>
  <c r="AC197" i="2" s="1"/>
  <c r="M209" i="2"/>
  <c r="M201" i="2" a="1"/>
  <c r="M201" i="2" s="1"/>
  <c r="M203" i="2" s="1" a="1"/>
  <c r="M203" i="2" s="1"/>
  <c r="M185" i="2"/>
  <c r="M192" i="2" s="1" a="1"/>
  <c r="M192" i="2" s="1"/>
  <c r="M194" i="2"/>
  <c r="AC194" i="2" s="1"/>
  <c r="M208" i="2"/>
  <c r="M200" i="2"/>
  <c r="AC200" i="2" s="1"/>
  <c r="M182" i="2" a="1"/>
  <c r="M182" i="2" s="1"/>
  <c r="M184" i="2" s="1" a="1"/>
  <c r="M184" i="2" s="1"/>
  <c r="M191" i="2"/>
  <c r="AC191" i="2" s="1"/>
  <c r="M207" i="2"/>
  <c r="M7" i="2" a="1"/>
  <c r="M7" i="2" s="1"/>
  <c r="M295" i="2"/>
  <c r="E295" i="2"/>
  <c r="Q295" i="2" s="1"/>
  <c r="V155" i="2"/>
  <c r="V157" i="2"/>
  <c r="M24" i="2" a="1"/>
  <c r="M24" i="2" s="1"/>
  <c r="M36" i="2" s="1" a="1"/>
  <c r="M36" i="2" s="1"/>
  <c r="M26" i="2" a="1"/>
  <c r="M26" i="2" s="1"/>
  <c r="M37" i="2" s="1" a="1"/>
  <c r="M37" i="2" s="1"/>
  <c r="M25" i="2" a="1"/>
  <c r="M25" i="2" s="1"/>
  <c r="M6" i="2" a="1"/>
  <c r="M6" i="2" s="1"/>
  <c r="M8" i="2" a="1"/>
  <c r="M8" i="2" s="1"/>
  <c r="AC8" i="2" s="1"/>
  <c r="M11" i="2" a="1"/>
  <c r="M11" i="2" s="1"/>
  <c r="M65" i="2" a="1"/>
  <c r="M65" i="2" s="1"/>
  <c r="M68" i="2" s="1" a="1"/>
  <c r="M68" i="2" s="1"/>
  <c r="M272" i="2" a="1"/>
  <c r="M272" i="2" s="1"/>
  <c r="AC272" i="2" s="1"/>
  <c r="M176" i="2" a="1"/>
  <c r="M176" i="2" s="1"/>
  <c r="M271" i="2" a="1"/>
  <c r="M271" i="2" s="1"/>
  <c r="AC271" i="2" s="1"/>
  <c r="M12" i="2" a="1"/>
  <c r="M12" i="2" s="1"/>
  <c r="M270" i="2" a="1"/>
  <c r="M270" i="2" s="1"/>
  <c r="AC270" i="2" s="1"/>
  <c r="M177" i="2" a="1"/>
  <c r="M177" i="2" s="1"/>
  <c r="M9" i="2" a="1"/>
  <c r="M9" i="2" s="1"/>
  <c r="M19" i="2" s="1" a="1"/>
  <c r="M19" i="2" s="1"/>
  <c r="V136" i="2"/>
  <c r="D267" i="2"/>
  <c r="M303" i="2"/>
  <c r="G8" i="1"/>
  <c r="D25" i="2"/>
  <c r="E300" i="2"/>
  <c r="M239" i="2"/>
  <c r="M264" i="2"/>
  <c r="M267" i="2"/>
  <c r="M263" i="2"/>
  <c r="M283" i="2"/>
  <c r="M284" i="2"/>
  <c r="M240" i="2"/>
  <c r="I74" i="2" l="1" a="1"/>
  <c r="I74" i="2" s="1"/>
  <c r="I110" i="2" a="1"/>
  <c r="I110" i="2" s="1"/>
  <c r="I108" i="2" a="1"/>
  <c r="I108" i="2" s="1"/>
  <c r="Y108" i="2" s="1"/>
  <c r="G75" i="2" a="1"/>
  <c r="G75" i="2" s="1"/>
  <c r="G86" i="2" s="1"/>
  <c r="I130" i="2" a="1"/>
  <c r="I130" i="2" s="1"/>
  <c r="Y130" i="2" s="1"/>
  <c r="I109" i="2" a="1"/>
  <c r="I109" i="2" s="1"/>
  <c r="I95" i="2" a="1"/>
  <c r="I95" i="2" s="1"/>
  <c r="Y95" i="2" s="1"/>
  <c r="I75" i="2" a="1"/>
  <c r="I75" i="2" s="1"/>
  <c r="I86" i="2" s="1"/>
  <c r="G74" i="2" a="1"/>
  <c r="G74" i="2" s="1"/>
  <c r="G78" i="2" s="1"/>
  <c r="G95" i="2" a="1"/>
  <c r="G95" i="2" s="1"/>
  <c r="W95" i="2" s="1"/>
  <c r="I93" i="2" a="1"/>
  <c r="I93" i="2" s="1"/>
  <c r="I97" i="2" s="1"/>
  <c r="Y97" i="2" s="1"/>
  <c r="G235" i="2"/>
  <c r="W235" i="2" s="1"/>
  <c r="W230" i="2"/>
  <c r="J132" i="2"/>
  <c r="Z132" i="2" s="1"/>
  <c r="Z128" i="2"/>
  <c r="G93" i="2" a="1"/>
  <c r="G93" i="2" s="1"/>
  <c r="L221" i="2"/>
  <c r="AB221" i="2" s="1"/>
  <c r="AB216" i="2"/>
  <c r="J113" i="2"/>
  <c r="Z113" i="2" s="1"/>
  <c r="Z109" i="2"/>
  <c r="L112" i="2" a="1"/>
  <c r="L112" i="2" s="1"/>
  <c r="AB112" i="2" s="1"/>
  <c r="AB111" i="2"/>
  <c r="G145" i="2" a="1"/>
  <c r="G145" i="2" s="1"/>
  <c r="W145" i="2" s="1"/>
  <c r="W144" i="2"/>
  <c r="G73" i="2" a="1"/>
  <c r="G73" i="2" s="1"/>
  <c r="W73" i="2" s="1"/>
  <c r="I112" i="2" a="1"/>
  <c r="I112" i="2" s="1"/>
  <c r="Y112" i="2" s="1"/>
  <c r="Y111" i="2"/>
  <c r="I121" i="2"/>
  <c r="Y121" i="2" s="1"/>
  <c r="Y110" i="2"/>
  <c r="I145" i="2" a="1"/>
  <c r="I145" i="2" s="1"/>
  <c r="Y145" i="2" s="1"/>
  <c r="Y144" i="2"/>
  <c r="I128" i="2" a="1"/>
  <c r="I128" i="2" s="1"/>
  <c r="I113" i="2"/>
  <c r="Y113" i="2" s="1"/>
  <c r="Y109" i="2"/>
  <c r="G169" i="2" a="1"/>
  <c r="G169" i="2" s="1"/>
  <c r="W169" i="2" s="1"/>
  <c r="L235" i="2"/>
  <c r="AB235" i="2" s="1"/>
  <c r="AB230" i="2"/>
  <c r="J222" i="2"/>
  <c r="J223" i="2" s="1"/>
  <c r="Z221" i="2"/>
  <c r="G168" i="2" a="1"/>
  <c r="G168" i="2" s="1"/>
  <c r="W168" i="2" s="1"/>
  <c r="G77" i="2" a="1"/>
  <c r="G77" i="2" s="1"/>
  <c r="W77" i="2" s="1"/>
  <c r="W76" i="2"/>
  <c r="I77" i="2" a="1"/>
  <c r="I77" i="2" s="1"/>
  <c r="Y77" i="2" s="1"/>
  <c r="Y76" i="2"/>
  <c r="H235" i="2"/>
  <c r="X235" i="2" s="1"/>
  <c r="X230" i="2"/>
  <c r="H145" i="2" a="1"/>
  <c r="H145" i="2" s="1"/>
  <c r="X145" i="2" s="1"/>
  <c r="X144" i="2"/>
  <c r="H147" i="2" a="1"/>
  <c r="H147" i="2" s="1"/>
  <c r="X147" i="2" s="1"/>
  <c r="X146" i="2"/>
  <c r="H167" i="2" a="1"/>
  <c r="H167" i="2" s="1"/>
  <c r="X167" i="2" s="1"/>
  <c r="I147" i="2" a="1"/>
  <c r="I147" i="2" s="1"/>
  <c r="Y147" i="2" s="1"/>
  <c r="Y146" i="2"/>
  <c r="G112" i="2" a="1"/>
  <c r="G112" i="2" s="1"/>
  <c r="W112" i="2" s="1"/>
  <c r="W111" i="2"/>
  <c r="L145" i="2" a="1"/>
  <c r="L145" i="2" s="1"/>
  <c r="AB145" i="2" s="1"/>
  <c r="AB144" i="2"/>
  <c r="G221" i="2"/>
  <c r="W221" i="2" s="1"/>
  <c r="W216" i="2"/>
  <c r="L147" i="2" a="1"/>
  <c r="L147" i="2" s="1"/>
  <c r="AB147" i="2" s="1"/>
  <c r="AB146" i="2"/>
  <c r="H168" i="2" a="1"/>
  <c r="H168" i="2" s="1"/>
  <c r="X168" i="2" s="1"/>
  <c r="I150" i="2" a="1"/>
  <c r="I150" i="2" s="1"/>
  <c r="Y150" i="2" s="1"/>
  <c r="Y142" i="2"/>
  <c r="I221" i="2"/>
  <c r="Y221" i="2" s="1"/>
  <c r="Y216" i="2"/>
  <c r="H221" i="2"/>
  <c r="X221" i="2" s="1"/>
  <c r="X216" i="2"/>
  <c r="E44" i="1"/>
  <c r="I73" i="2" a="1"/>
  <c r="I73" i="2" s="1"/>
  <c r="Y73" i="2" s="1"/>
  <c r="L77" i="2" a="1"/>
  <c r="L77" i="2" s="1"/>
  <c r="AB77" i="2" s="1"/>
  <c r="AB76" i="2"/>
  <c r="I235" i="2"/>
  <c r="Y235" i="2" s="1"/>
  <c r="Y230" i="2"/>
  <c r="I78" i="2"/>
  <c r="Y78" i="2" s="1"/>
  <c r="Y74" i="2"/>
  <c r="H77" i="2" a="1"/>
  <c r="H77" i="2" s="1"/>
  <c r="X77" i="2" s="1"/>
  <c r="X76" i="2"/>
  <c r="J78" i="2"/>
  <c r="Z78" i="2" s="1"/>
  <c r="Z74" i="2"/>
  <c r="H112" i="2" a="1"/>
  <c r="H112" i="2" s="1"/>
  <c r="X112" i="2" s="1"/>
  <c r="X111" i="2"/>
  <c r="AA84" i="2"/>
  <c r="J97" i="2"/>
  <c r="Z97" i="2" s="1"/>
  <c r="Z93" i="2"/>
  <c r="G147" i="2" a="1"/>
  <c r="G147" i="2" s="1"/>
  <c r="W147" i="2" s="1"/>
  <c r="W146" i="2"/>
  <c r="J86" i="2"/>
  <c r="Z86" i="2" s="1"/>
  <c r="Z75" i="2"/>
  <c r="J121" i="2"/>
  <c r="Z121" i="2" s="1"/>
  <c r="Z110" i="2"/>
  <c r="K232" i="2"/>
  <c r="AA232" i="2" s="1"/>
  <c r="K218" i="2"/>
  <c r="AA218" i="2" s="1"/>
  <c r="M258" i="2" a="1"/>
  <c r="M258" i="2" s="1"/>
  <c r="AC258" i="2" s="1"/>
  <c r="M257" i="2" a="1"/>
  <c r="M257" i="2" s="1"/>
  <c r="AC257" i="2" s="1"/>
  <c r="M254" i="2" a="1"/>
  <c r="M254" i="2" s="1"/>
  <c r="AC254" i="2" s="1"/>
  <c r="M256" i="2" a="1"/>
  <c r="M256" i="2" s="1"/>
  <c r="AC256" i="2" s="1"/>
  <c r="M255" i="2" a="1"/>
  <c r="M255" i="2" s="1"/>
  <c r="AC255" i="2" s="1"/>
  <c r="Q255" i="2"/>
  <c r="U255" i="2"/>
  <c r="R255" i="2" s="1"/>
  <c r="Q254" i="2"/>
  <c r="U254" i="2"/>
  <c r="R254" i="2" s="1"/>
  <c r="Q256" i="2"/>
  <c r="U256" i="2"/>
  <c r="R256" i="2" s="1"/>
  <c r="Q258" i="2"/>
  <c r="U258" i="2"/>
  <c r="R258" i="2" s="1"/>
  <c r="Q257" i="2"/>
  <c r="U257" i="2"/>
  <c r="R257" i="2" s="1"/>
  <c r="M43" i="2" a="1"/>
  <c r="M43" i="2" s="1"/>
  <c r="AC43" i="2" s="1"/>
  <c r="M42" i="2" a="1"/>
  <c r="M42" i="2" s="1"/>
  <c r="F38" i="1"/>
  <c r="F32" i="1"/>
  <c r="F26" i="1"/>
  <c r="F20" i="1"/>
  <c r="R100" i="2"/>
  <c r="M101" i="2"/>
  <c r="M136" i="2"/>
  <c r="F119" i="2" a="1"/>
  <c r="F119" i="2" s="1"/>
  <c r="F118" i="2" a="1"/>
  <c r="F118" i="2" s="1"/>
  <c r="F117" i="2" a="1"/>
  <c r="F117" i="2" s="1"/>
  <c r="F114" i="2" a="1"/>
  <c r="F114" i="2" s="1"/>
  <c r="F115" i="2" a="1"/>
  <c r="F115" i="2" s="1"/>
  <c r="F116" i="2" a="1"/>
  <c r="F116" i="2" s="1"/>
  <c r="F120" i="2" a="1"/>
  <c r="F120" i="2" s="1"/>
  <c r="F125" i="2" a="1"/>
  <c r="F125" i="2" s="1"/>
  <c r="F123" i="2" a="1"/>
  <c r="F123" i="2" s="1"/>
  <c r="F126" i="2" a="1"/>
  <c r="F126" i="2" s="1"/>
  <c r="F127" i="2" a="1"/>
  <c r="F127" i="2" s="1"/>
  <c r="F124" i="2" a="1"/>
  <c r="F124" i="2" s="1"/>
  <c r="F122" i="2" a="1"/>
  <c r="F122" i="2" s="1"/>
  <c r="I83" i="2" a="1"/>
  <c r="I83" i="2" s="1"/>
  <c r="Y83" i="2" s="1"/>
  <c r="I85" i="2" a="1"/>
  <c r="I85" i="2" s="1"/>
  <c r="Y85" i="2" s="1"/>
  <c r="H130" i="2" a="1"/>
  <c r="H130" i="2" s="1"/>
  <c r="X130" i="2" s="1"/>
  <c r="H110" i="2" a="1"/>
  <c r="H110" i="2" s="1"/>
  <c r="H108" i="2" a="1"/>
  <c r="H108" i="2" s="1"/>
  <c r="X108" i="2" s="1"/>
  <c r="H109" i="2" a="1"/>
  <c r="H109" i="2" s="1"/>
  <c r="H128" i="2" a="1"/>
  <c r="H128" i="2" s="1"/>
  <c r="J120" i="2" a="1"/>
  <c r="J120" i="2" s="1"/>
  <c r="Z120" i="2" s="1"/>
  <c r="J117" i="2" a="1"/>
  <c r="J117" i="2" s="1"/>
  <c r="Z117" i="2" s="1"/>
  <c r="J114" i="2" a="1"/>
  <c r="J114" i="2" s="1"/>
  <c r="Z114" i="2" s="1"/>
  <c r="J116" i="2" a="1"/>
  <c r="J116" i="2" s="1"/>
  <c r="Z116" i="2" s="1"/>
  <c r="J115" i="2" a="1"/>
  <c r="J115" i="2" s="1"/>
  <c r="Z115" i="2" s="1"/>
  <c r="E20" i="1"/>
  <c r="E38" i="1"/>
  <c r="J80" i="2" a="1"/>
  <c r="J80" i="2" s="1"/>
  <c r="Z80" i="2" s="1"/>
  <c r="J83" i="2" a="1"/>
  <c r="J83" i="2" s="1"/>
  <c r="Z83" i="2" s="1"/>
  <c r="J85" i="2" a="1"/>
  <c r="J85" i="2" s="1"/>
  <c r="Z85" i="2" s="1"/>
  <c r="M98" i="2"/>
  <c r="AC98" i="2" s="1"/>
  <c r="M133" i="2"/>
  <c r="L93" i="2" a="1"/>
  <c r="L93" i="2" s="1"/>
  <c r="L75" i="2" a="1"/>
  <c r="L75" i="2" s="1"/>
  <c r="L95" i="2" a="1"/>
  <c r="L95" i="2" s="1"/>
  <c r="AB95" i="2" s="1"/>
  <c r="L73" i="2" a="1"/>
  <c r="L73" i="2" s="1"/>
  <c r="AB73" i="2" s="1"/>
  <c r="L74" i="2" a="1"/>
  <c r="L74" i="2" s="1"/>
  <c r="E26" i="1"/>
  <c r="E32" i="1"/>
  <c r="R99" i="2"/>
  <c r="F82" i="2" a="1"/>
  <c r="F82" i="2" s="1"/>
  <c r="F83" i="2" a="1"/>
  <c r="F83" i="2" s="1"/>
  <c r="F81" i="2" a="1"/>
  <c r="F81" i="2" s="1"/>
  <c r="F84" i="2" a="1"/>
  <c r="F84" i="2" s="1"/>
  <c r="F79" i="2" a="1"/>
  <c r="F79" i="2" s="1"/>
  <c r="F80" i="2" a="1"/>
  <c r="F80" i="2" s="1"/>
  <c r="F85" i="2" a="1"/>
  <c r="F85" i="2" s="1"/>
  <c r="F89" i="2" a="1"/>
  <c r="F89" i="2" s="1"/>
  <c r="F92" i="2" a="1"/>
  <c r="F92" i="2" s="1"/>
  <c r="F90" i="2" a="1"/>
  <c r="F90" i="2" s="1"/>
  <c r="F87" i="2" a="1"/>
  <c r="F87" i="2" s="1"/>
  <c r="F91" i="2" a="1"/>
  <c r="F91" i="2" s="1"/>
  <c r="F88" i="2" a="1"/>
  <c r="F88" i="2" s="1"/>
  <c r="G130" i="2" a="1"/>
  <c r="G130" i="2" s="1"/>
  <c r="W130" i="2" s="1"/>
  <c r="G110" i="2" a="1"/>
  <c r="G110" i="2" s="1"/>
  <c r="G109" i="2" a="1"/>
  <c r="G109" i="2" s="1"/>
  <c r="G108" i="2" a="1"/>
  <c r="G108" i="2" s="1"/>
  <c r="W108" i="2" s="1"/>
  <c r="G128" i="2" a="1"/>
  <c r="G128" i="2" s="1"/>
  <c r="I123" i="2" a="1"/>
  <c r="I123" i="2" s="1"/>
  <c r="Y123" i="2" s="1"/>
  <c r="I124" i="2" a="1"/>
  <c r="I124" i="2" s="1"/>
  <c r="Y124" i="2" s="1"/>
  <c r="I127" i="2" a="1"/>
  <c r="I127" i="2" s="1"/>
  <c r="Y127" i="2" s="1"/>
  <c r="I122" i="2" a="1"/>
  <c r="I122" i="2" s="1"/>
  <c r="Y122" i="2" s="1"/>
  <c r="I125" i="2" a="1"/>
  <c r="I125" i="2" s="1"/>
  <c r="Y125" i="2" s="1"/>
  <c r="L110" i="2" a="1"/>
  <c r="L110" i="2" s="1"/>
  <c r="L109" i="2" a="1"/>
  <c r="L109" i="2" s="1"/>
  <c r="L108" i="2" a="1"/>
  <c r="L108" i="2" s="1"/>
  <c r="AB108" i="2" s="1"/>
  <c r="L130" i="2" a="1"/>
  <c r="L130" i="2" s="1"/>
  <c r="AB130" i="2" s="1"/>
  <c r="L128" i="2" a="1"/>
  <c r="L128" i="2" s="1"/>
  <c r="H93" i="2" a="1"/>
  <c r="H93" i="2" s="1"/>
  <c r="H74" i="2" a="1"/>
  <c r="H74" i="2" s="1"/>
  <c r="H95" i="2" a="1"/>
  <c r="H95" i="2" s="1"/>
  <c r="X95" i="2" s="1"/>
  <c r="H75" i="2" a="1"/>
  <c r="H75" i="2" s="1"/>
  <c r="H73" i="2" a="1"/>
  <c r="H73" i="2" s="1"/>
  <c r="X73" i="2" s="1"/>
  <c r="AC34" i="2"/>
  <c r="M131" i="2"/>
  <c r="M96" i="2"/>
  <c r="H148" i="2" a="1"/>
  <c r="H148" i="2" s="1"/>
  <c r="X148" i="2" s="1"/>
  <c r="H150" i="2" a="1"/>
  <c r="H150" i="2" s="1"/>
  <c r="X150" i="2" s="1"/>
  <c r="L148" i="2" a="1"/>
  <c r="L148" i="2" s="1"/>
  <c r="AB148" i="2" s="1"/>
  <c r="L150" i="2" a="1"/>
  <c r="L150" i="2" s="1"/>
  <c r="AB150" i="2" s="1"/>
  <c r="G148" i="2" a="1"/>
  <c r="G148" i="2" s="1"/>
  <c r="W148" i="2" s="1"/>
  <c r="G150" i="2" a="1"/>
  <c r="G150" i="2" s="1"/>
  <c r="W150" i="2" s="1"/>
  <c r="E97" i="2"/>
  <c r="U97" i="2" s="1"/>
  <c r="E132" i="2"/>
  <c r="Q132" i="2" s="1"/>
  <c r="E17" i="1"/>
  <c r="F29" i="1"/>
  <c r="V95" i="2"/>
  <c r="M15" i="2" a="1"/>
  <c r="M15" i="2" s="1"/>
  <c r="AC15" i="2" s="1"/>
  <c r="M66" i="2" a="1"/>
  <c r="M66" i="2" s="1"/>
  <c r="AC66" i="2" s="1"/>
  <c r="F35" i="1"/>
  <c r="F25" i="1"/>
  <c r="F11" i="1"/>
  <c r="E29" i="1"/>
  <c r="F17" i="1"/>
  <c r="E35" i="1"/>
  <c r="E23" i="1"/>
  <c r="M67" i="2" a="1"/>
  <c r="M67" i="2" s="1"/>
  <c r="AC67" i="2" s="1"/>
  <c r="M55" i="2" a="1"/>
  <c r="M55" i="2" s="1"/>
  <c r="AC55" i="2" s="1"/>
  <c r="M60" i="2" a="1"/>
  <c r="M60" i="2" s="1"/>
  <c r="AC60" i="2" s="1"/>
  <c r="M57" i="2" a="1"/>
  <c r="M57" i="2" s="1"/>
  <c r="AC57" i="2" s="1"/>
  <c r="M59" i="2" a="1"/>
  <c r="M59" i="2" s="1"/>
  <c r="AC59" i="2" s="1"/>
  <c r="M54" i="2" a="1"/>
  <c r="M54" i="2" s="1"/>
  <c r="AC54" i="2" s="1"/>
  <c r="M13" i="2" a="1"/>
  <c r="M13" i="2" s="1"/>
  <c r="AC13" i="2" s="1"/>
  <c r="M56" i="2" a="1"/>
  <c r="M56" i="2" s="1"/>
  <c r="AC56" i="2" s="1"/>
  <c r="F19" i="1"/>
  <c r="M18" i="2" a="1"/>
  <c r="M18" i="2" s="1"/>
  <c r="M76" i="2" s="1"/>
  <c r="M77" i="2" s="1" a="1"/>
  <c r="M77" i="2" s="1"/>
  <c r="M61" i="2" a="1"/>
  <c r="M61" i="2" s="1"/>
  <c r="AC61" i="2" s="1"/>
  <c r="M58" i="2" a="1"/>
  <c r="M58" i="2" s="1"/>
  <c r="AC58" i="2" s="1"/>
  <c r="M20" i="2" a="1"/>
  <c r="M20" i="2" s="1"/>
  <c r="M111" i="2" s="1"/>
  <c r="M112" i="2" s="1" a="1"/>
  <c r="M112" i="2" s="1"/>
  <c r="M14" i="2" a="1"/>
  <c r="M14" i="2" s="1"/>
  <c r="E11" i="1"/>
  <c r="M17" i="2" a="1"/>
  <c r="M17" i="2" s="1"/>
  <c r="AC17" i="2" s="1"/>
  <c r="E37" i="1"/>
  <c r="M16" i="2" a="1"/>
  <c r="M16" i="2" s="1"/>
  <c r="E31" i="1"/>
  <c r="F37" i="1"/>
  <c r="E25" i="1"/>
  <c r="F23" i="1"/>
  <c r="E19" i="1"/>
  <c r="F31" i="1"/>
  <c r="E13" i="1"/>
  <c r="F13" i="1"/>
  <c r="H143" i="2" a="1"/>
  <c r="H143" i="2" s="1"/>
  <c r="X143" i="2" s="1"/>
  <c r="L143" i="2" a="1"/>
  <c r="L143" i="2" s="1"/>
  <c r="AB143" i="2" s="1"/>
  <c r="G143" i="2" a="1"/>
  <c r="G143" i="2" s="1"/>
  <c r="W143" i="2" s="1"/>
  <c r="M31" i="2" a="1"/>
  <c r="M31" i="2" s="1"/>
  <c r="AC31" i="2" s="1"/>
  <c r="M41" i="2" a="1"/>
  <c r="M41" i="2" s="1"/>
  <c r="AC41" i="2" s="1"/>
  <c r="M33" i="2" a="1"/>
  <c r="M33" i="2" s="1"/>
  <c r="AC33" i="2" s="1"/>
  <c r="M47" i="2" a="1"/>
  <c r="M47" i="2" s="1"/>
  <c r="M49" i="2" a="1"/>
  <c r="M49" i="2" s="1"/>
  <c r="M51" i="2" a="1"/>
  <c r="M51" i="2" s="1"/>
  <c r="M53" i="2" a="1"/>
  <c r="M53" i="2" s="1"/>
  <c r="M45" i="2" a="1"/>
  <c r="M45" i="2" s="1"/>
  <c r="AC45" i="2" s="1"/>
  <c r="M46" i="2" a="1"/>
  <c r="M46" i="2" s="1"/>
  <c r="E40" i="1"/>
  <c r="E42" i="1" s="1"/>
  <c r="M48" i="2" a="1"/>
  <c r="M48" i="2" s="1"/>
  <c r="M50" i="2" a="1"/>
  <c r="M50" i="2" s="1"/>
  <c r="M52" i="2" a="1"/>
  <c r="M52" i="2" s="1"/>
  <c r="E46" i="1"/>
  <c r="E51" i="1"/>
  <c r="E53" i="1" s="1"/>
  <c r="E6" i="1" a="1"/>
  <c r="E6" i="1" s="1"/>
  <c r="E7" i="1" s="1"/>
  <c r="D5" i="1"/>
  <c r="E48" i="1"/>
  <c r="E49" i="1" s="1"/>
  <c r="F48" i="1"/>
  <c r="F49" i="1" s="1"/>
  <c r="F6" i="1"/>
  <c r="F40" i="1"/>
  <c r="F44" i="1"/>
  <c r="F51" i="1"/>
  <c r="M253" i="2"/>
  <c r="AC253" i="2" s="1"/>
  <c r="AC259" i="2"/>
  <c r="R154" i="2"/>
  <c r="R13" i="2"/>
  <c r="Q95" i="2"/>
  <c r="O245" i="2" s="1"/>
  <c r="U95" i="2"/>
  <c r="U93" i="2"/>
  <c r="Q93" i="2"/>
  <c r="R16" i="2"/>
  <c r="R18" i="2"/>
  <c r="R14" i="2"/>
  <c r="R20" i="2"/>
  <c r="R133" i="2"/>
  <c r="R134" i="2"/>
  <c r="R135" i="2"/>
  <c r="D229" i="2"/>
  <c r="D215" i="2"/>
  <c r="M164" i="2"/>
  <c r="M166" i="2" s="1" a="1"/>
  <c r="M166" i="2" s="1"/>
  <c r="M155" i="2"/>
  <c r="M227" i="2"/>
  <c r="M213" i="2"/>
  <c r="M214" i="2" s="1" a="1"/>
  <c r="M214" i="2" s="1"/>
  <c r="M161" i="2"/>
  <c r="M163" i="2" s="1" a="1"/>
  <c r="M163" i="2" s="1"/>
  <c r="M229" i="2"/>
  <c r="M215" i="2"/>
  <c r="M151" i="2"/>
  <c r="M170" i="2"/>
  <c r="R151" i="2"/>
  <c r="E156" i="2" a="1"/>
  <c r="E156" i="2" s="1"/>
  <c r="E157" i="2" a="1"/>
  <c r="E157" i="2" s="1"/>
  <c r="I143" i="2" a="1"/>
  <c r="I143" i="2" s="1"/>
  <c r="Y143" i="2" s="1"/>
  <c r="V148" i="2"/>
  <c r="F143" i="2" a="1"/>
  <c r="F143" i="2" s="1"/>
  <c r="V142" i="2"/>
  <c r="AC68" i="2"/>
  <c r="M40" i="2" a="1"/>
  <c r="M40" i="2" s="1"/>
  <c r="AC19" i="2"/>
  <c r="M44" i="2" a="1"/>
  <c r="M44" i="2" s="1"/>
  <c r="J280" i="2"/>
  <c r="J281" i="2" s="1"/>
  <c r="M28" i="2" a="1"/>
  <c r="M28" i="2" s="1"/>
  <c r="M30" i="2" a="1"/>
  <c r="M30" i="2" s="1"/>
  <c r="M32" i="2" a="1"/>
  <c r="M32" i="2" s="1"/>
  <c r="AC29" i="2"/>
  <c r="AC37" i="2"/>
  <c r="Q300" i="2"/>
  <c r="J236" i="2"/>
  <c r="J237" i="2" s="1"/>
  <c r="J292" i="2"/>
  <c r="J293" i="2" s="1"/>
  <c r="M205" i="2" a="1"/>
  <c r="M205" i="2" s="1"/>
  <c r="M190" i="2" a="1"/>
  <c r="M190" i="2" s="1"/>
  <c r="M252" i="2"/>
  <c r="M195" i="2" a="1"/>
  <c r="M195" i="2" s="1"/>
  <c r="M206" i="2" a="1"/>
  <c r="M206" i="2" s="1"/>
  <c r="M193" i="2" a="1"/>
  <c r="M193" i="2" s="1"/>
  <c r="M189" i="2" a="1"/>
  <c r="M189" i="2" s="1"/>
  <c r="M186" i="2" a="1"/>
  <c r="M186" i="2" s="1"/>
  <c r="D300" i="2"/>
  <c r="M202" i="2" a="1"/>
  <c r="M202" i="2" s="1"/>
  <c r="M187" i="2" a="1"/>
  <c r="M187" i="2" s="1"/>
  <c r="M204" i="2" a="1"/>
  <c r="M204" i="2" s="1"/>
  <c r="M196" i="2" a="1"/>
  <c r="M196" i="2" s="1"/>
  <c r="M198" i="2" a="1"/>
  <c r="M198" i="2" s="1"/>
  <c r="M300" i="2"/>
  <c r="M199" i="2" a="1"/>
  <c r="M199" i="2" s="1"/>
  <c r="M188" i="2" a="1"/>
  <c r="M188" i="2" s="1"/>
  <c r="M183" i="2" a="1"/>
  <c r="M183" i="2" s="1"/>
  <c r="AC201" i="2"/>
  <c r="V156" i="2"/>
  <c r="AC7" i="2"/>
  <c r="M273" i="2"/>
  <c r="AC273" i="2" s="1"/>
  <c r="M274" i="2"/>
  <c r="AC274" i="2" s="1"/>
  <c r="M275" i="2"/>
  <c r="AC275" i="2" s="1"/>
  <c r="AC9" i="2"/>
  <c r="AC26" i="2"/>
  <c r="AC27" i="2"/>
  <c r="AC65" i="2"/>
  <c r="V147" i="2"/>
  <c r="V146" i="2"/>
  <c r="Q155" i="2"/>
  <c r="U155" i="2"/>
  <c r="Q136" i="2"/>
  <c r="U136" i="2"/>
  <c r="V137" i="2"/>
  <c r="V138" i="2"/>
  <c r="AC136" i="2"/>
  <c r="E145" i="2" a="1"/>
  <c r="E145" i="2" s="1"/>
  <c r="E147" i="2" a="1"/>
  <c r="E147" i="2" s="1"/>
  <c r="M265" i="2"/>
  <c r="M266" i="2" s="1"/>
  <c r="M243" i="2"/>
  <c r="M10" i="2"/>
  <c r="M269" i="2"/>
  <c r="AC269" i="2" s="1"/>
  <c r="M287" i="2"/>
  <c r="M268" i="2"/>
  <c r="M241" i="2"/>
  <c r="M242" i="2" s="1" a="1"/>
  <c r="M242" i="2" s="1"/>
  <c r="M285" i="2"/>
  <c r="W78" i="2" l="1"/>
  <c r="G84" i="2" a="1"/>
  <c r="G84" i="2" s="1"/>
  <c r="W84" i="2" s="1"/>
  <c r="W74" i="2"/>
  <c r="I126" i="2" a="1"/>
  <c r="I126" i="2" s="1"/>
  <c r="Y126" i="2" s="1"/>
  <c r="J79" i="2" a="1"/>
  <c r="J79" i="2" s="1"/>
  <c r="Z79" i="2" s="1"/>
  <c r="E221" i="2"/>
  <c r="I81" i="2" a="1"/>
  <c r="I81" i="2" s="1"/>
  <c r="Y81" i="2" s="1"/>
  <c r="I82" i="2" a="1"/>
  <c r="I82" i="2" s="1"/>
  <c r="Y82" i="2" s="1"/>
  <c r="I80" i="2" a="1"/>
  <c r="I80" i="2" s="1"/>
  <c r="Y80" i="2" s="1"/>
  <c r="I79" i="2" a="1"/>
  <c r="I79" i="2" s="1"/>
  <c r="Y79" i="2" s="1"/>
  <c r="I84" i="2" a="1"/>
  <c r="I84" i="2" s="1"/>
  <c r="Y84" i="2" s="1"/>
  <c r="W86" i="2"/>
  <c r="G87" i="2" a="1"/>
  <c r="G87" i="2" s="1"/>
  <c r="W87" i="2" s="1"/>
  <c r="G90" i="2" a="1"/>
  <c r="G90" i="2" s="1"/>
  <c r="W90" i="2" s="1"/>
  <c r="G89" i="2" a="1"/>
  <c r="G89" i="2" s="1"/>
  <c r="W89" i="2" s="1"/>
  <c r="G91" i="2" a="1"/>
  <c r="G91" i="2" s="1"/>
  <c r="W91" i="2" s="1"/>
  <c r="G88" i="2" a="1"/>
  <c r="G88" i="2" s="1"/>
  <c r="W88" i="2" s="1"/>
  <c r="G92" i="2" a="1"/>
  <c r="G92" i="2" s="1"/>
  <c r="W92" i="2" s="1"/>
  <c r="Y86" i="2"/>
  <c r="I88" i="2" a="1"/>
  <c r="I88" i="2" s="1"/>
  <c r="Y88" i="2" s="1"/>
  <c r="I91" i="2" a="1"/>
  <c r="I91" i="2" s="1"/>
  <c r="Y91" i="2" s="1"/>
  <c r="I87" i="2" a="1"/>
  <c r="I87" i="2" s="1"/>
  <c r="Y87" i="2" s="1"/>
  <c r="I92" i="2" a="1"/>
  <c r="I92" i="2" s="1"/>
  <c r="Y92" i="2" s="1"/>
  <c r="I90" i="2" a="1"/>
  <c r="I90" i="2" s="1"/>
  <c r="Y90" i="2" s="1"/>
  <c r="I89" i="2" a="1"/>
  <c r="I89" i="2" s="1"/>
  <c r="Y89" i="2" s="1"/>
  <c r="G82" i="2" a="1"/>
  <c r="G82" i="2" s="1"/>
  <c r="W82" i="2" s="1"/>
  <c r="Y75" i="2"/>
  <c r="G81" i="2" a="1"/>
  <c r="G81" i="2" s="1"/>
  <c r="W81" i="2" s="1"/>
  <c r="J89" i="2" a="1"/>
  <c r="J89" i="2" s="1"/>
  <c r="Z89" i="2" s="1"/>
  <c r="J92" i="2" a="1"/>
  <c r="J92" i="2" s="1"/>
  <c r="Z92" i="2" s="1"/>
  <c r="I115" i="2" a="1"/>
  <c r="I115" i="2" s="1"/>
  <c r="Y115" i="2" s="1"/>
  <c r="J87" i="2" a="1"/>
  <c r="J87" i="2" s="1"/>
  <c r="Z87" i="2" s="1"/>
  <c r="I114" i="2" a="1"/>
  <c r="I114" i="2" s="1"/>
  <c r="Y114" i="2" s="1"/>
  <c r="J90" i="2" a="1"/>
  <c r="J90" i="2" s="1"/>
  <c r="Z90" i="2" s="1"/>
  <c r="J126" i="2" a="1"/>
  <c r="J126" i="2" s="1"/>
  <c r="Z126" i="2" s="1"/>
  <c r="J127" i="2" a="1"/>
  <c r="J127" i="2" s="1"/>
  <c r="Z127" i="2" s="1"/>
  <c r="J82" i="2" a="1"/>
  <c r="J82" i="2" s="1"/>
  <c r="Z82" i="2" s="1"/>
  <c r="W75" i="2"/>
  <c r="J124" i="2" a="1"/>
  <c r="J124" i="2" s="1"/>
  <c r="Z124" i="2" s="1"/>
  <c r="I120" i="2" a="1"/>
  <c r="I120" i="2" s="1"/>
  <c r="Y120" i="2" s="1"/>
  <c r="J84" i="2" a="1"/>
  <c r="J84" i="2" s="1"/>
  <c r="Z84" i="2" s="1"/>
  <c r="G79" i="2" a="1"/>
  <c r="G79" i="2" s="1"/>
  <c r="W79" i="2" s="1"/>
  <c r="G80" i="2" a="1"/>
  <c r="G80" i="2" s="1"/>
  <c r="W80" i="2" s="1"/>
  <c r="I117" i="2" a="1"/>
  <c r="I117" i="2" s="1"/>
  <c r="Y117" i="2" s="1"/>
  <c r="I118" i="2" a="1"/>
  <c r="I118" i="2" s="1"/>
  <c r="Y118" i="2" s="1"/>
  <c r="J91" i="2" a="1"/>
  <c r="J91" i="2" s="1"/>
  <c r="Z91" i="2" s="1"/>
  <c r="J125" i="2" a="1"/>
  <c r="J125" i="2" s="1"/>
  <c r="Z125" i="2" s="1"/>
  <c r="I116" i="2" a="1"/>
  <c r="I116" i="2" s="1"/>
  <c r="Y116" i="2" s="1"/>
  <c r="J122" i="2" a="1"/>
  <c r="J122" i="2" s="1"/>
  <c r="Z122" i="2" s="1"/>
  <c r="J81" i="2" a="1"/>
  <c r="J81" i="2" s="1"/>
  <c r="Z81" i="2" s="1"/>
  <c r="J123" i="2" a="1"/>
  <c r="J123" i="2" s="1"/>
  <c r="Z123" i="2" s="1"/>
  <c r="J88" i="2" a="1"/>
  <c r="J88" i="2" s="1"/>
  <c r="Z88" i="2" s="1"/>
  <c r="I119" i="2" a="1"/>
  <c r="I119" i="2" s="1"/>
  <c r="Y119" i="2" s="1"/>
  <c r="Y93" i="2"/>
  <c r="J118" i="2" a="1"/>
  <c r="J118" i="2" s="1"/>
  <c r="Z118" i="2" s="1"/>
  <c r="J119" i="2" a="1"/>
  <c r="J119" i="2" s="1"/>
  <c r="Z119" i="2" s="1"/>
  <c r="K219" i="2"/>
  <c r="K220" i="2" s="1"/>
  <c r="K233" i="2"/>
  <c r="K234" i="2" s="1"/>
  <c r="G85" i="2" a="1"/>
  <c r="G85" i="2" s="1"/>
  <c r="W85" i="2" s="1"/>
  <c r="G83" i="2" a="1"/>
  <c r="G83" i="2" s="1"/>
  <c r="W83" i="2" s="1"/>
  <c r="H86" i="2"/>
  <c r="X86" i="2" s="1"/>
  <c r="X75" i="2"/>
  <c r="H78" i="2"/>
  <c r="X78" i="2" s="1"/>
  <c r="X74" i="2"/>
  <c r="H97" i="2"/>
  <c r="X97" i="2" s="1"/>
  <c r="X93" i="2"/>
  <c r="L132" i="2"/>
  <c r="AB132" i="2" s="1"/>
  <c r="AB128" i="2"/>
  <c r="L113" i="2"/>
  <c r="AB113" i="2" s="1"/>
  <c r="AB109" i="2"/>
  <c r="L121" i="2"/>
  <c r="AB121" i="2" s="1"/>
  <c r="AB110" i="2"/>
  <c r="G132" i="2"/>
  <c r="W132" i="2" s="1"/>
  <c r="W128" i="2"/>
  <c r="G113" i="2"/>
  <c r="W113" i="2" s="1"/>
  <c r="W109" i="2"/>
  <c r="G121" i="2"/>
  <c r="W121" i="2" s="1"/>
  <c r="W110" i="2"/>
  <c r="L78" i="2"/>
  <c r="AB78" i="2" s="1"/>
  <c r="AB74" i="2"/>
  <c r="L86" i="2"/>
  <c r="AB86" i="2" s="1"/>
  <c r="AB75" i="2"/>
  <c r="L97" i="2"/>
  <c r="AB97" i="2" s="1"/>
  <c r="AB93" i="2"/>
  <c r="H132" i="2"/>
  <c r="X132" i="2" s="1"/>
  <c r="X128" i="2"/>
  <c r="H113" i="2"/>
  <c r="X113" i="2" s="1"/>
  <c r="X109" i="2"/>
  <c r="H121" i="2"/>
  <c r="X121" i="2" s="1"/>
  <c r="X110" i="2"/>
  <c r="I132" i="2"/>
  <c r="Y132" i="2" s="1"/>
  <c r="Y128" i="2"/>
  <c r="G97" i="2"/>
  <c r="W97" i="2" s="1"/>
  <c r="W93" i="2"/>
  <c r="J245" i="2"/>
  <c r="K245" i="2"/>
  <c r="K246" i="2" s="1"/>
  <c r="AA246" i="2" s="1"/>
  <c r="L117" i="2" a="1"/>
  <c r="L117" i="2" s="1"/>
  <c r="AB117" i="2" s="1"/>
  <c r="L126" i="2" a="1"/>
  <c r="L126" i="2" s="1"/>
  <c r="AB126" i="2" s="1"/>
  <c r="L127" i="2" a="1"/>
  <c r="L127" i="2" s="1"/>
  <c r="AB127" i="2" s="1"/>
  <c r="L125" i="2" a="1"/>
  <c r="L125" i="2" s="1"/>
  <c r="AB125" i="2" s="1"/>
  <c r="M135" i="2" a="1"/>
  <c r="M135" i="2" s="1"/>
  <c r="AC135" i="2" s="1"/>
  <c r="M134" i="2" a="1"/>
  <c r="M134" i="2" s="1"/>
  <c r="AC134" i="2" s="1"/>
  <c r="M99" i="2" a="1"/>
  <c r="M99" i="2" s="1"/>
  <c r="AC99" i="2" s="1"/>
  <c r="M100" i="2" a="1"/>
  <c r="M100" i="2" s="1"/>
  <c r="AC100" i="2" s="1"/>
  <c r="G125" i="2" a="1"/>
  <c r="G125" i="2" s="1"/>
  <c r="W125" i="2" s="1"/>
  <c r="G127" i="2" a="1"/>
  <c r="G127" i="2" s="1"/>
  <c r="W127" i="2" s="1"/>
  <c r="G124" i="2" a="1"/>
  <c r="G124" i="2" s="1"/>
  <c r="W124" i="2" s="1"/>
  <c r="G122" i="2" a="1"/>
  <c r="G122" i="2" s="1"/>
  <c r="W122" i="2" s="1"/>
  <c r="AC16" i="2"/>
  <c r="M107" i="2"/>
  <c r="F52" i="1"/>
  <c r="F53" i="1"/>
  <c r="F45" i="1"/>
  <c r="F46" i="1"/>
  <c r="AC14" i="2"/>
  <c r="M72" i="2"/>
  <c r="H120" i="2" a="1"/>
  <c r="H120" i="2" s="1"/>
  <c r="X120" i="2" s="1"/>
  <c r="H125" i="2" a="1"/>
  <c r="H125" i="2" s="1"/>
  <c r="X125" i="2" s="1"/>
  <c r="H122" i="2" a="1"/>
  <c r="H122" i="2" s="1"/>
  <c r="X122" i="2" s="1"/>
  <c r="F41" i="1"/>
  <c r="F42" i="1"/>
  <c r="H82" i="2" a="1"/>
  <c r="H82" i="2" s="1"/>
  <c r="X82" i="2" s="1"/>
  <c r="M137" i="2" a="1"/>
  <c r="M137" i="2" s="1"/>
  <c r="M138" i="2" a="1"/>
  <c r="M138" i="2" s="1"/>
  <c r="M103" i="2" a="1"/>
  <c r="M103" i="2" s="1"/>
  <c r="M102" i="2" a="1"/>
  <c r="M102" i="2" s="1"/>
  <c r="U132" i="2"/>
  <c r="Q97" i="2"/>
  <c r="V93" i="2"/>
  <c r="V97" i="2"/>
  <c r="D22" i="1"/>
  <c r="D23" i="1" s="1"/>
  <c r="M174" i="2" a="1"/>
  <c r="M174" i="2" s="1"/>
  <c r="AC174" i="2" s="1"/>
  <c r="M173" i="2" a="1"/>
  <c r="M173" i="2" s="1"/>
  <c r="AC173" i="2" s="1"/>
  <c r="M172" i="2" a="1"/>
  <c r="M172" i="2" s="1"/>
  <c r="AC172" i="2" s="1"/>
  <c r="M171" i="2" a="1"/>
  <c r="M171" i="2" s="1"/>
  <c r="AC171" i="2" s="1"/>
  <c r="M175" i="2" a="1"/>
  <c r="M175" i="2" s="1"/>
  <c r="AC175" i="2" s="1"/>
  <c r="M167" i="2" a="1"/>
  <c r="M167" i="2" s="1"/>
  <c r="AC167" i="2" s="1"/>
  <c r="M168" i="2" a="1"/>
  <c r="M168" i="2" s="1"/>
  <c r="AC168" i="2" s="1"/>
  <c r="M169" i="2" a="1"/>
  <c r="M169" i="2" s="1"/>
  <c r="AC169" i="2" s="1"/>
  <c r="M165" i="2" a="1"/>
  <c r="M165" i="2" s="1"/>
  <c r="AC165" i="2" s="1"/>
  <c r="D28" i="1"/>
  <c r="D29" i="1" s="1"/>
  <c r="E52" i="1"/>
  <c r="E45" i="1"/>
  <c r="E41" i="1"/>
  <c r="M162" i="2" a="1"/>
  <c r="M162" i="2" s="1"/>
  <c r="D10" i="1"/>
  <c r="D11" i="1" s="1"/>
  <c r="D34" i="1"/>
  <c r="D35" i="1" s="1"/>
  <c r="F7" i="1"/>
  <c r="F55" i="1"/>
  <c r="F56" i="1" s="1"/>
  <c r="D48" i="1"/>
  <c r="D49" i="1" s="1"/>
  <c r="E55" i="1"/>
  <c r="E56" i="1" s="1"/>
  <c r="D6" i="1"/>
  <c r="D16" i="1"/>
  <c r="D17" i="1" s="1"/>
  <c r="M259" i="2"/>
  <c r="E261" i="2"/>
  <c r="I260" i="2"/>
  <c r="I261" i="2" s="1"/>
  <c r="G260" i="2"/>
  <c r="G261" i="2" s="1"/>
  <c r="H260" i="2"/>
  <c r="H261" i="2" s="1"/>
  <c r="Q259" i="2"/>
  <c r="C245" i="2"/>
  <c r="J246" i="2"/>
  <c r="Z246" i="2" s="1"/>
  <c r="M154" i="2" a="1"/>
  <c r="M154" i="2" s="1"/>
  <c r="AC154" i="2" s="1"/>
  <c r="AC20" i="2"/>
  <c r="R95" i="2"/>
  <c r="AC133" i="2"/>
  <c r="M144" i="2"/>
  <c r="M145" i="2" s="1" a="1"/>
  <c r="M145" i="2" s="1"/>
  <c r="M230" i="2"/>
  <c r="M235" i="2" s="1"/>
  <c r="M146" i="2"/>
  <c r="M147" i="2" s="1" a="1"/>
  <c r="M147" i="2" s="1"/>
  <c r="M216" i="2"/>
  <c r="M221" i="2" s="1"/>
  <c r="M142" i="2"/>
  <c r="M157" i="2" a="1"/>
  <c r="M157" i="2" s="1"/>
  <c r="M156" i="2" a="1"/>
  <c r="M156" i="2" s="1"/>
  <c r="M153" i="2" a="1"/>
  <c r="M153" i="2" s="1"/>
  <c r="AC153" i="2" s="1"/>
  <c r="M152" i="2" a="1"/>
  <c r="M152" i="2" s="1"/>
  <c r="AC152" i="2" s="1"/>
  <c r="AC151" i="2"/>
  <c r="Q152" i="2"/>
  <c r="U152" i="2"/>
  <c r="R152" i="2" s="1"/>
  <c r="U153" i="2"/>
  <c r="R153" i="2" s="1"/>
  <c r="Q153" i="2"/>
  <c r="E143" i="2" a="1"/>
  <c r="E143" i="2" s="1"/>
  <c r="V206" i="2"/>
  <c r="V143" i="2"/>
  <c r="R155" i="2"/>
  <c r="AC170" i="2"/>
  <c r="AC208" i="2"/>
  <c r="AC209" i="2"/>
  <c r="AC207" i="2"/>
  <c r="AC164" i="2"/>
  <c r="R136" i="2"/>
  <c r="AC155" i="2"/>
  <c r="AC157" i="2"/>
  <c r="M277" i="2"/>
  <c r="AC277" i="2" s="1"/>
  <c r="M276" i="2"/>
  <c r="AC276" i="2" s="1"/>
  <c r="AC18" i="2"/>
  <c r="Q144" i="2"/>
  <c r="U144" i="2"/>
  <c r="Q142" i="2"/>
  <c r="U142" i="2"/>
  <c r="U138" i="2"/>
  <c r="Q138" i="2"/>
  <c r="Q146" i="2"/>
  <c r="U146" i="2"/>
  <c r="U137" i="2"/>
  <c r="Q137" i="2"/>
  <c r="M288" i="2"/>
  <c r="AC287" i="2"/>
  <c r="V145" i="2"/>
  <c r="V144" i="2"/>
  <c r="Q156" i="2"/>
  <c r="U156" i="2"/>
  <c r="U157" i="2"/>
  <c r="R157" i="2" s="1"/>
  <c r="Q157" i="2"/>
  <c r="D183" i="2" s="1"/>
  <c r="M178" i="2"/>
  <c r="AC178" i="2" s="1"/>
  <c r="M289" i="2"/>
  <c r="M286" i="2"/>
  <c r="M244" i="2"/>
  <c r="M278" i="2"/>
  <c r="M290" i="2"/>
  <c r="L116" i="2" l="1" a="1"/>
  <c r="L116" i="2" s="1"/>
  <c r="AB116" i="2" s="1"/>
  <c r="L114" i="2" a="1"/>
  <c r="L114" i="2" s="1"/>
  <c r="AB114" i="2" s="1"/>
  <c r="H119" i="2" a="1"/>
  <c r="H119" i="2" s="1"/>
  <c r="X119" i="2" s="1"/>
  <c r="L118" i="2" a="1"/>
  <c r="L118" i="2" s="1"/>
  <c r="AB118" i="2" s="1"/>
  <c r="H126" i="2" a="1"/>
  <c r="H126" i="2" s="1"/>
  <c r="X126" i="2" s="1"/>
  <c r="H127" i="2" a="1"/>
  <c r="H127" i="2" s="1"/>
  <c r="X127" i="2" s="1"/>
  <c r="L119" i="2" a="1"/>
  <c r="L119" i="2" s="1"/>
  <c r="AB119" i="2" s="1"/>
  <c r="H124" i="2" a="1"/>
  <c r="H124" i="2" s="1"/>
  <c r="X124" i="2" s="1"/>
  <c r="H123" i="2" a="1"/>
  <c r="H123" i="2" s="1"/>
  <c r="X123" i="2" s="1"/>
  <c r="H114" i="2" a="1"/>
  <c r="H114" i="2" s="1"/>
  <c r="X114" i="2" s="1"/>
  <c r="H115" i="2" a="1"/>
  <c r="H115" i="2" s="1"/>
  <c r="X115" i="2" s="1"/>
  <c r="H117" i="2" a="1"/>
  <c r="H117" i="2" s="1"/>
  <c r="X117" i="2" s="1"/>
  <c r="H118" i="2" a="1"/>
  <c r="H118" i="2" s="1"/>
  <c r="X118" i="2" s="1"/>
  <c r="H84" i="2" a="1"/>
  <c r="H84" i="2" s="1"/>
  <c r="X84" i="2" s="1"/>
  <c r="L115" i="2" a="1"/>
  <c r="L115" i="2" s="1"/>
  <c r="AB115" i="2" s="1"/>
  <c r="L120" i="2" a="1"/>
  <c r="L120" i="2" s="1"/>
  <c r="AB120" i="2" s="1"/>
  <c r="L90" i="2" a="1"/>
  <c r="L90" i="2" s="1"/>
  <c r="AB90" i="2" s="1"/>
  <c r="L89" i="2" a="1"/>
  <c r="L89" i="2" s="1"/>
  <c r="AB89" i="2" s="1"/>
  <c r="L92" i="2" a="1"/>
  <c r="L92" i="2" s="1"/>
  <c r="AB92" i="2" s="1"/>
  <c r="L85" i="2" a="1"/>
  <c r="L85" i="2" s="1"/>
  <c r="AB85" i="2" s="1"/>
  <c r="H87" i="2" a="1"/>
  <c r="H87" i="2" s="1"/>
  <c r="X87" i="2" s="1"/>
  <c r="L79" i="2" a="1"/>
  <c r="L79" i="2" s="1"/>
  <c r="AB79" i="2" s="1"/>
  <c r="H89" i="2" a="1"/>
  <c r="H89" i="2" s="1"/>
  <c r="X89" i="2" s="1"/>
  <c r="L80" i="2" a="1"/>
  <c r="L80" i="2" s="1"/>
  <c r="AB80" i="2" s="1"/>
  <c r="H91" i="2" a="1"/>
  <c r="H91" i="2" s="1"/>
  <c r="X91" i="2" s="1"/>
  <c r="L81" i="2" a="1"/>
  <c r="L81" i="2" s="1"/>
  <c r="AB81" i="2" s="1"/>
  <c r="H90" i="2" a="1"/>
  <c r="H90" i="2" s="1"/>
  <c r="X90" i="2" s="1"/>
  <c r="L82" i="2" a="1"/>
  <c r="L82" i="2" s="1"/>
  <c r="AB82" i="2" s="1"/>
  <c r="H88" i="2" a="1"/>
  <c r="H88" i="2" s="1"/>
  <c r="X88" i="2" s="1"/>
  <c r="L83" i="2" a="1"/>
  <c r="L83" i="2" s="1"/>
  <c r="AB83" i="2" s="1"/>
  <c r="H92" i="2" a="1"/>
  <c r="H92" i="2" s="1"/>
  <c r="X92" i="2" s="1"/>
  <c r="L84" i="2" a="1"/>
  <c r="L84" i="2" s="1"/>
  <c r="AB84" i="2" s="1"/>
  <c r="G123" i="2" a="1"/>
  <c r="G123" i="2" s="1"/>
  <c r="W123" i="2" s="1"/>
  <c r="G126" i="2" a="1"/>
  <c r="G126" i="2" s="1"/>
  <c r="W126" i="2" s="1"/>
  <c r="G120" i="2" a="1"/>
  <c r="G120" i="2" s="1"/>
  <c r="W120" i="2" s="1"/>
  <c r="G116" i="2" a="1"/>
  <c r="G116" i="2" s="1"/>
  <c r="W116" i="2" s="1"/>
  <c r="G115" i="2" a="1"/>
  <c r="G115" i="2" s="1"/>
  <c r="W115" i="2" s="1"/>
  <c r="G119" i="2" a="1"/>
  <c r="G119" i="2" s="1"/>
  <c r="W119" i="2" s="1"/>
  <c r="H116" i="2" a="1"/>
  <c r="H116" i="2" s="1"/>
  <c r="X116" i="2" s="1"/>
  <c r="G114" i="2" a="1"/>
  <c r="G114" i="2" s="1"/>
  <c r="W114" i="2" s="1"/>
  <c r="G117" i="2" a="1"/>
  <c r="G117" i="2" s="1"/>
  <c r="W117" i="2" s="1"/>
  <c r="G118" i="2" a="1"/>
  <c r="G118" i="2" s="1"/>
  <c r="W118" i="2" s="1"/>
  <c r="H85" i="2" a="1"/>
  <c r="H85" i="2" s="1"/>
  <c r="X85" i="2" s="1"/>
  <c r="H81" i="2" a="1"/>
  <c r="H81" i="2" s="1"/>
  <c r="X81" i="2" s="1"/>
  <c r="H80" i="2" a="1"/>
  <c r="H80" i="2" s="1"/>
  <c r="X80" i="2" s="1"/>
  <c r="L88" i="2" a="1"/>
  <c r="L88" i="2" s="1"/>
  <c r="AB88" i="2" s="1"/>
  <c r="L122" i="2" a="1"/>
  <c r="L122" i="2" s="1"/>
  <c r="AB122" i="2" s="1"/>
  <c r="H83" i="2" a="1"/>
  <c r="H83" i="2" s="1"/>
  <c r="X83" i="2" s="1"/>
  <c r="L91" i="2" a="1"/>
  <c r="L91" i="2" s="1"/>
  <c r="AB91" i="2" s="1"/>
  <c r="L123" i="2" a="1"/>
  <c r="L123" i="2" s="1"/>
  <c r="AB123" i="2" s="1"/>
  <c r="H79" i="2" a="1"/>
  <c r="H79" i="2" s="1"/>
  <c r="X79" i="2" s="1"/>
  <c r="L87" i="2" a="1"/>
  <c r="L87" i="2" s="1"/>
  <c r="AB87" i="2" s="1"/>
  <c r="L124" i="2" a="1"/>
  <c r="L124" i="2" s="1"/>
  <c r="AB124" i="2" s="1"/>
  <c r="K247" i="2"/>
  <c r="K248" i="2" s="1"/>
  <c r="K324" i="2"/>
  <c r="AA324" i="2" s="1"/>
  <c r="K319" i="2"/>
  <c r="AA319" i="2" s="1"/>
  <c r="K314" i="2"/>
  <c r="AA314" i="2" s="1"/>
  <c r="K309" i="2"/>
  <c r="AA309" i="2" s="1"/>
  <c r="M108" i="2" a="1"/>
  <c r="M108" i="2" s="1"/>
  <c r="AC108" i="2" s="1"/>
  <c r="M110" i="2" a="1"/>
  <c r="M110" i="2" s="1"/>
  <c r="M121" i="2" s="1"/>
  <c r="M109" i="2" a="1"/>
  <c r="M109" i="2" s="1"/>
  <c r="M113" i="2" s="1"/>
  <c r="M130" i="2" a="1"/>
  <c r="M130" i="2" s="1"/>
  <c r="M128" i="2" a="1"/>
  <c r="M128" i="2" s="1"/>
  <c r="M132" i="2" s="1"/>
  <c r="M75" i="2" a="1"/>
  <c r="M75" i="2" s="1"/>
  <c r="M86" i="2" s="1"/>
  <c r="M74" i="2" a="1"/>
  <c r="M74" i="2" s="1"/>
  <c r="M78" i="2" s="1"/>
  <c r="M93" i="2" a="1"/>
  <c r="M93" i="2" s="1"/>
  <c r="M97" i="2" s="1"/>
  <c r="M95" i="2" a="1"/>
  <c r="M95" i="2" s="1"/>
  <c r="AC95" i="2" s="1"/>
  <c r="M73" i="2" a="1"/>
  <c r="M73" i="2" s="1"/>
  <c r="M148" i="2" a="1"/>
  <c r="M148" i="2" s="1"/>
  <c r="M150" i="2" a="1"/>
  <c r="M150" i="2" s="1"/>
  <c r="AC150" i="2" s="1"/>
  <c r="S245" i="2"/>
  <c r="R93" i="2"/>
  <c r="V132" i="2"/>
  <c r="R97" i="2"/>
  <c r="E61" i="1"/>
  <c r="E62" i="1"/>
  <c r="F61" i="1"/>
  <c r="F62" i="1"/>
  <c r="AC112" i="2"/>
  <c r="AC77" i="2"/>
  <c r="D7" i="1"/>
  <c r="D55" i="1"/>
  <c r="D56" i="1" s="1"/>
  <c r="E58" i="1"/>
  <c r="E59" i="1"/>
  <c r="F59" i="1"/>
  <c r="F58" i="1"/>
  <c r="AC244" i="2"/>
  <c r="M245" i="2"/>
  <c r="J247" i="2"/>
  <c r="J248" i="2" s="1"/>
  <c r="M143" i="2" a="1"/>
  <c r="M143" i="2" s="1"/>
  <c r="R142" i="2"/>
  <c r="AC144" i="2"/>
  <c r="AC145" i="2"/>
  <c r="AC288" i="2"/>
  <c r="R156" i="2"/>
  <c r="AC156" i="2"/>
  <c r="AC138" i="2"/>
  <c r="AC142" i="2"/>
  <c r="AC137" i="2"/>
  <c r="AC107" i="2"/>
  <c r="AC72" i="2"/>
  <c r="AC76" i="2"/>
  <c r="AC146" i="2"/>
  <c r="R138" i="2"/>
  <c r="R146" i="2"/>
  <c r="AC111" i="2"/>
  <c r="U147" i="2"/>
  <c r="R147" i="2" s="1"/>
  <c r="Q147" i="2"/>
  <c r="U148" i="2"/>
  <c r="R148" i="2" s="1"/>
  <c r="Q148" i="2"/>
  <c r="Q145" i="2"/>
  <c r="U145" i="2"/>
  <c r="R145" i="2" s="1"/>
  <c r="U143" i="2"/>
  <c r="Q143" i="2"/>
  <c r="R137" i="2"/>
  <c r="M279" i="2"/>
  <c r="M280" i="2" s="1"/>
  <c r="AC278" i="2"/>
  <c r="M291" i="2"/>
  <c r="AC291" i="2" s="1"/>
  <c r="AC290" i="2"/>
  <c r="R144" i="2"/>
  <c r="AA245" i="2" l="1"/>
  <c r="Z245" i="2"/>
  <c r="K327" i="2"/>
  <c r="K322" i="2"/>
  <c r="K312" i="2"/>
  <c r="K317" i="2"/>
  <c r="M85" i="2" a="1"/>
  <c r="M85" i="2" s="1"/>
  <c r="M84" i="2" a="1"/>
  <c r="M84" i="2" s="1"/>
  <c r="M83" i="2" a="1"/>
  <c r="M83" i="2" s="1"/>
  <c r="M81" i="2" a="1"/>
  <c r="M81" i="2" s="1"/>
  <c r="M79" i="2" a="1"/>
  <c r="M79" i="2" s="1"/>
  <c r="M82" i="2" a="1"/>
  <c r="M82" i="2" s="1"/>
  <c r="M80" i="2" a="1"/>
  <c r="M80" i="2" s="1"/>
  <c r="M92" i="2" a="1"/>
  <c r="M92" i="2" s="1"/>
  <c r="M91" i="2" a="1"/>
  <c r="M91" i="2" s="1"/>
  <c r="M90" i="2" a="1"/>
  <c r="M90" i="2" s="1"/>
  <c r="M89" i="2" a="1"/>
  <c r="M89" i="2" s="1"/>
  <c r="M88" i="2" a="1"/>
  <c r="M88" i="2" s="1"/>
  <c r="M87" i="2" a="1"/>
  <c r="M87" i="2" s="1"/>
  <c r="M117" i="2" a="1"/>
  <c r="M117" i="2" s="1"/>
  <c r="M115" i="2" a="1"/>
  <c r="M115" i="2" s="1"/>
  <c r="M114" i="2" a="1"/>
  <c r="M114" i="2" s="1"/>
  <c r="M118" i="2" a="1"/>
  <c r="M118" i="2" s="1"/>
  <c r="M119" i="2" a="1"/>
  <c r="M119" i="2" s="1"/>
  <c r="M116" i="2" a="1"/>
  <c r="M116" i="2" s="1"/>
  <c r="M120" i="2" a="1"/>
  <c r="M120" i="2" s="1"/>
  <c r="M122" i="2" a="1"/>
  <c r="M122" i="2" s="1"/>
  <c r="M126" i="2" a="1"/>
  <c r="M126" i="2" s="1"/>
  <c r="M123" i="2" a="1"/>
  <c r="M123" i="2" s="1"/>
  <c r="M127" i="2" a="1"/>
  <c r="M127" i="2" s="1"/>
  <c r="M125" i="2" a="1"/>
  <c r="M125" i="2" s="1"/>
  <c r="M124" i="2" a="1"/>
  <c r="M124" i="2" s="1"/>
  <c r="R132" i="2"/>
  <c r="AC93" i="2"/>
  <c r="AC97" i="2"/>
  <c r="AC73" i="2"/>
  <c r="M260" i="2"/>
  <c r="L260" i="2" s="1"/>
  <c r="L261" i="2" s="1"/>
  <c r="AC110" i="2"/>
  <c r="AC109" i="2"/>
  <c r="AC75" i="2"/>
  <c r="AC74" i="2"/>
  <c r="M292" i="2"/>
  <c r="M293" i="2" s="1"/>
  <c r="R143" i="2"/>
  <c r="AC205" i="2"/>
  <c r="AC204" i="2"/>
  <c r="AC203" i="2"/>
  <c r="AC202" i="2"/>
  <c r="AC206" i="2"/>
  <c r="AC143" i="2"/>
  <c r="Q206" i="2"/>
  <c r="U206" i="2"/>
  <c r="R206" i="2" s="1"/>
  <c r="AC148" i="2"/>
  <c r="AC128" i="2"/>
  <c r="AC147" i="2"/>
  <c r="AC130" i="2"/>
  <c r="AC279" i="2"/>
  <c r="M222" i="2"/>
  <c r="AC216" i="2"/>
  <c r="M246" i="2"/>
  <c r="M247" i="2" s="1"/>
  <c r="AC245" i="2"/>
  <c r="AC132" i="2" l="1"/>
  <c r="AC81" i="2"/>
  <c r="AC126" i="2"/>
  <c r="AC127" i="2"/>
  <c r="AC91" i="2"/>
  <c r="AC89" i="2"/>
  <c r="AC87" i="2"/>
  <c r="AC88" i="2"/>
  <c r="AC84" i="2"/>
  <c r="AC80" i="2"/>
  <c r="AC85" i="2"/>
  <c r="AC82" i="2"/>
  <c r="AC79" i="2"/>
  <c r="M261" i="2"/>
  <c r="J260" i="2"/>
  <c r="AC113" i="2"/>
  <c r="AC114" i="2"/>
  <c r="AC86" i="2"/>
  <c r="AC83" i="2"/>
  <c r="AC78" i="2"/>
  <c r="AC230" i="2"/>
  <c r="AC246" i="2"/>
  <c r="M248" i="2"/>
  <c r="AC121" i="2"/>
  <c r="AC115" i="2"/>
  <c r="AC116" i="2"/>
  <c r="AC221" i="2"/>
  <c r="AC92" i="2"/>
  <c r="AC90" i="2"/>
  <c r="B5" i="16"/>
  <c r="T1" i="2"/>
  <c r="V1" i="2"/>
  <c r="U1" i="2"/>
  <c r="D3" i="2"/>
  <c r="D2" i="1" l="1"/>
  <c r="E260" i="2"/>
  <c r="Q260" i="2" s="1"/>
  <c r="J261" i="2"/>
  <c r="M236" i="2"/>
  <c r="M237" i="2" s="1"/>
  <c r="AC235" i="2"/>
  <c r="AC199" i="2"/>
  <c r="AC198" i="2"/>
  <c r="AC196" i="2"/>
  <c r="AC195" i="2"/>
  <c r="AC193" i="2"/>
  <c r="AC192" i="2"/>
  <c r="AC190" i="2"/>
  <c r="AC189" i="2"/>
  <c r="AC188" i="2"/>
  <c r="AC187" i="2"/>
  <c r="AC186" i="2"/>
  <c r="AC120" i="2"/>
  <c r="AC117" i="2"/>
  <c r="AC124" i="2"/>
  <c r="AC122" i="2"/>
  <c r="AC123" i="2"/>
  <c r="AC125" i="2"/>
  <c r="AC118" i="2"/>
  <c r="AC119" i="2"/>
  <c r="H264" i="2"/>
  <c r="G264" i="2"/>
  <c r="I264" i="2"/>
  <c r="L264" i="2"/>
  <c r="F264" i="2"/>
  <c r="D23" i="2"/>
  <c r="D251" i="2" s="1"/>
  <c r="F267" i="2"/>
  <c r="F263" i="2"/>
  <c r="I263" i="2"/>
  <c r="I267" i="2"/>
  <c r="H263" i="2"/>
  <c r="H267" i="2"/>
  <c r="L267" i="2"/>
  <c r="L263" i="2"/>
  <c r="G263" i="2"/>
  <c r="G267" i="2"/>
  <c r="E263" i="2"/>
  <c r="Q263" i="2" s="1"/>
  <c r="E267" i="2"/>
  <c r="Q267" i="2" s="1"/>
  <c r="E264" i="2"/>
  <c r="Q264" i="2" s="1"/>
  <c r="D264" i="2"/>
  <c r="D284" i="2"/>
  <c r="L275" i="2"/>
  <c r="AB275" i="2" s="1"/>
  <c r="L274" i="2"/>
  <c r="AB274" i="2" s="1"/>
  <c r="L273" i="2"/>
  <c r="AB273" i="2" s="1"/>
  <c r="L283" i="2"/>
  <c r="L284" i="2"/>
  <c r="Q160" i="2"/>
  <c r="E284" i="2"/>
  <c r="Q284" i="2" s="1"/>
  <c r="Q63" i="2"/>
  <c r="E283" i="2"/>
  <c r="Q283" i="2" s="1"/>
  <c r="F283" i="2"/>
  <c r="F274" i="2"/>
  <c r="V274" i="2" s="1"/>
  <c r="F273" i="2"/>
  <c r="V273" i="2" s="1"/>
  <c r="F275" i="2"/>
  <c r="V275" i="2" s="1"/>
  <c r="F284" i="2"/>
  <c r="G274" i="2"/>
  <c r="W274" i="2" s="1"/>
  <c r="G273" i="2"/>
  <c r="W273" i="2" s="1"/>
  <c r="G275" i="2"/>
  <c r="W275" i="2" s="1"/>
  <c r="G283" i="2"/>
  <c r="G284" i="2"/>
  <c r="H283" i="2"/>
  <c r="H274" i="2"/>
  <c r="X274" i="2" s="1"/>
  <c r="H275" i="2"/>
  <c r="X275" i="2" s="1"/>
  <c r="H273" i="2"/>
  <c r="X273" i="2" s="1"/>
  <c r="H284" i="2"/>
  <c r="I273" i="2"/>
  <c r="Y273" i="2" s="1"/>
  <c r="I274" i="2"/>
  <c r="Y274" i="2" s="1"/>
  <c r="I275" i="2"/>
  <c r="Y275" i="2" s="1"/>
  <c r="I283" i="2"/>
  <c r="I284" i="2"/>
  <c r="Q64" i="2"/>
  <c r="F268" i="2"/>
  <c r="H268" i="2"/>
  <c r="I240" i="2"/>
  <c r="Q106" i="2"/>
  <c r="E71" i="2"/>
  <c r="Q71" i="2" s="1"/>
  <c r="E70" i="2"/>
  <c r="Q70" i="2" s="1"/>
  <c r="D6" i="2"/>
  <c r="D101" i="2" s="1"/>
  <c r="Q4" i="2"/>
  <c r="Q105" i="2"/>
  <c r="L240" i="2"/>
  <c r="H239" i="2"/>
  <c r="G239" i="2"/>
  <c r="F239" i="2"/>
  <c r="L239" i="2"/>
  <c r="I239" i="2"/>
  <c r="H240" i="2"/>
  <c r="G240" i="2"/>
  <c r="F240" i="2"/>
  <c r="R4" i="2"/>
  <c r="D71" i="2"/>
  <c r="D240" i="2"/>
  <c r="B1" i="9"/>
  <c r="K1" i="9" s="1"/>
  <c r="J1" i="9"/>
  <c r="B2" i="9"/>
  <c r="K2" i="9" s="1"/>
  <c r="J2" i="9"/>
  <c r="B3" i="9"/>
  <c r="K3" i="9" s="1"/>
  <c r="J3" i="9"/>
  <c r="B4" i="9"/>
  <c r="K4" i="9" s="1"/>
  <c r="J4" i="9"/>
  <c r="B5" i="9"/>
  <c r="K5" i="9" s="1"/>
  <c r="J5" i="9"/>
  <c r="B6" i="9"/>
  <c r="K6" i="9" s="1"/>
  <c r="J6" i="9"/>
  <c r="J10" i="9"/>
  <c r="J73" i="9" s="1"/>
  <c r="D304" i="2"/>
  <c r="E304" i="2" s="1"/>
  <c r="D296" i="2"/>
  <c r="M296" i="2" s="1"/>
  <c r="M297" i="2" s="1" a="1"/>
  <c r="M297" i="2" s="1"/>
  <c r="Q261" i="2" l="1"/>
  <c r="D102" i="2"/>
  <c r="D103" i="2"/>
  <c r="D155" i="2"/>
  <c r="D227" i="2"/>
  <c r="D213" i="2"/>
  <c r="D161" i="2"/>
  <c r="Q159" i="2"/>
  <c r="Q304" i="2"/>
  <c r="E306" i="2" a="1"/>
  <c r="E306" i="2" s="1"/>
  <c r="E296" i="2"/>
  <c r="E297" i="2" s="1" a="1"/>
  <c r="E297" i="2" s="1"/>
  <c r="E298" i="2" s="1" a="1"/>
  <c r="E298" i="2" s="1"/>
  <c r="E305" i="2" a="1"/>
  <c r="E305" i="2" s="1"/>
  <c r="Q305" i="2" s="1"/>
  <c r="M304" i="2"/>
  <c r="M306" i="2" s="1" a="1"/>
  <c r="M306" i="2" s="1"/>
  <c r="M298" i="2"/>
  <c r="G276" i="2"/>
  <c r="W276" i="2" s="1"/>
  <c r="F276" i="2"/>
  <c r="V276" i="2" s="1"/>
  <c r="H276" i="2"/>
  <c r="X276" i="2" s="1"/>
  <c r="I265" i="2"/>
  <c r="I266" i="2" s="1"/>
  <c r="H265" i="2"/>
  <c r="H266" i="2" s="1"/>
  <c r="F265" i="2"/>
  <c r="F266" i="2" s="1"/>
  <c r="G265" i="2"/>
  <c r="G266" i="2" s="1"/>
  <c r="L276" i="2"/>
  <c r="AB276" i="2" s="1"/>
  <c r="I276" i="2"/>
  <c r="Y276" i="2" s="1"/>
  <c r="L268" i="2"/>
  <c r="I268" i="2"/>
  <c r="G268" i="2"/>
  <c r="E265" i="2"/>
  <c r="E274" i="2"/>
  <c r="L265" i="2"/>
  <c r="L266" i="2" s="1"/>
  <c r="E273" i="2"/>
  <c r="E275" i="2"/>
  <c r="H277" i="2"/>
  <c r="X277" i="2" s="1"/>
  <c r="H278" i="2"/>
  <c r="X278" i="2" s="1"/>
  <c r="F278" i="2"/>
  <c r="V278" i="2" s="1"/>
  <c r="F277" i="2"/>
  <c r="V277" i="2" s="1"/>
  <c r="G287" i="2"/>
  <c r="W287" i="2" s="1"/>
  <c r="E287" i="2"/>
  <c r="H287" i="2"/>
  <c r="X287" i="2" s="1"/>
  <c r="L287" i="2"/>
  <c r="AB287" i="2" s="1"/>
  <c r="I287" i="2"/>
  <c r="Y287" i="2" s="1"/>
  <c r="L269" i="2"/>
  <c r="AB269" i="2" s="1"/>
  <c r="E268" i="2"/>
  <c r="Q268" i="2" s="1"/>
  <c r="F287" i="2"/>
  <c r="V287" i="2" s="1"/>
  <c r="H243" i="2"/>
  <c r="L285" i="2"/>
  <c r="E285" i="2"/>
  <c r="Q285" i="2" s="1"/>
  <c r="I269" i="2"/>
  <c r="Y269" i="2" s="1"/>
  <c r="I285" i="2"/>
  <c r="H269" i="2"/>
  <c r="X269" i="2" s="1"/>
  <c r="G269" i="2"/>
  <c r="W269" i="2" s="1"/>
  <c r="H285" i="2"/>
  <c r="E269" i="2"/>
  <c r="F269" i="2"/>
  <c r="V269" i="2" s="1"/>
  <c r="G285" i="2"/>
  <c r="F285" i="2"/>
  <c r="F241" i="2"/>
  <c r="F242" i="2" s="1" a="1"/>
  <c r="F242" i="2" s="1"/>
  <c r="F214" i="2" a="1"/>
  <c r="F214" i="2" s="1"/>
  <c r="F10" i="2"/>
  <c r="L10" i="2"/>
  <c r="L241" i="2"/>
  <c r="L242" i="2" s="1" a="1"/>
  <c r="L242" i="2" s="1"/>
  <c r="I214" i="2" a="1"/>
  <c r="I214" i="2" s="1"/>
  <c r="I10" i="2"/>
  <c r="I241" i="2"/>
  <c r="I242" i="2" s="1" a="1"/>
  <c r="I242" i="2" s="1"/>
  <c r="H10" i="2"/>
  <c r="G10" i="2"/>
  <c r="E10" i="2"/>
  <c r="Q10" i="2" s="1"/>
  <c r="F243" i="2"/>
  <c r="L214" i="2" a="1"/>
  <c r="L214" i="2" s="1"/>
  <c r="G243" i="2"/>
  <c r="I243" i="2"/>
  <c r="G214" i="2" a="1"/>
  <c r="G214" i="2" s="1"/>
  <c r="G241" i="2"/>
  <c r="G242" i="2" s="1" a="1"/>
  <c r="G242" i="2" s="1"/>
  <c r="L243" i="2"/>
  <c r="H214" i="2" a="1"/>
  <c r="H214" i="2" s="1"/>
  <c r="H241" i="2"/>
  <c r="H242" i="2" s="1" a="1"/>
  <c r="H242" i="2" s="1"/>
  <c r="E239" i="2"/>
  <c r="Q239" i="2" s="1"/>
  <c r="Q225" i="2"/>
  <c r="Q226" i="2"/>
  <c r="E240" i="2"/>
  <c r="Q240" i="2" s="1"/>
  <c r="Q212" i="2"/>
  <c r="V3" i="2"/>
  <c r="U3" i="2"/>
  <c r="T3" i="2"/>
  <c r="E307" i="2" l="1"/>
  <c r="Q306" i="2"/>
  <c r="G277" i="2"/>
  <c r="W277" i="2" s="1"/>
  <c r="L278" i="2"/>
  <c r="AB278" i="2" s="1"/>
  <c r="I278" i="2"/>
  <c r="Y278" i="2" s="1"/>
  <c r="Q161" i="2"/>
  <c r="V164" i="2"/>
  <c r="V205" i="2"/>
  <c r="V203" i="2"/>
  <c r="V204" i="2"/>
  <c r="V202" i="2"/>
  <c r="V170" i="2"/>
  <c r="V208" i="2"/>
  <c r="V209" i="2"/>
  <c r="V207" i="2"/>
  <c r="Q275" i="2"/>
  <c r="U275" i="2"/>
  <c r="R275" i="2" s="1"/>
  <c r="Q273" i="2"/>
  <c r="U273" i="2"/>
  <c r="R273" i="2" s="1"/>
  <c r="Q274" i="2"/>
  <c r="U274" i="2"/>
  <c r="R274" i="2" s="1"/>
  <c r="I290" i="2"/>
  <c r="Y290" i="2" s="1"/>
  <c r="H288" i="2"/>
  <c r="X288" i="2" s="1"/>
  <c r="L288" i="2"/>
  <c r="AB288" i="2" s="1"/>
  <c r="Q287" i="2"/>
  <c r="U287" i="2"/>
  <c r="Q170" i="2"/>
  <c r="U170" i="2"/>
  <c r="G288" i="2"/>
  <c r="W288" i="2" s="1"/>
  <c r="E266" i="2"/>
  <c r="Q266" i="2" s="1"/>
  <c r="Q265" i="2"/>
  <c r="Q164" i="2"/>
  <c r="U164" i="2"/>
  <c r="U269" i="2"/>
  <c r="R269" i="2" s="1"/>
  <c r="Q269" i="2"/>
  <c r="Q297" i="2"/>
  <c r="Q296" i="2"/>
  <c r="V171" i="2"/>
  <c r="V175" i="2"/>
  <c r="V174" i="2"/>
  <c r="V173" i="2"/>
  <c r="V172" i="2"/>
  <c r="V167" i="2"/>
  <c r="V168" i="2"/>
  <c r="V169" i="2"/>
  <c r="V165" i="2"/>
  <c r="Q163" i="2"/>
  <c r="D163" i="2" s="1"/>
  <c r="Q162" i="2"/>
  <c r="D162" i="2" s="1"/>
  <c r="M305" i="2" a="1"/>
  <c r="M305" i="2" s="1"/>
  <c r="M307" i="2" s="1"/>
  <c r="E286" i="2"/>
  <c r="Q286" i="2" s="1"/>
  <c r="L289" i="2"/>
  <c r="L286" i="2"/>
  <c r="H289" i="2"/>
  <c r="H286" i="2"/>
  <c r="G289" i="2"/>
  <c r="G286" i="2"/>
  <c r="I289" i="2"/>
  <c r="I286" i="2"/>
  <c r="F289" i="2"/>
  <c r="F286" i="2"/>
  <c r="M223" i="2"/>
  <c r="E276" i="2"/>
  <c r="D24" i="2"/>
  <c r="G278" i="2"/>
  <c r="W278" i="2" s="1"/>
  <c r="I277" i="2"/>
  <c r="Y277" i="2" s="1"/>
  <c r="L277" i="2"/>
  <c r="AB277" i="2" s="1"/>
  <c r="I288" i="2"/>
  <c r="Y288" i="2" s="1"/>
  <c r="E290" i="2"/>
  <c r="G290" i="2"/>
  <c r="W290" i="2" s="1"/>
  <c r="E288" i="2"/>
  <c r="G244" i="2"/>
  <c r="W244" i="2" s="1"/>
  <c r="L290" i="2"/>
  <c r="AB290" i="2" s="1"/>
  <c r="L244" i="2"/>
  <c r="AB244" i="2" s="1"/>
  <c r="H290" i="2"/>
  <c r="X290" i="2" s="1"/>
  <c r="H244" i="2"/>
  <c r="X244" i="2" s="1"/>
  <c r="F244" i="2"/>
  <c r="I244" i="2"/>
  <c r="Y244" i="2" s="1"/>
  <c r="E289" i="2"/>
  <c r="Q289" i="2" s="1"/>
  <c r="F288" i="2"/>
  <c r="F290" i="2"/>
  <c r="D283" i="2"/>
  <c r="D263" i="2"/>
  <c r="E241" i="2"/>
  <c r="D239" i="2"/>
  <c r="D70" i="2"/>
  <c r="G245" i="2" l="1"/>
  <c r="W245" i="2" s="1"/>
  <c r="I245" i="2"/>
  <c r="Y245" i="2" s="1"/>
  <c r="V244" i="2"/>
  <c r="F245" i="2"/>
  <c r="H245" i="2"/>
  <c r="X245" i="2" s="1"/>
  <c r="L245" i="2"/>
  <c r="AB245" i="2" s="1"/>
  <c r="E113" i="2"/>
  <c r="E121" i="2"/>
  <c r="D50" i="2"/>
  <c r="D51" i="2"/>
  <c r="D53" i="2"/>
  <c r="D49" i="2"/>
  <c r="D42" i="2"/>
  <c r="D48" i="2"/>
  <c r="D52" i="2"/>
  <c r="D40" i="2"/>
  <c r="D46" i="2"/>
  <c r="D47" i="2"/>
  <c r="D44" i="2"/>
  <c r="D36" i="2"/>
  <c r="D30" i="2"/>
  <c r="D252" i="2"/>
  <c r="D28" i="2"/>
  <c r="D32" i="2"/>
  <c r="V288" i="2"/>
  <c r="R287" i="2"/>
  <c r="Q204" i="2"/>
  <c r="U204" i="2"/>
  <c r="Q209" i="2"/>
  <c r="U209" i="2"/>
  <c r="Q207" i="2"/>
  <c r="U207" i="2"/>
  <c r="Q202" i="2"/>
  <c r="U202" i="2"/>
  <c r="Q208" i="2"/>
  <c r="U208" i="2"/>
  <c r="Q205" i="2"/>
  <c r="U205" i="2"/>
  <c r="Q203" i="2"/>
  <c r="U203" i="2"/>
  <c r="V107" i="2"/>
  <c r="V130" i="2"/>
  <c r="V72" i="2"/>
  <c r="Q276" i="2"/>
  <c r="U276" i="2"/>
  <c r="R276" i="2" s="1"/>
  <c r="G291" i="2"/>
  <c r="W291" i="2" s="1"/>
  <c r="U173" i="2"/>
  <c r="Q173" i="2"/>
  <c r="Q290" i="2"/>
  <c r="U290" i="2"/>
  <c r="U174" i="2"/>
  <c r="Q174" i="2"/>
  <c r="Q76" i="2"/>
  <c r="U76" i="2"/>
  <c r="U175" i="2"/>
  <c r="Q175" i="2"/>
  <c r="L291" i="2"/>
  <c r="AB291" i="2" s="1"/>
  <c r="U168" i="2"/>
  <c r="Q168" i="2"/>
  <c r="V77" i="2"/>
  <c r="V76" i="2"/>
  <c r="Q169" i="2"/>
  <c r="U169" i="2"/>
  <c r="Q165" i="2"/>
  <c r="U165" i="2"/>
  <c r="Q107" i="2"/>
  <c r="U107" i="2"/>
  <c r="E278" i="2"/>
  <c r="V112" i="2"/>
  <c r="V111" i="2"/>
  <c r="Q167" i="2"/>
  <c r="U167" i="2"/>
  <c r="E242" i="2" a="1"/>
  <c r="E242" i="2" s="1"/>
  <c r="Q242" i="2" s="1"/>
  <c r="Q241" i="2"/>
  <c r="Q111" i="2"/>
  <c r="U111" i="2"/>
  <c r="E214" i="2" a="1"/>
  <c r="E214" i="2" s="1"/>
  <c r="Q214" i="2" s="1"/>
  <c r="Q213" i="2"/>
  <c r="Q227" i="2"/>
  <c r="F291" i="2"/>
  <c r="V291" i="2" s="1"/>
  <c r="V290" i="2"/>
  <c r="Q72" i="2"/>
  <c r="U72" i="2"/>
  <c r="I291" i="2"/>
  <c r="Y291" i="2" s="1"/>
  <c r="H291" i="2"/>
  <c r="U171" i="2"/>
  <c r="Q171" i="2"/>
  <c r="U288" i="2"/>
  <c r="Q288" i="2"/>
  <c r="Q172" i="2"/>
  <c r="U172" i="2"/>
  <c r="V74" i="2"/>
  <c r="V73" i="2"/>
  <c r="V109" i="2"/>
  <c r="V108" i="2"/>
  <c r="V128" i="2"/>
  <c r="V110" i="2"/>
  <c r="F178" i="2"/>
  <c r="V178" i="2" s="1"/>
  <c r="H178" i="2"/>
  <c r="X178" i="2" s="1"/>
  <c r="L178" i="2"/>
  <c r="AB178" i="2" s="1"/>
  <c r="G178" i="2"/>
  <c r="W178" i="2" s="1"/>
  <c r="I178" i="2"/>
  <c r="Y178" i="2" s="1"/>
  <c r="Q298" i="2"/>
  <c r="E277" i="2"/>
  <c r="D265" i="2"/>
  <c r="D266" i="2" s="1"/>
  <c r="D285" i="2"/>
  <c r="D286" i="2" s="1"/>
  <c r="E243" i="2"/>
  <c r="Q243" i="2" s="1"/>
  <c r="Q215" i="2"/>
  <c r="Q229" i="2"/>
  <c r="D12" i="2"/>
  <c r="D11" i="2"/>
  <c r="D268" i="2"/>
  <c r="H292" i="2" l="1"/>
  <c r="H293" i="2" s="1"/>
  <c r="X291" i="2"/>
  <c r="E127" i="2" a="1"/>
  <c r="E127" i="2" s="1"/>
  <c r="E122" i="2" a="1"/>
  <c r="E122" i="2" s="1"/>
  <c r="E126" i="2" a="1"/>
  <c r="E126" i="2" s="1"/>
  <c r="E125" i="2" a="1"/>
  <c r="E125" i="2" s="1"/>
  <c r="E123" i="2" a="1"/>
  <c r="E123" i="2" s="1"/>
  <c r="E124" i="2" a="1"/>
  <c r="E124" i="2" s="1"/>
  <c r="E120" i="2" a="1"/>
  <c r="E120" i="2" s="1"/>
  <c r="E115" i="2" a="1"/>
  <c r="E115" i="2" s="1"/>
  <c r="E119" i="2" a="1"/>
  <c r="E119" i="2" s="1"/>
  <c r="E118" i="2" a="1"/>
  <c r="E118" i="2" s="1"/>
  <c r="E117" i="2" a="1"/>
  <c r="E117" i="2" s="1"/>
  <c r="E116" i="2" a="1"/>
  <c r="E116" i="2" s="1"/>
  <c r="E114" i="2" a="1"/>
  <c r="E114" i="2" s="1"/>
  <c r="I292" i="2"/>
  <c r="I293" i="2" s="1"/>
  <c r="F292" i="2"/>
  <c r="F293" i="2" s="1"/>
  <c r="L292" i="2"/>
  <c r="L293" i="2" s="1"/>
  <c r="G292" i="2"/>
  <c r="G293" i="2" s="1"/>
  <c r="R288" i="2"/>
  <c r="R107" i="2"/>
  <c r="R290" i="2"/>
  <c r="E291" i="2"/>
  <c r="Q291" i="2" s="1"/>
  <c r="V75" i="2"/>
  <c r="Q277" i="2"/>
  <c r="U277" i="2"/>
  <c r="R277" i="2" s="1"/>
  <c r="Q108" i="2"/>
  <c r="U108" i="2"/>
  <c r="R108" i="2" s="1"/>
  <c r="Q130" i="2"/>
  <c r="U130" i="2"/>
  <c r="R130" i="2" s="1"/>
  <c r="U128" i="2"/>
  <c r="R128" i="2" s="1"/>
  <c r="Q128" i="2"/>
  <c r="Q109" i="2"/>
  <c r="U109" i="2"/>
  <c r="L246" i="2"/>
  <c r="U110" i="2"/>
  <c r="Q110" i="2"/>
  <c r="H246" i="2"/>
  <c r="E78" i="2"/>
  <c r="Q74" i="2"/>
  <c r="U74" i="2"/>
  <c r="G246" i="2"/>
  <c r="W246" i="2" s="1"/>
  <c r="G222" i="2"/>
  <c r="F246" i="2"/>
  <c r="F247" i="2" s="1"/>
  <c r="V245" i="2"/>
  <c r="Q278" i="2"/>
  <c r="U278" i="2"/>
  <c r="R278" i="2" s="1"/>
  <c r="Q75" i="2"/>
  <c r="U75" i="2"/>
  <c r="Q77" i="2"/>
  <c r="U77" i="2"/>
  <c r="Q73" i="2"/>
  <c r="U73" i="2"/>
  <c r="I246" i="2"/>
  <c r="Q112" i="2"/>
  <c r="U112" i="2"/>
  <c r="D306" i="2"/>
  <c r="D305" i="2"/>
  <c r="E86" i="2"/>
  <c r="D289" i="2"/>
  <c r="E244" i="2"/>
  <c r="E245" i="2" s="1"/>
  <c r="D8" i="2"/>
  <c r="T8" i="2" s="1"/>
  <c r="D7" i="2"/>
  <c r="D98" i="2" s="1"/>
  <c r="D297" i="2"/>
  <c r="D298" i="2" s="1"/>
  <c r="D241" i="2"/>
  <c r="D243" i="2"/>
  <c r="I247" i="2" l="1"/>
  <c r="I248" i="2" s="1"/>
  <c r="Y246" i="2"/>
  <c r="H247" i="2"/>
  <c r="H248" i="2" s="1"/>
  <c r="X246" i="2"/>
  <c r="L247" i="2"/>
  <c r="L248" i="2" s="1"/>
  <c r="AB246" i="2"/>
  <c r="Q150" i="2"/>
  <c r="U150" i="2"/>
  <c r="R150" i="2" s="1"/>
  <c r="E87" i="2" a="1"/>
  <c r="E87" i="2" s="1"/>
  <c r="E92" i="2" a="1"/>
  <c r="E92" i="2" s="1"/>
  <c r="E90" i="2" a="1"/>
  <c r="E90" i="2" s="1"/>
  <c r="E89" i="2" a="1"/>
  <c r="E89" i="2" s="1"/>
  <c r="E88" i="2" a="1"/>
  <c r="E88" i="2" s="1"/>
  <c r="Q88" i="2" s="1"/>
  <c r="E91" i="2" a="1"/>
  <c r="E91" i="2" s="1"/>
  <c r="E85" i="2" a="1"/>
  <c r="E85" i="2" s="1"/>
  <c r="Q85" i="2" s="1"/>
  <c r="E84" i="2" a="1"/>
  <c r="E84" i="2" s="1"/>
  <c r="U84" i="2" s="1"/>
  <c r="E82" i="2" a="1"/>
  <c r="E82" i="2" s="1"/>
  <c r="U82" i="2" s="1"/>
  <c r="E79" i="2" a="1"/>
  <c r="E79" i="2" s="1"/>
  <c r="Q79" i="2" s="1"/>
  <c r="E83" i="2" a="1"/>
  <c r="E83" i="2" s="1"/>
  <c r="Q83" i="2" s="1"/>
  <c r="E81" i="2" a="1"/>
  <c r="E81" i="2" s="1"/>
  <c r="E80" i="2" a="1"/>
  <c r="E80" i="2" s="1"/>
  <c r="U114" i="2"/>
  <c r="Q126" i="2"/>
  <c r="G247" i="2"/>
  <c r="G248" i="2" s="1"/>
  <c r="T98" i="2"/>
  <c r="D99" i="2"/>
  <c r="T99" i="2" s="1"/>
  <c r="D100" i="2"/>
  <c r="T100" i="2" s="1"/>
  <c r="D170" i="2"/>
  <c r="D133" i="2"/>
  <c r="D136" i="2"/>
  <c r="D151" i="2"/>
  <c r="D201" i="2"/>
  <c r="D202" i="2" s="1"/>
  <c r="V121" i="2"/>
  <c r="V126" i="2"/>
  <c r="V113" i="2"/>
  <c r="V114" i="2"/>
  <c r="V86" i="2"/>
  <c r="V88" i="2"/>
  <c r="V83" i="2"/>
  <c r="V81" i="2"/>
  <c r="V82" i="2"/>
  <c r="V80" i="2"/>
  <c r="V84" i="2"/>
  <c r="V78" i="2"/>
  <c r="D307" i="2"/>
  <c r="O306" i="2" s="1"/>
  <c r="V230" i="2"/>
  <c r="V246" i="2"/>
  <c r="F248" i="2"/>
  <c r="E293" i="2"/>
  <c r="Q293" i="2" s="1"/>
  <c r="U291" i="2"/>
  <c r="R291" i="2" s="1"/>
  <c r="V87" i="2"/>
  <c r="V92" i="2"/>
  <c r="V90" i="2"/>
  <c r="V124" i="2"/>
  <c r="V127" i="2"/>
  <c r="V125" i="2"/>
  <c r="V122" i="2"/>
  <c r="V123" i="2"/>
  <c r="V91" i="2"/>
  <c r="V89" i="2"/>
  <c r="R109" i="2"/>
  <c r="E292" i="2"/>
  <c r="Q292" i="2" s="1"/>
  <c r="Q230" i="2"/>
  <c r="U230" i="2"/>
  <c r="H222" i="2"/>
  <c r="Q78" i="2"/>
  <c r="U78" i="2"/>
  <c r="U244" i="2"/>
  <c r="Q244" i="2"/>
  <c r="I222" i="2"/>
  <c r="F222" i="2"/>
  <c r="V216" i="2"/>
  <c r="Q121" i="2"/>
  <c r="U121" i="2"/>
  <c r="L222" i="2"/>
  <c r="Q113" i="2"/>
  <c r="U113" i="2"/>
  <c r="R110" i="2"/>
  <c r="Q86" i="2"/>
  <c r="U86" i="2"/>
  <c r="U216" i="2"/>
  <c r="Q216" i="2"/>
  <c r="D156" i="2"/>
  <c r="T7" i="2"/>
  <c r="P306" i="2"/>
  <c r="Q307" i="2"/>
  <c r="V85" i="2"/>
  <c r="V79" i="2"/>
  <c r="V115" i="2"/>
  <c r="V119" i="2"/>
  <c r="V116" i="2"/>
  <c r="V118" i="2"/>
  <c r="D26" i="2"/>
  <c r="D34" i="2" s="1"/>
  <c r="D287" i="2"/>
  <c r="T287" i="2" s="1"/>
  <c r="D9" i="2"/>
  <c r="D96" i="2" l="1"/>
  <c r="D131" i="2"/>
  <c r="D38" i="2"/>
  <c r="D39" i="2" s="1"/>
  <c r="T39" i="2" s="1"/>
  <c r="D171" i="2"/>
  <c r="T171" i="2" s="1"/>
  <c r="D175" i="2"/>
  <c r="T175" i="2" s="1"/>
  <c r="D173" i="2"/>
  <c r="T173" i="2" s="1"/>
  <c r="D174" i="2"/>
  <c r="T174" i="2" s="1"/>
  <c r="D172" i="2"/>
  <c r="T172" i="2" s="1"/>
  <c r="D164" i="2"/>
  <c r="D153" i="2"/>
  <c r="T153" i="2" s="1"/>
  <c r="D154" i="2"/>
  <c r="T154" i="2" s="1"/>
  <c r="T133" i="2"/>
  <c r="D134" i="2"/>
  <c r="T134" i="2" s="1"/>
  <c r="D135" i="2"/>
  <c r="T135" i="2" s="1"/>
  <c r="D152" i="2"/>
  <c r="T152" i="2" s="1"/>
  <c r="T151" i="2"/>
  <c r="D157" i="2"/>
  <c r="T155" i="2"/>
  <c r="D205" i="2"/>
  <c r="D206" i="2"/>
  <c r="T201" i="2"/>
  <c r="D204" i="2"/>
  <c r="D203" i="2"/>
  <c r="U126" i="2"/>
  <c r="D137" i="2"/>
  <c r="T137" i="2" s="1"/>
  <c r="D138" i="2"/>
  <c r="Q114" i="2"/>
  <c r="U88" i="2"/>
  <c r="Q80" i="2"/>
  <c r="U80" i="2"/>
  <c r="Q82" i="2"/>
  <c r="D54" i="2"/>
  <c r="T54" i="2" s="1"/>
  <c r="D61" i="2"/>
  <c r="T61" i="2" s="1"/>
  <c r="D57" i="2"/>
  <c r="T57" i="2" s="1"/>
  <c r="D60" i="2"/>
  <c r="T60" i="2" s="1"/>
  <c r="D56" i="2"/>
  <c r="T56" i="2" s="1"/>
  <c r="D59" i="2"/>
  <c r="T59" i="2" s="1"/>
  <c r="D55" i="2"/>
  <c r="T55" i="2" s="1"/>
  <c r="D58" i="2"/>
  <c r="T58" i="2" s="1"/>
  <c r="D45" i="2"/>
  <c r="T45" i="2" s="1"/>
  <c r="D43" i="2"/>
  <c r="T43" i="2" s="1"/>
  <c r="D41" i="2"/>
  <c r="T41" i="2" s="1"/>
  <c r="D13" i="2"/>
  <c r="D142" i="2" s="1"/>
  <c r="D150" i="2" s="1"/>
  <c r="D20" i="2"/>
  <c r="D19" i="2"/>
  <c r="D17" i="2"/>
  <c r="T17" i="2" s="1"/>
  <c r="D16" i="2"/>
  <c r="D230" i="2" s="1"/>
  <c r="D235" i="2" s="1"/>
  <c r="D14" i="2"/>
  <c r="D18" i="2"/>
  <c r="D15" i="2"/>
  <c r="D37" i="2"/>
  <c r="T37" i="2" s="1"/>
  <c r="D35" i="2"/>
  <c r="T32" i="2"/>
  <c r="D33" i="2"/>
  <c r="R230" i="2"/>
  <c r="M319" i="2"/>
  <c r="AC319" i="2" s="1"/>
  <c r="M324" i="2"/>
  <c r="AC324" i="2" s="1"/>
  <c r="J322" i="2"/>
  <c r="J319" i="2"/>
  <c r="Z319" i="2" s="1"/>
  <c r="J324" i="2"/>
  <c r="Z324" i="2" s="1"/>
  <c r="J327" i="2"/>
  <c r="G236" i="2"/>
  <c r="G237" i="2" s="1"/>
  <c r="F236" i="2"/>
  <c r="F237" i="2" s="1"/>
  <c r="V235" i="2"/>
  <c r="I236" i="2"/>
  <c r="I237" i="2" s="1"/>
  <c r="H236" i="2"/>
  <c r="H237" i="2" s="1"/>
  <c r="L236" i="2"/>
  <c r="L237" i="2" s="1"/>
  <c r="F223" i="2"/>
  <c r="D185" i="2"/>
  <c r="D200" i="2" s="1"/>
  <c r="D253" i="2"/>
  <c r="D254" i="2" s="1"/>
  <c r="D259" i="2" s="1"/>
  <c r="D261" i="2" s="1"/>
  <c r="V190" i="2"/>
  <c r="V189" i="2"/>
  <c r="V188" i="2"/>
  <c r="V187" i="2"/>
  <c r="Q184" i="2"/>
  <c r="D184" i="2" s="1"/>
  <c r="Q183" i="2"/>
  <c r="V117" i="2"/>
  <c r="V120" i="2"/>
  <c r="V186" i="2"/>
  <c r="V195" i="2"/>
  <c r="V199" i="2"/>
  <c r="V192" i="2"/>
  <c r="V196" i="2"/>
  <c r="V198" i="2"/>
  <c r="V193" i="2"/>
  <c r="T170" i="2"/>
  <c r="T207" i="2"/>
  <c r="T208" i="2"/>
  <c r="T9" i="2"/>
  <c r="U83" i="2"/>
  <c r="T26" i="2"/>
  <c r="U85" i="2"/>
  <c r="Q84" i="2"/>
  <c r="U79" i="2"/>
  <c r="V221" i="2"/>
  <c r="U87" i="2"/>
  <c r="Q87" i="2"/>
  <c r="U123" i="2"/>
  <c r="Q123" i="2"/>
  <c r="Q90" i="2"/>
  <c r="U90" i="2"/>
  <c r="Q91" i="2"/>
  <c r="U91" i="2"/>
  <c r="U92" i="2"/>
  <c r="Q92" i="2"/>
  <c r="Q115" i="2"/>
  <c r="U115" i="2"/>
  <c r="Q245" i="2"/>
  <c r="U245" i="2"/>
  <c r="Q117" i="2"/>
  <c r="U117" i="2"/>
  <c r="Q81" i="2"/>
  <c r="U81" i="2"/>
  <c r="Q118" i="2"/>
  <c r="U118" i="2"/>
  <c r="Q116" i="2"/>
  <c r="U116" i="2"/>
  <c r="Q124" i="2"/>
  <c r="U124" i="2"/>
  <c r="Q119" i="2"/>
  <c r="U119" i="2"/>
  <c r="U122" i="2"/>
  <c r="Q122" i="2"/>
  <c r="Q89" i="2"/>
  <c r="U89" i="2"/>
  <c r="Q125" i="2"/>
  <c r="U125" i="2"/>
  <c r="Q120" i="2"/>
  <c r="U120" i="2"/>
  <c r="U127" i="2"/>
  <c r="Q127" i="2"/>
  <c r="T136" i="2"/>
  <c r="D27" i="2"/>
  <c r="D65" i="2"/>
  <c r="D272" i="2"/>
  <c r="T272" i="2" s="1"/>
  <c r="D288" i="2"/>
  <c r="D290" i="2"/>
  <c r="T290" i="2" s="1"/>
  <c r="D269" i="2"/>
  <c r="T269" i="2" s="1"/>
  <c r="D270" i="2"/>
  <c r="D10" i="2"/>
  <c r="D255" i="2" l="1"/>
  <c r="T255" i="2" s="1"/>
  <c r="T254" i="2"/>
  <c r="D256" i="2"/>
  <c r="T256" i="2" s="1"/>
  <c r="D258" i="2"/>
  <c r="T258" i="2" s="1"/>
  <c r="D257" i="2"/>
  <c r="T257" i="2" s="1"/>
  <c r="D149" i="2"/>
  <c r="D176" i="2"/>
  <c r="D177" i="2"/>
  <c r="D165" i="2"/>
  <c r="T165" i="2" s="1"/>
  <c r="T138" i="2"/>
  <c r="T253" i="2"/>
  <c r="D72" i="2"/>
  <c r="D97" i="2" s="1"/>
  <c r="D216" i="2"/>
  <c r="D221" i="2" s="1"/>
  <c r="D76" i="2"/>
  <c r="D77" i="2" s="1"/>
  <c r="D146" i="2"/>
  <c r="D107" i="2"/>
  <c r="D132" i="2" s="1"/>
  <c r="T132" i="2" s="1"/>
  <c r="D144" i="2"/>
  <c r="D111" i="2"/>
  <c r="D112" i="2" s="1"/>
  <c r="D67" i="2"/>
  <c r="D68" i="2"/>
  <c r="T65" i="2"/>
  <c r="D66" i="2"/>
  <c r="D29" i="2"/>
  <c r="T29" i="2" s="1"/>
  <c r="D31" i="2"/>
  <c r="T31" i="2" s="1"/>
  <c r="T38" i="2"/>
  <c r="T288" i="2"/>
  <c r="D197" i="2"/>
  <c r="T197" i="2" s="1"/>
  <c r="D191" i="2"/>
  <c r="T191" i="2" s="1"/>
  <c r="D194" i="2"/>
  <c r="T194" i="2" s="1"/>
  <c r="D208" i="2"/>
  <c r="D209" i="2"/>
  <c r="T209" i="2" s="1"/>
  <c r="D207" i="2"/>
  <c r="T156" i="2"/>
  <c r="Q198" i="2"/>
  <c r="D198" i="2" s="1"/>
  <c r="U198" i="2"/>
  <c r="Q186" i="2"/>
  <c r="D186" i="2" s="1"/>
  <c r="U186" i="2"/>
  <c r="Q187" i="2"/>
  <c r="D187" i="2" s="1"/>
  <c r="U187" i="2"/>
  <c r="Q188" i="2"/>
  <c r="D188" i="2" s="1"/>
  <c r="U188" i="2"/>
  <c r="Q189" i="2"/>
  <c r="D189" i="2" s="1"/>
  <c r="U189" i="2"/>
  <c r="Q190" i="2"/>
  <c r="D190" i="2" s="1"/>
  <c r="U190" i="2"/>
  <c r="Q192" i="2"/>
  <c r="D192" i="2" s="1"/>
  <c r="U192" i="2"/>
  <c r="Q193" i="2"/>
  <c r="D193" i="2" s="1"/>
  <c r="U193" i="2"/>
  <c r="Q195" i="2"/>
  <c r="D195" i="2" s="1"/>
  <c r="U195" i="2"/>
  <c r="Q196" i="2"/>
  <c r="D196" i="2" s="1"/>
  <c r="U196" i="2"/>
  <c r="Q199" i="2"/>
  <c r="D199" i="2" s="1"/>
  <c r="U199" i="2"/>
  <c r="T164" i="2"/>
  <c r="T27" i="2"/>
  <c r="D148" i="2"/>
  <c r="T13" i="2"/>
  <c r="D273" i="2"/>
  <c r="T270" i="2"/>
  <c r="T35" i="2"/>
  <c r="T34" i="2"/>
  <c r="D244" i="2"/>
  <c r="H223" i="2"/>
  <c r="L223" i="2"/>
  <c r="D271" i="2"/>
  <c r="D275" i="2"/>
  <c r="D291" i="2"/>
  <c r="D292" i="2" s="1"/>
  <c r="J65" i="9"/>
  <c r="J62" i="9"/>
  <c r="J68" i="9"/>
  <c r="J66" i="9"/>
  <c r="J64" i="9"/>
  <c r="J61" i="9"/>
  <c r="J59" i="9"/>
  <c r="J67" i="9"/>
  <c r="J63" i="9"/>
  <c r="J60" i="9"/>
  <c r="D130" i="2" l="1"/>
  <c r="D95" i="2"/>
  <c r="T95" i="2" s="1"/>
  <c r="D260" i="2"/>
  <c r="T244" i="2"/>
  <c r="D245" i="2"/>
  <c r="D94" i="2"/>
  <c r="D93" i="2"/>
  <c r="T93" i="2" s="1"/>
  <c r="D128" i="2"/>
  <c r="D129" i="2"/>
  <c r="D109" i="2"/>
  <c r="D113" i="2" s="1"/>
  <c r="D108" i="2"/>
  <c r="D110" i="2"/>
  <c r="T142" i="2"/>
  <c r="D143" i="2"/>
  <c r="D178" i="2"/>
  <c r="T178" i="2" s="1"/>
  <c r="T148" i="2"/>
  <c r="T291" i="2"/>
  <c r="D278" i="2"/>
  <c r="T278" i="2" s="1"/>
  <c r="T275" i="2"/>
  <c r="D276" i="2"/>
  <c r="T276" i="2" s="1"/>
  <c r="T273" i="2"/>
  <c r="D274" i="2"/>
  <c r="T271" i="2"/>
  <c r="I223" i="2"/>
  <c r="G223" i="2"/>
  <c r="U69" i="9"/>
  <c r="J12" i="9"/>
  <c r="D121" i="2" l="1"/>
  <c r="D123" i="2" s="1"/>
  <c r="D115" i="2"/>
  <c r="D118" i="2"/>
  <c r="D114" i="2"/>
  <c r="D117" i="2"/>
  <c r="D120" i="2"/>
  <c r="D119" i="2"/>
  <c r="D116" i="2"/>
  <c r="T143" i="2"/>
  <c r="T202" i="2"/>
  <c r="T203" i="2"/>
  <c r="T204" i="2"/>
  <c r="T206" i="2"/>
  <c r="T205" i="2"/>
  <c r="D246" i="2"/>
  <c r="T245" i="2"/>
  <c r="D277" i="2"/>
  <c r="T274" i="2"/>
  <c r="D126" i="2" l="1"/>
  <c r="D122" i="2"/>
  <c r="D124" i="2"/>
  <c r="D125" i="2"/>
  <c r="D127" i="2"/>
  <c r="T150" i="2" s="1"/>
  <c r="T246" i="2"/>
  <c r="T277" i="2"/>
  <c r="D279" i="2"/>
  <c r="D293" i="2"/>
  <c r="T279" i="2" l="1"/>
  <c r="R164" i="2" l="1"/>
  <c r="R205" i="2"/>
  <c r="R202" i="2"/>
  <c r="R204" i="2"/>
  <c r="R203" i="2"/>
  <c r="R170" i="2"/>
  <c r="R208" i="2"/>
  <c r="R209" i="2"/>
  <c r="R207" i="2"/>
  <c r="R175" i="2"/>
  <c r="R174" i="2"/>
  <c r="R173" i="2"/>
  <c r="R171" i="2"/>
  <c r="R172" i="2"/>
  <c r="R167" i="2"/>
  <c r="R165" i="2"/>
  <c r="R168" i="2"/>
  <c r="R169" i="2"/>
  <c r="R178" i="2"/>
  <c r="T19" i="2"/>
  <c r="T18" i="2"/>
  <c r="T15" i="2"/>
  <c r="T14" i="2"/>
  <c r="T20" i="2"/>
  <c r="E235" i="2" l="1"/>
  <c r="R72" i="2"/>
  <c r="E246" i="2"/>
  <c r="R244" i="2"/>
  <c r="R112" i="2"/>
  <c r="R111" i="2"/>
  <c r="R77" i="2"/>
  <c r="R76" i="2"/>
  <c r="T16" i="2"/>
  <c r="R73" i="2"/>
  <c r="R74" i="2"/>
  <c r="R75" i="2"/>
  <c r="D147" i="2"/>
  <c r="T107" i="2"/>
  <c r="T144" i="2" l="1"/>
  <c r="D145" i="2"/>
  <c r="T145" i="2" s="1"/>
  <c r="D75" i="2"/>
  <c r="D73" i="2"/>
  <c r="D74" i="2"/>
  <c r="T72" i="2"/>
  <c r="E237" i="2"/>
  <c r="E236" i="2"/>
  <c r="D236" i="2" s="1"/>
  <c r="T111" i="2"/>
  <c r="T112" i="2"/>
  <c r="T76" i="2"/>
  <c r="T77" i="2"/>
  <c r="U235" i="2"/>
  <c r="R235" i="2" s="1"/>
  <c r="Q235" i="2"/>
  <c r="R216" i="2"/>
  <c r="E247" i="2"/>
  <c r="D247" i="2" s="1"/>
  <c r="R245" i="2"/>
  <c r="T147" i="2"/>
  <c r="T146" i="2"/>
  <c r="T128" i="2"/>
  <c r="T130" i="2"/>
  <c r="T108" i="2"/>
  <c r="T109" i="2"/>
  <c r="T110" i="2"/>
  <c r="T74" i="2" l="1"/>
  <c r="T97" i="2"/>
  <c r="T75" i="2"/>
  <c r="T73" i="2"/>
  <c r="D248" i="2"/>
  <c r="R121" i="2"/>
  <c r="R126" i="2"/>
  <c r="R113" i="2"/>
  <c r="R114" i="2"/>
  <c r="R86" i="2"/>
  <c r="R88" i="2"/>
  <c r="R83" i="2"/>
  <c r="R82" i="2"/>
  <c r="R81" i="2"/>
  <c r="R80" i="2"/>
  <c r="R84" i="2"/>
  <c r="R78" i="2"/>
  <c r="Q236" i="2"/>
  <c r="Q237" i="2"/>
  <c r="Q247" i="2"/>
  <c r="R119" i="2"/>
  <c r="R118" i="2"/>
  <c r="R116" i="2"/>
  <c r="R115" i="2"/>
  <c r="R85" i="2"/>
  <c r="R79" i="2"/>
  <c r="R124" i="2"/>
  <c r="R123" i="2"/>
  <c r="R122" i="2"/>
  <c r="R125" i="2"/>
  <c r="R127" i="2"/>
  <c r="R92" i="2"/>
  <c r="R91" i="2"/>
  <c r="R90" i="2"/>
  <c r="R89" i="2"/>
  <c r="R87" i="2"/>
  <c r="D78" i="2"/>
  <c r="D86" i="2"/>
  <c r="T126" i="2" l="1"/>
  <c r="T122" i="2"/>
  <c r="T123" i="2"/>
  <c r="T127" i="2"/>
  <c r="T124" i="2"/>
  <c r="T125" i="2"/>
  <c r="D85" i="2"/>
  <c r="T85" i="2" s="1"/>
  <c r="T116" i="2"/>
  <c r="T115" i="2"/>
  <c r="T119" i="2"/>
  <c r="T114" i="2"/>
  <c r="T118" i="2"/>
  <c r="T121" i="2"/>
  <c r="T113" i="2"/>
  <c r="T86" i="2"/>
  <c r="D88" i="2"/>
  <c r="T88" i="2" s="1"/>
  <c r="D83" i="2"/>
  <c r="T83" i="2" s="1"/>
  <c r="D84" i="2"/>
  <c r="T84" i="2" s="1"/>
  <c r="D81" i="2"/>
  <c r="T81" i="2" s="1"/>
  <c r="D82" i="2"/>
  <c r="T82" i="2" s="1"/>
  <c r="D80" i="2"/>
  <c r="T80" i="2" s="1"/>
  <c r="T78" i="2"/>
  <c r="U221" i="2"/>
  <c r="R221" i="2" s="1"/>
  <c r="T216" i="2"/>
  <c r="Q221" i="2"/>
  <c r="R195" i="2"/>
  <c r="R199" i="2"/>
  <c r="R198" i="2"/>
  <c r="R196" i="2"/>
  <c r="R193" i="2"/>
  <c r="R192" i="2"/>
  <c r="R190" i="2"/>
  <c r="R189" i="2"/>
  <c r="R188" i="2"/>
  <c r="R187" i="2"/>
  <c r="R186" i="2"/>
  <c r="R117" i="2"/>
  <c r="R120" i="2"/>
  <c r="Q246" i="2"/>
  <c r="U246" i="2"/>
  <c r="R246" i="2" s="1"/>
  <c r="T230" i="2"/>
  <c r="D79" i="2"/>
  <c r="T79" i="2" s="1"/>
  <c r="D89" i="2"/>
  <c r="T89" i="2" s="1"/>
  <c r="D91" i="2"/>
  <c r="T91" i="2" s="1"/>
  <c r="D92" i="2"/>
  <c r="T92" i="2" s="1"/>
  <c r="D90" i="2"/>
  <c r="T90" i="2" s="1"/>
  <c r="D87" i="2"/>
  <c r="T87" i="2" s="1"/>
  <c r="E248" i="2" l="1"/>
  <c r="T235" i="2"/>
  <c r="T120" i="2"/>
  <c r="T199" i="2"/>
  <c r="T198" i="2"/>
  <c r="T196" i="2"/>
  <c r="T195" i="2"/>
  <c r="T200" i="2"/>
  <c r="T192" i="2"/>
  <c r="T193" i="2"/>
  <c r="T186" i="2"/>
  <c r="T189" i="2"/>
  <c r="T187" i="2"/>
  <c r="T188" i="2"/>
  <c r="T190" i="2"/>
  <c r="T117" i="2"/>
  <c r="T221" i="2"/>
  <c r="D237" i="2"/>
  <c r="Q248" i="2" l="1"/>
  <c r="E222" i="2"/>
  <c r="D222" i="2" s="1"/>
  <c r="D223" i="2" s="1"/>
  <c r="Q222" i="2" l="1"/>
  <c r="E223" i="2"/>
  <c r="L279" i="2"/>
  <c r="AB279" i="2" s="1"/>
  <c r="G279" i="2"/>
  <c r="W279" i="2" s="1"/>
  <c r="H279" i="2"/>
  <c r="X279" i="2" s="1"/>
  <c r="F279" i="2"/>
  <c r="I279" i="2"/>
  <c r="Y279" i="2" s="1"/>
  <c r="H319" i="2" l="1"/>
  <c r="X319" i="2" s="1"/>
  <c r="H324" i="2"/>
  <c r="X324" i="2" s="1"/>
  <c r="I319" i="2"/>
  <c r="Y319" i="2" s="1"/>
  <c r="I324" i="2"/>
  <c r="Y324" i="2" s="1"/>
  <c r="G319" i="2"/>
  <c r="W319" i="2" s="1"/>
  <c r="G324" i="2"/>
  <c r="W324" i="2" s="1"/>
  <c r="F319" i="2"/>
  <c r="V319" i="2" s="1"/>
  <c r="F324" i="2"/>
  <c r="V324" i="2" s="1"/>
  <c r="L319" i="2"/>
  <c r="AB319" i="2" s="1"/>
  <c r="L324" i="2"/>
  <c r="AB324" i="2" s="1"/>
  <c r="D324" i="2"/>
  <c r="T324" i="2" s="1"/>
  <c r="D319" i="2"/>
  <c r="T319" i="2" s="1"/>
  <c r="I280" i="2"/>
  <c r="F280" i="2"/>
  <c r="H280" i="2"/>
  <c r="G280" i="2"/>
  <c r="L280" i="2"/>
  <c r="Q223" i="2"/>
  <c r="V279" i="2"/>
  <c r="E279" i="2"/>
  <c r="M281" i="2"/>
  <c r="E319" i="2" l="1"/>
  <c r="E324" i="2"/>
  <c r="M327" i="2"/>
  <c r="M322" i="2"/>
  <c r="D280" i="2"/>
  <c r="U279" i="2"/>
  <c r="R279" i="2" s="1"/>
  <c r="Q279" i="2"/>
  <c r="I281" i="2"/>
  <c r="H281" i="2"/>
  <c r="L281" i="2"/>
  <c r="E280" i="2"/>
  <c r="F281" i="2"/>
  <c r="G281" i="2"/>
  <c r="T68" i="2"/>
  <c r="G322" i="2" l="1"/>
  <c r="G327" i="2"/>
  <c r="H322" i="2"/>
  <c r="H327" i="2"/>
  <c r="F322" i="2"/>
  <c r="F327" i="2"/>
  <c r="I322" i="2"/>
  <c r="I327" i="2"/>
  <c r="L327" i="2"/>
  <c r="L322" i="2"/>
  <c r="D281" i="2"/>
  <c r="Q319" i="2"/>
  <c r="U319" i="2"/>
  <c r="R319" i="2" s="1"/>
  <c r="Q324" i="2"/>
  <c r="U324" i="2"/>
  <c r="R324" i="2" s="1"/>
  <c r="Q280" i="2"/>
  <c r="E281" i="2"/>
  <c r="T67" i="2"/>
  <c r="T66" i="2"/>
  <c r="E322" i="2" l="1"/>
  <c r="Q322" i="2" s="1"/>
  <c r="E327" i="2"/>
  <c r="Q327" i="2" s="1"/>
  <c r="D322" i="2"/>
  <c r="D327" i="2"/>
  <c r="Q281" i="2"/>
  <c r="T33" i="2"/>
  <c r="D214" i="2" l="1"/>
  <c r="D242" i="2" l="1"/>
  <c r="T157" i="2"/>
  <c r="B9" i="16" l="1"/>
  <c r="D8" i="1" l="1"/>
  <c r="D30" i="1" s="1"/>
  <c r="T185" i="2"/>
  <c r="AC185" i="2"/>
  <c r="Q182" i="2"/>
  <c r="U185" i="2"/>
  <c r="Q185" i="2"/>
  <c r="V185" i="2"/>
  <c r="D31" i="1" l="1"/>
  <c r="D32" i="1"/>
  <c r="D24" i="1"/>
  <c r="D36" i="1"/>
  <c r="D51" i="1"/>
  <c r="D44" i="1"/>
  <c r="D18" i="1"/>
  <c r="D12" i="1"/>
  <c r="D40" i="1"/>
  <c r="D42" i="1" s="1"/>
  <c r="R185" i="2"/>
  <c r="AC211" i="2"/>
  <c r="T211" i="2"/>
  <c r="V211" i="2"/>
  <c r="U211" i="2"/>
  <c r="R211" i="2" s="1"/>
  <c r="Q211" i="2"/>
  <c r="D52" i="1" l="1"/>
  <c r="D53" i="1"/>
  <c r="D45" i="1"/>
  <c r="D46" i="1"/>
  <c r="D41" i="1"/>
  <c r="D37" i="1"/>
  <c r="D38" i="1"/>
  <c r="D25" i="1"/>
  <c r="D26" i="1"/>
  <c r="D19" i="1"/>
  <c r="D20" i="1"/>
  <c r="D14" i="1"/>
  <c r="D13" i="1"/>
  <c r="D61" i="1" l="1"/>
  <c r="D62" i="1"/>
  <c r="D58" i="1"/>
  <c r="D59" i="1"/>
  <c r="D228" i="2"/>
  <c r="F228" i="2"/>
  <c r="I228" i="2"/>
  <c r="J228" i="2"/>
  <c r="H228" i="2"/>
  <c r="E228" i="2"/>
  <c r="Q228" i="2" s="1"/>
  <c r="L228" i="2"/>
  <c r="G228" i="2"/>
  <c r="M228" i="2"/>
  <c r="E231" i="2"/>
  <c r="Q231" i="2" s="1"/>
  <c r="I231" i="2"/>
  <c r="Y231" i="2" s="1"/>
  <c r="M231" i="2"/>
  <c r="M232" i="2" s="1"/>
  <c r="G231" i="2"/>
  <c r="W231" i="2" s="1"/>
  <c r="D231" i="2"/>
  <c r="D232" i="2" s="1"/>
  <c r="J231" i="2"/>
  <c r="Z231" i="2" s="1"/>
  <c r="L231" i="2"/>
  <c r="AB231" i="2" s="1"/>
  <c r="H231" i="2"/>
  <c r="X231" i="2" s="1"/>
  <c r="F231" i="2"/>
  <c r="V231" i="2" s="1"/>
  <c r="F232" i="2" l="1"/>
  <c r="V232" i="2" s="1"/>
  <c r="T231" i="2"/>
  <c r="I232" i="2"/>
  <c r="Y232" i="2" s="1"/>
  <c r="AC231" i="2"/>
  <c r="AC232" i="2"/>
  <c r="M233" i="2"/>
  <c r="M314" i="2"/>
  <c r="AC314" i="2" s="1"/>
  <c r="D314" i="2"/>
  <c r="T314" i="2" s="1"/>
  <c r="T232" i="2"/>
  <c r="L232" i="2"/>
  <c r="AB232" i="2" s="1"/>
  <c r="J232" i="2"/>
  <c r="Z232" i="2" s="1"/>
  <c r="G232" i="2"/>
  <c r="W232" i="2" s="1"/>
  <c r="U231" i="2"/>
  <c r="H232" i="2"/>
  <c r="X232" i="2" s="1"/>
  <c r="F233" i="2" l="1"/>
  <c r="R231" i="2"/>
  <c r="F314" i="2"/>
  <c r="V314" i="2" s="1"/>
  <c r="I233" i="2"/>
  <c r="I314" i="2"/>
  <c r="Y314" i="2" s="1"/>
  <c r="M234" i="2"/>
  <c r="M317" i="2" s="1"/>
  <c r="G314" i="2"/>
  <c r="W314" i="2" s="1"/>
  <c r="G233" i="2"/>
  <c r="J314" i="2"/>
  <c r="Z314" i="2" s="1"/>
  <c r="J233" i="2"/>
  <c r="H314" i="2"/>
  <c r="X314" i="2" s="1"/>
  <c r="H233" i="2"/>
  <c r="L314" i="2"/>
  <c r="AB314" i="2" s="1"/>
  <c r="L233" i="2"/>
  <c r="E232" i="2"/>
  <c r="F234" i="2" l="1"/>
  <c r="F317" i="2" s="1"/>
  <c r="I234" i="2"/>
  <c r="I317" i="2" s="1"/>
  <c r="H234" i="2"/>
  <c r="H317" i="2" s="1"/>
  <c r="J234" i="2"/>
  <c r="J317" i="2" s="1"/>
  <c r="E233" i="2"/>
  <c r="D233" i="2" s="1"/>
  <c r="Q232" i="2"/>
  <c r="U232" i="2"/>
  <c r="R232" i="2" s="1"/>
  <c r="E314" i="2"/>
  <c r="G234" i="2"/>
  <c r="G317" i="2" s="1"/>
  <c r="L234" i="2"/>
  <c r="L317" i="2" s="1"/>
  <c r="D234" i="2" l="1"/>
  <c r="D317" i="2" s="1"/>
  <c r="Q233" i="2"/>
  <c r="E234" i="2"/>
  <c r="Q314" i="2"/>
  <c r="U314" i="2"/>
  <c r="R314" i="2" s="1"/>
  <c r="Q234" i="2" l="1"/>
  <c r="E317" i="2"/>
  <c r="Q317" i="2" s="1"/>
  <c r="E217" i="2"/>
  <c r="U217" i="2" s="1"/>
  <c r="L217" i="2"/>
  <c r="H217" i="2"/>
  <c r="G217" i="2"/>
  <c r="I217" i="2"/>
  <c r="D217" i="2"/>
  <c r="T217" i="2" s="1"/>
  <c r="J217" i="2"/>
  <c r="Z217" i="2" s="1"/>
  <c r="F217" i="2"/>
  <c r="V217" i="2" s="1"/>
  <c r="M217" i="2"/>
  <c r="M218" i="2" s="1"/>
  <c r="I218" i="2" l="1"/>
  <c r="Y218" i="2" s="1"/>
  <c r="Y217" i="2"/>
  <c r="G218" i="2"/>
  <c r="W218" i="2" s="1"/>
  <c r="W217" i="2"/>
  <c r="H218" i="2"/>
  <c r="X218" i="2" s="1"/>
  <c r="X217" i="2"/>
  <c r="L218" i="2"/>
  <c r="AB218" i="2" s="1"/>
  <c r="AB217" i="2"/>
  <c r="Q217" i="2"/>
  <c r="AC218" i="2"/>
  <c r="M219" i="2"/>
  <c r="M309" i="2"/>
  <c r="AC309" i="2" s="1"/>
  <c r="I309" i="2"/>
  <c r="Y309" i="2" s="1"/>
  <c r="I219" i="2"/>
  <c r="G219" i="2"/>
  <c r="G309" i="2"/>
  <c r="W309" i="2" s="1"/>
  <c r="L309" i="2"/>
  <c r="AB309" i="2" s="1"/>
  <c r="L219" i="2"/>
  <c r="H219" i="2"/>
  <c r="H309" i="2"/>
  <c r="X309" i="2" s="1"/>
  <c r="D218" i="2"/>
  <c r="AC217" i="2"/>
  <c r="F218" i="2"/>
  <c r="J218" i="2"/>
  <c r="Z218" i="2" s="1"/>
  <c r="G220" i="2" l="1"/>
  <c r="G312" i="2" s="1"/>
  <c r="H220" i="2"/>
  <c r="H312" i="2" s="1"/>
  <c r="R217" i="2"/>
  <c r="J309" i="2"/>
  <c r="Z309" i="2" s="1"/>
  <c r="J219" i="2"/>
  <c r="L220" i="2"/>
  <c r="L312" i="2" s="1"/>
  <c r="T218" i="2"/>
  <c r="D309" i="2"/>
  <c r="T309" i="2" s="1"/>
  <c r="I220" i="2"/>
  <c r="I312" i="2" s="1"/>
  <c r="M220" i="2"/>
  <c r="M312" i="2" s="1"/>
  <c r="V218" i="2"/>
  <c r="F309" i="2"/>
  <c r="V309" i="2" s="1"/>
  <c r="F219" i="2"/>
  <c r="E218" i="2"/>
  <c r="J220" i="2" l="1"/>
  <c r="J312" i="2" s="1"/>
  <c r="F220" i="2"/>
  <c r="F312" i="2" s="1"/>
  <c r="E309" i="2"/>
  <c r="U218" i="2"/>
  <c r="R218" i="2" s="1"/>
  <c r="Q218" i="2"/>
  <c r="E219" i="2"/>
  <c r="D219" i="2" s="1"/>
  <c r="D220" i="2" l="1"/>
  <c r="D312" i="2" s="1"/>
  <c r="Q219" i="2"/>
  <c r="Q309" i="2"/>
  <c r="U309" i="2"/>
  <c r="R309" i="2" s="1"/>
  <c r="E220" i="2"/>
  <c r="E312" i="2" l="1"/>
  <c r="Q312" i="2" s="1"/>
  <c r="Q220" i="2"/>
  <c r="U166" i="2" l="1"/>
  <c r="Q166" i="2"/>
  <c r="AC166" i="2"/>
  <c r="V166" i="2"/>
  <c r="D166" i="2" l="1"/>
  <c r="D169" i="2" s="1"/>
  <c r="R166" i="2"/>
  <c r="D167" i="2" l="1"/>
  <c r="T167" i="2" s="1"/>
  <c r="T169" i="2"/>
  <c r="D168" i="2"/>
  <c r="T168" i="2" s="1"/>
  <c r="T166" i="2"/>
  <c r="D299" i="2" l="1"/>
  <c r="D301" i="2" s="1"/>
  <c r="O300" i="2" s="1"/>
  <c r="E299" i="2"/>
  <c r="E301" i="2" s="1"/>
  <c r="Q301" i="2" s="1"/>
  <c r="M299" i="2"/>
  <c r="M301" i="2" s="1"/>
  <c r="Q299" i="2" l="1"/>
  <c r="P300" i="2"/>
  <c r="K326" i="2" l="1"/>
  <c r="K321" i="2"/>
  <c r="K316" i="2"/>
  <c r="K311" i="2"/>
  <c r="K320" i="2"/>
  <c r="K325" i="2"/>
  <c r="K310" i="2"/>
  <c r="K315" i="2"/>
  <c r="H310" i="2"/>
  <c r="D320" i="2"/>
  <c r="E321" i="2"/>
  <c r="Q321" i="2" s="1"/>
  <c r="L321" i="2"/>
  <c r="G320" i="2"/>
  <c r="J325" i="2"/>
  <c r="F315" i="2"/>
  <c r="J320" i="2"/>
  <c r="J326" i="2"/>
  <c r="F320" i="2"/>
  <c r="G326" i="2"/>
  <c r="G325" i="2"/>
  <c r="F310" i="2"/>
  <c r="I326" i="2"/>
  <c r="M321" i="2"/>
  <c r="F326" i="2"/>
  <c r="L310" i="2"/>
  <c r="D325" i="2"/>
  <c r="M316" i="2"/>
  <c r="J311" i="2"/>
  <c r="G311" i="2"/>
  <c r="E316" i="2"/>
  <c r="Q316" i="2" s="1"/>
  <c r="D316" i="2"/>
  <c r="L315" i="2"/>
  <c r="M326" i="2"/>
  <c r="L316" i="2"/>
  <c r="L320" i="2"/>
  <c r="J315" i="2"/>
  <c r="E326" i="2"/>
  <c r="Q326" i="2" s="1"/>
  <c r="H316" i="2"/>
  <c r="I321" i="2"/>
  <c r="H321" i="2"/>
  <c r="E320" i="2"/>
  <c r="Q320" i="2" s="1"/>
  <c r="G310" i="2"/>
  <c r="E311" i="2"/>
  <c r="Q311" i="2" s="1"/>
  <c r="J321" i="2"/>
  <c r="E315" i="2"/>
  <c r="Q315" i="2" s="1"/>
  <c r="L325" i="2"/>
  <c r="D311" i="2"/>
  <c r="I315" i="2"/>
  <c r="I316" i="2"/>
  <c r="H326" i="2"/>
  <c r="H315" i="2"/>
  <c r="D310" i="2"/>
  <c r="M311" i="2"/>
  <c r="F325" i="2"/>
  <c r="J310" i="2"/>
  <c r="G321" i="2"/>
  <c r="I320" i="2"/>
  <c r="M310" i="2"/>
  <c r="I310" i="2"/>
  <c r="F311" i="2"/>
  <c r="G316" i="2"/>
  <c r="L311" i="2"/>
  <c r="D315" i="2"/>
  <c r="H325" i="2"/>
  <c r="F321" i="2"/>
  <c r="J316" i="2"/>
  <c r="M325" i="2"/>
  <c r="I325" i="2"/>
  <c r="H320" i="2"/>
  <c r="E310" i="2"/>
  <c r="Q310" i="2" s="1"/>
  <c r="D326" i="2"/>
  <c r="M320" i="2"/>
  <c r="G315" i="2"/>
  <c r="H311" i="2"/>
  <c r="F316" i="2"/>
  <c r="M315" i="2"/>
  <c r="L326" i="2"/>
  <c r="I311" i="2"/>
  <c r="D321" i="2"/>
  <c r="E325" i="2"/>
  <c r="Q325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1" authorId="0" shapeId="0" xr:uid="{F44E4943-4FA3-4EDF-BFD8-8D5C4A5C7C70}">
      <text>
        <r>
          <rPr>
            <sz val="9"/>
            <color indexed="81"/>
            <rFont val="Tahoma"/>
            <family val="2"/>
          </rPr>
          <t xml:space="preserve">Make sure this includes a letter from "Everyone Else" AND Named Plaintiff(s), if they are part of Data Sample.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8" authorId="0" shapeId="0" xr:uid="{992E9FF7-A7FB-4E84-8232-52BC391DE55E}">
      <text>
        <r>
          <rPr>
            <sz val="9"/>
            <color indexed="81"/>
            <rFont val="Tahoma"/>
            <family val="2"/>
          </rPr>
          <t>...or date of complaint that initially brought the PAGA claim.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186582FF-3C36-4DDE-BBD1-E3DDE138B252}">
      <text>
        <r>
          <rPr>
            <sz val="9"/>
            <color indexed="81"/>
            <rFont val="Tahoma"/>
            <family val="2"/>
          </rPr>
          <t>Data -&gt; Data Validation -&gt; List -&gt; "=ID_Period_End"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9639AA-9397-4B50-8A57-DA06F1BA8590}" keepAlive="1" name="Query - All Time and Pay IDs" description="Connection to the 'All Time and Pay IDs' query in the workbook." type="5" refreshedVersion="8" background="1" saveData="1">
    <dbPr connection="Provider=Microsoft.Mashup.OleDb.1;Data Source=$Workbook$;Location=&quot;All Time and Pay IDs&quot;;Extended Properties=&quot;&quot;" command="SELECT * FROM [All Time and Pay IDs]"/>
  </connection>
  <connection id="2" xr16:uid="{B326DC93-4DFC-44E4-B67B-AD93AC3E816E}" keepAlive="1" name="Query - Analysis" description="Connection to the 'Analysis' query in the workbook." type="5" refreshedVersion="8" background="1" saveData="1">
    <dbPr connection="Provider=Microsoft.Mashup.OleDb.1;Data Source=$Workbook$;Location=Analysis;Extended Properties=&quot;&quot;" command="SELECT * FROM [Analysis]"/>
  </connection>
  <connection id="3" xr16:uid="{9AF003CA-0A60-47A6-9B77-94D0626371D8}" keepAlive="1" name="Query - Analysis Log" description="Connection to the 'Analysis Log' query in the workbook." type="5" refreshedVersion="8" background="1" saveData="1">
    <dbPr connection="Provider=Microsoft.Mashup.OleDb.1;Data Source=$Workbook$;Location=&quot;Analysis Log&quot;;Extended Properties=&quot;&quot;" command="SELECT * FROM [Analysis Log]"/>
  </connection>
  <connection id="4" xr16:uid="{2B2A32E9-60AE-456C-9A6C-748684483135}" keepAlive="1" name="Query - AWW Classifications" description="Connection to the 'AWW Classifications' query in the workbook." type="5" refreshedVersion="8" background="1" saveData="1">
    <dbPr connection="Provider=Microsoft.Mashup.OleDb.1;Data Source=$Workbook$;Location=&quot;AWW Classifications&quot;;Extended Properties=&quot;&quot;" command="SELECT * FROM [AWW Classifications]"/>
  </connection>
  <connection id="5" xr16:uid="{AB600678-55F0-4437-98CF-55CC06CA1E12}" keepAlive="1" name="Query - Data Comparison" description="Connection to the 'Data Comparison' query in the workbook." type="5" refreshedVersion="8" background="1" saveData="1">
    <dbPr connection="Provider=Microsoft.Mashup.OleDb.1;Data Source=$Workbook$;Location=&quot;Data Comparison&quot;;Extended Properties=&quot;&quot;" command="SELECT * FROM [Data Comparison]"/>
  </connection>
  <connection id="6" xr16:uid="{5DCF801B-4F08-4446-8026-5B76956386D1}" keepAlive="1" name="Query - EE_Lvl Metadata" description="Connection to the 'EE_Lvl Metadata' query in the workbook." type="5" refreshedVersion="0" background="1">
    <dbPr connection="Provider=Microsoft.Mashup.OleDb.1;Data Source=$Workbook$;Location=&quot;EE_Lvl Metadata&quot;;Extended Properties=&quot;&quot;" command="SELECT * FROM [EE_Lvl Metadata]"/>
  </connection>
  <connection id="7" xr16:uid="{346B71F6-5821-485F-A383-860804E4B03D}" keepAlive="1" name="Query - Employee Data" description="Connection to the 'Employee Data' query in the workbook." type="5" refreshedVersion="8" background="1" saveData="1">
    <dbPr connection="Provider=Microsoft.Mashup.OleDb.1;Data Source=$Workbook$;Location=&quot;Employee Data&quot;;Extended Properties=&quot;&quot;" command="SELECT * FROM [Employee Data]"/>
  </connection>
  <connection id="8" xr16:uid="{1364529A-E23E-4109-8021-9FEAACC1F2EF}" keepAlive="1" name="Query - Employee Pay Period Comparison" description="Connection to the 'Employee Pay Period Comparison' query in the workbook." type="5" refreshedVersion="8" background="1" saveData="1">
    <dbPr connection="Provider=Microsoft.Mashup.OleDb.1;Data Source=$Workbook$;Location=&quot;Employee Pay Period Comparison&quot;;Extended Properties=&quot;&quot;" command="SELECT * FROM [Employee Pay Period Comparison]"/>
  </connection>
  <connection id="9" xr16:uid="{1C0574CA-5F75-4CFF-8D6C-8BF99FF2CB67}" keepAlive="1" name="Query - FilePath" description="Connection to the 'FilePath' query in the workbook." type="5" refreshedVersion="0" background="1">
    <dbPr connection="Provider=Microsoft.Mashup.OleDb.1;Data Source=$Workbook$;Location=FilePath;Extended Properties=&quot;&quot;" command="SELECT * FROM [FilePath]"/>
  </connection>
  <connection id="10" xr16:uid="{BF050BEC-E1DF-4ADC-8556-67037CEA1DAB}" keepAlive="1" name="Query - IDs &amp; Rcds Removed" description="Connection to the 'IDs &amp; Rcds Removed' query in the workbook." type="5" refreshedVersion="8" background="1" saveData="1">
    <dbPr connection="Provider=Microsoft.Mashup.OleDb.1;Data Source=$Workbook$;Location=&quot;IDs &amp; Rcds Removed&quot;;Extended Properties=&quot;&quot;" command="SELECT * FROM [IDs &amp; Rcds Removed]"/>
  </connection>
  <connection id="11" xr16:uid="{52F1AB02-5277-425E-B74A-CA9687A28B7A}" keepAlive="1" name="Query - Meal Period Duration Table" description="Connection to the 'Meal Period Duration Table' query in the workbook." type="5" refreshedVersion="8" background="1" saveData="1">
    <dbPr connection="Provider=Microsoft.Mashup.OleDb.1;Data Source=$Workbook$;Location=&quot;Meal Period Duration Table&quot;;Extended Properties=&quot;&quot;" command="SELECT * FROM [Meal Period Duration Table]"/>
  </connection>
  <connection id="12" xr16:uid="{745DD1C0-A6DA-4F7E-A278-7783DDE2C3CC}" keepAlive="1" name="Query - Meal Period Quarter Hr Table" description="Connection to the 'Meal Period Quarter Hr Table' query in the workbook." type="5" refreshedVersion="8" background="1" saveData="1">
    <dbPr connection="Provider=Microsoft.Mashup.OleDb.1;Data Source=$Workbook$;Location=&quot;Meal Period Quarter Hr Table&quot;;Extended Properties=&quot;&quot;" command="SELECT * FROM [Meal Period Quarter Hr Table]"/>
  </connection>
  <connection id="13" xr16:uid="{8F3297AA-32EB-4270-A89E-7A45694A5EB1}" keepAlive="1" name="Query - Meal Period Start Time Table" description="Connection to the 'Meal Period Start Time Table' query in the workbook." type="5" refreshedVersion="8" background="1" saveData="1">
    <dbPr connection="Provider=Microsoft.Mashup.OleDb.1;Data Source=$Workbook$;Location=&quot;Meal Period Start Time Table&quot;;Extended Properties=&quot;&quot;" command="SELECT * FROM [Meal Period Start Time Table]"/>
  </connection>
  <connection id="14" xr16:uid="{7D261E47-70CF-4BF7-8047-F6F02A595112}" keepAlive="1" name="Query - Non Work Hrs Table" description="Connection to the 'Non Work Hrs Table' query in the workbook." type="5" refreshedVersion="8" background="1" saveData="1">
    <dbPr connection="Provider=Microsoft.Mashup.OleDb.1;Data Source=$Workbook$;Location=&quot;Non Work Hrs Table&quot;;Extended Properties=&quot;&quot;" command="SELECT * FROM [Non Work Hrs Table]"/>
  </connection>
  <connection id="15" xr16:uid="{C49A6AAB-66E3-4450-B9A3-C257E169DB22}" keepAlive="1" name="Query - Pay Code Analysis" description="Connection to the 'Pay Code Analysis' query in the workbook." type="5" refreshedVersion="8" background="1" saveData="1">
    <dbPr connection="Provider=Microsoft.Mashup.OleDb.1;Data Source=$Workbook$;Location=&quot;Pay Code Analysis&quot;;Extended Properties=&quot;&quot;" command="SELECT * FROM [Pay Code Analysis]"/>
  </connection>
  <connection id="16" xr16:uid="{56305398-BB9E-4EA2-84B9-AE50285A4542}" keepAlive="1" name="Query - Pay Data" description="Connection to the 'Pay Data' query in the workbook." type="5" refreshedVersion="8" background="1" saveData="1">
    <dbPr connection="Provider=Microsoft.Mashup.OleDb.1;Data Source=$Workbook$;Location=&quot;Pay Data&quot;;Extended Properties=&quot;&quot;" command="SELECT * FROM [Pay Data]"/>
  </connection>
  <connection id="17" xr16:uid="{132F57BB-E881-45BE-8C21-AB84A93DB857}" keepAlive="1" name="Query - Pay Period Data" description="Connection to the 'Pay Period Data' query in the workbook." type="5" refreshedVersion="8" background="1" saveData="1">
    <dbPr connection="Provider=Microsoft.Mashup.OleDb.1;Data Source=$Workbook$;Location=&quot;Pay Period Data&quot;;Extended Properties=&quot;&quot;" command="SELECT * FROM [Pay Period Data]"/>
  </connection>
  <connection id="18" xr16:uid="{5BA4CEB7-5D46-422B-876F-86F328040720}" keepAlive="1" name="Query - Pay Rate Type Analysis" description="Connection to the 'Pay Rate Type Analysis' query in the workbook." type="5" refreshedVersion="8" background="1" saveData="1">
    <dbPr connection="Provider=Microsoft.Mashup.OleDb.1;Data Source=$Workbook$;Location=&quot;Pay Rate Type Analysis&quot;;Extended Properties=&quot;&quot;" command="SELECT * FROM [Pay Rate Type Analysis]"/>
  </connection>
  <connection id="19" xr16:uid="{54AA4B27-9869-4CC4-94AE-922DEBA2858F}" keepAlive="1" name="Query - PP_Lvl Metadata" description="Connection to the 'PP_Lvl Metadata' query in the workbook." type="5" refreshedVersion="0" background="1">
    <dbPr connection="Provider=Microsoft.Mashup.OleDb.1;Data Source=$Workbook$;Location=&quot;PP_Lvl Metadata&quot;;Extended Properties=&quot;&quot;" command="SELECT * FROM [PP_Lvl Metadata]"/>
  </connection>
  <connection id="20" xr16:uid="{4FF3C096-C551-4BD0-92A1-B3AB36DCA8FF}" keepAlive="1" name="Query - Shift Hrs Table" description="Connection to the 'Shift Hrs Table' query in the workbook." type="5" refreshedVersion="8" background="1" saveData="1">
    <dbPr connection="Provider=Microsoft.Mashup.OleDb.1;Data Source=$Workbook$;Location=&quot;Shift Hrs Table&quot;;Extended Properties=&quot;&quot;" command="SELECT * FROM [Shift Hrs Table]"/>
  </connection>
  <connection id="21" xr16:uid="{D726F7E4-5D7A-4FD3-933E-8CC296B3B6F4}" keepAlive="1" name="Query - Time Punch Data" description="Connection to the 'Time Punch Data' query in the workbook." type="5" refreshedVersion="8" background="1" saveData="1">
    <dbPr connection="Provider=Microsoft.Mashup.OleDb.1;Data Source=$Workbook$;Location=&quot;Time Punch Data&quot;;Extended Properties=&quot;&quot;" command="SELECT * FROM [Time Punch Data]"/>
  </connection>
  <connection id="22" xr16:uid="{FF839A3B-B095-4839-A32D-26EC340A8778}" keepAlive="1" name="Query - Time Shift Data" description="Connection to the 'Time Shift Data' query in the workbook." type="5" refreshedVersion="8" background="1" saveData="1">
    <dbPr connection="Provider=Microsoft.Mashup.OleDb.1;Data Source=$Workbook$;Location=&quot;Time Shift Data&quot;;Extended Properties=&quot;&quot;" command="SELECT * FROM [Time Shift Dat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<sst xmlns="http://schemas.openxmlformats.org/spreadsheetml/2006/main" count="2610" uniqueCount="1329">
  <si>
    <t>Data</t>
  </si>
  <si>
    <t>ID</t>
  </si>
  <si>
    <t>Name</t>
  </si>
  <si>
    <t>Pay_Name</t>
  </si>
  <si>
    <t>Source</t>
  </si>
  <si>
    <t>Period_End</t>
  </si>
  <si>
    <t>Pay Data</t>
  </si>
  <si>
    <t>Time Data</t>
  </si>
  <si>
    <t>Notes:</t>
  </si>
  <si>
    <t>All Data</t>
  </si>
  <si>
    <t>Notes</t>
  </si>
  <si>
    <t>Ref_1</t>
  </si>
  <si>
    <t>Ref_2</t>
  </si>
  <si>
    <t xml:space="preserve">
</t>
  </si>
  <si>
    <t>General Statistics</t>
  </si>
  <si>
    <t>Start date</t>
  </si>
  <si>
    <t>End date</t>
  </si>
  <si>
    <t>Employees</t>
  </si>
  <si>
    <t>Former employees</t>
  </si>
  <si>
    <t>Active employees</t>
  </si>
  <si>
    <t>Assumes active if worked in final 30 days of pay data.</t>
  </si>
  <si>
    <t>Pay periods</t>
  </si>
  <si>
    <t>Meals
(shifts &gt;5 hrs)</t>
  </si>
  <si>
    <t>Employees with at least one shift &gt;5 hrs with a short, late or missing meal</t>
  </si>
  <si>
    <t>Assumes no waivers.</t>
  </si>
  <si>
    <t>% of all employees</t>
  </si>
  <si>
    <t>Calculated Violation Rate Applied</t>
  </si>
  <si>
    <t>Pay periods with at least one shift &gt;5 hrs with a short, late or missing meal</t>
  </si>
  <si>
    <t>% of total pay periods</t>
  </si>
  <si>
    <t>Meal period PAGA damages (shifts &gt;5 hrs)</t>
  </si>
  <si>
    <t>Meals
(shifts &gt;6 hrs)</t>
  </si>
  <si>
    <t>Employees with at least one shift &gt;6 hrs with a short, late or missing meal</t>
  </si>
  <si>
    <t>Assumes waivers.</t>
  </si>
  <si>
    <t>Pay periods with at least one shift &gt;6 hrs with a short, late or missing meal</t>
  </si>
  <si>
    <t>Meal period PAGA damages (shifts &gt;6 hrs)</t>
  </si>
  <si>
    <t>Rest Periods</t>
  </si>
  <si>
    <t>Employees with at least one rest period eligible shift</t>
  </si>
  <si>
    <t>Rest period eligible = shift &gt;3.5 hrs.</t>
  </si>
  <si>
    <t>Pay periods with at least one rest period eligible shift</t>
  </si>
  <si>
    <t>Rest period PAGA damages</t>
  </si>
  <si>
    <t xml:space="preserve">Failure to provide wage deduction statement or fails to keep the records required </t>
  </si>
  <si>
    <t>Failure to pay overtime</t>
  </si>
  <si>
    <t>Failure to maintain proper payroll records</t>
  </si>
  <si>
    <t>Failure to pay minimum wage</t>
  </si>
  <si>
    <t>Waiting time penalties</t>
  </si>
  <si>
    <t>Total</t>
  </si>
  <si>
    <t>PAGA total
(Meal period analysis shifts &gt;5 hrs)</t>
  </si>
  <si>
    <t>Includes rest and meal period damages.</t>
  </si>
  <si>
    <t>PAGA total
(Meal period analysis shifts &gt;6 hrs)</t>
  </si>
  <si>
    <t>Extrap</t>
  </si>
  <si>
    <t>e</t>
  </si>
  <si>
    <t>Extrap %s</t>
  </si>
  <si>
    <t>Check</t>
  </si>
  <si>
    <t>Ref_3</t>
  </si>
  <si>
    <t>Extrapolation</t>
  </si>
  <si>
    <t>Data Sample</t>
  </si>
  <si>
    <t>Named Plaintiff</t>
  </si>
  <si>
    <t xml:space="preserve">1
</t>
  </si>
  <si>
    <t>Time Data Statistics</t>
  </si>
  <si>
    <t>Values provided by defense counsel.</t>
  </si>
  <si>
    <t>Weeks</t>
  </si>
  <si>
    <t>Shifts</t>
  </si>
  <si>
    <t>Shifts per workweek</t>
  </si>
  <si>
    <t>Shifts &gt;3.5 hrs</t>
  </si>
  <si>
    <t>Percent of all shifts.</t>
  </si>
  <si>
    <t>Shifts &gt;5 hrs</t>
  </si>
  <si>
    <t>Shifts &gt;5 hrs &amp; &lt;=6 hrs</t>
  </si>
  <si>
    <t>Shifts &gt;6 hrs</t>
  </si>
  <si>
    <t>Shifts &gt;8 hrs</t>
  </si>
  <si>
    <t>Shifts &gt;10 hrs</t>
  </si>
  <si>
    <t>Shifts &gt;10 hrs &amp; &lt;=12 hrs</t>
  </si>
  <si>
    <t>Shifts &gt;12 hrs</t>
  </si>
  <si>
    <t>Pay Data Statistics</t>
  </si>
  <si>
    <t>Start date of pay data</t>
  </si>
  <si>
    <t>End date of pay data</t>
  </si>
  <si>
    <t>Employees in pay data</t>
  </si>
  <si>
    <t>Average hourly rate</t>
  </si>
  <si>
    <t>Pay periods in pay data</t>
  </si>
  <si>
    <t>Pay periods with hours worked</t>
  </si>
  <si>
    <t>Pay periods with meal premiums</t>
  </si>
  <si>
    <t>Percent of all pay periods.</t>
  </si>
  <si>
    <t>Meal premium hrs</t>
  </si>
  <si>
    <t>Meal premium $</t>
  </si>
  <si>
    <t>Employees with bonuses</t>
  </si>
  <si>
    <t>Employees with shift differentials</t>
  </si>
  <si>
    <t>Employees with sick pay</t>
  </si>
  <si>
    <t>Percent of pay periods with hours worked.</t>
  </si>
  <si>
    <t>Pay periods with bonuses</t>
  </si>
  <si>
    <t>Pay periods with shift differentials</t>
  </si>
  <si>
    <t>Pay periods with sick pay</t>
  </si>
  <si>
    <t>Pay periods with bonuses and overtime</t>
  </si>
  <si>
    <t>Pay periods with bonuses and meal premiums</t>
  </si>
  <si>
    <t>Pay periods with bonuses and sick pay</t>
  </si>
  <si>
    <t>Pay periods with shift differentials and overtime</t>
  </si>
  <si>
    <t>Meal Periods</t>
  </si>
  <si>
    <t>Meal periods with time punches</t>
  </si>
  <si>
    <t>Meal periods &lt;30 mins</t>
  </si>
  <si>
    <t>Percent of all meal periods.</t>
  </si>
  <si>
    <t>Meal periods =30 mins</t>
  </si>
  <si>
    <t>Meal periods &gt;30 mins</t>
  </si>
  <si>
    <t>Meal Periods Analysis (Shifts &gt;5 Hrs)</t>
  </si>
  <si>
    <t>Shifts &gt;5 hrs with missing meals</t>
  </si>
  <si>
    <t>Percent of shifts &gt;5 hrs.</t>
  </si>
  <si>
    <t>Shifts &gt;5 hrs with late meals</t>
  </si>
  <si>
    <t>Shifts &gt;5 hrs with short meals</t>
  </si>
  <si>
    <t>Percent of shifts &gt;10 hrs.</t>
  </si>
  <si>
    <t>Late meals</t>
  </si>
  <si>
    <t>Short meals</t>
  </si>
  <si>
    <t>Shifts &gt;5 hrs with short, late or missing meal</t>
  </si>
  <si>
    <t>Pay periods with at least one shift &gt;5 hrs with a short, late or missing meal, less meal premiums</t>
  </si>
  <si>
    <t>Meal Periods Analysis (Shifts &gt;6 Hrs)</t>
  </si>
  <si>
    <t>Shifts &gt;6 hrs with missing meals</t>
  </si>
  <si>
    <t>Percent of shifts &gt;6 hrs.</t>
  </si>
  <si>
    <t>Shifts &gt;6 hrs with late meals</t>
  </si>
  <si>
    <t>Shifts &gt;6 hrs with short meals</t>
  </si>
  <si>
    <t>Percent of shifts &gt;12 hrs.</t>
  </si>
  <si>
    <t>Shifts &gt;6 hrs with short, late or missing meal</t>
  </si>
  <si>
    <t>Pay periods with at least one shift &gt;6 hrs with a short, late or missing meal, less meal premiums</t>
  </si>
  <si>
    <t>Rest Periods Analysis</t>
  </si>
  <si>
    <t>Shifts &gt;3.5 hrs with missing rest period 1</t>
  </si>
  <si>
    <t>Percent of shifts &gt;3.5 hrs.</t>
  </si>
  <si>
    <t>Shifts &gt;6 hrs with missing rest period 2</t>
  </si>
  <si>
    <t>Shifts &gt;10 hrs with missing rest period 3</t>
  </si>
  <si>
    <t>Shifts &gt;3.5 hrs with missing rest period</t>
  </si>
  <si>
    <t>Pay periods with at least one shift &gt;3.5 hrs</t>
  </si>
  <si>
    <t>Pay periods with at least one shift &gt;3.5 hrs with a missing rest period</t>
  </si>
  <si>
    <t>Shift Hours Analysis</t>
  </si>
  <si>
    <t>Employees with at least one shift with "lost" time</t>
  </si>
  <si>
    <t>Percent of all employees.</t>
  </si>
  <si>
    <t>Employees with at least one shift with "gained" time</t>
  </si>
  <si>
    <t>Shifts with "Hours" that fall on the quarter hour</t>
  </si>
  <si>
    <t>Shifts with "lost" time</t>
  </si>
  <si>
    <t>Shifts with "gained" time</t>
  </si>
  <si>
    <t>Shifts with matching time</t>
  </si>
  <si>
    <t>Pay periods with at least one shift with "lost" time</t>
  </si>
  <si>
    <t>Pay periods with at least one shift with "gained" time</t>
  </si>
  <si>
    <t>Pay periods with net "lost" time</t>
  </si>
  <si>
    <t>Pay periods with net "gained" time</t>
  </si>
  <si>
    <t>Pay periods with matching time</t>
  </si>
  <si>
    <t>Total "lost" time (hrs)</t>
  </si>
  <si>
    <t>Total "gained" time (hrs)</t>
  </si>
  <si>
    <t>Net time (hrs)</t>
  </si>
  <si>
    <t xml:space="preserve"> Clock Rounding Analysis</t>
  </si>
  <si>
    <t>Employees with rounded and raw time punches</t>
  </si>
  <si>
    <t>Percent of employees with rounded and raw time punches.</t>
  </si>
  <si>
    <t>Shifts with rounded and raw time punches</t>
  </si>
  <si>
    <t>Percent of shifts with rounded and raw time punches.</t>
  </si>
  <si>
    <t>Shifts with "lost" time (SHIFT IN PUNCH)</t>
  </si>
  <si>
    <t>Shifts with "gained" time (SHIFT IN PUNCH)</t>
  </si>
  <si>
    <t>Net time lost/gained  (SHIFT IN PUNCH) (hrs)</t>
  </si>
  <si>
    <t>Shifts with "lost" time (MEAL OUT PUNCH)</t>
  </si>
  <si>
    <t>Shifts with "gained" time (MEAL OUT PUNCH)</t>
  </si>
  <si>
    <t>Net time lost/gained  (MEAL PUNCHES) (hrs)</t>
  </si>
  <si>
    <t>Shifts with "lost" time (MEAL IN PUNCH)</t>
  </si>
  <si>
    <t>Shifts with "gained" time (MEAL IN PUNCH)</t>
  </si>
  <si>
    <t>Shifts with "lost" time (SHIFT OUT PUNCH)</t>
  </si>
  <si>
    <t>Shifts with "gained" time (SHIFT OUT PUNCH)</t>
  </si>
  <si>
    <t>Net time lost/gained  (SHIFT OUT PUNCH) (hrs)</t>
  </si>
  <si>
    <t>Pay periods with rounded and raw time punches</t>
  </si>
  <si>
    <t>Percent of pay periods with rounded and raw time punches.</t>
  </si>
  <si>
    <t>Net time lost/gained (hrs)</t>
  </si>
  <si>
    <t>Meal Periods Damages (&gt;5 hrs)</t>
  </si>
  <si>
    <t>Meal period damages (shifts &gt;5 hrs)</t>
  </si>
  <si>
    <t>D1</t>
  </si>
  <si>
    <t>Interest (7% per annum)</t>
  </si>
  <si>
    <t>I1</t>
  </si>
  <si>
    <t>Meal period damages (shifts &gt;5 hrs) with interest</t>
  </si>
  <si>
    <t>T1</t>
  </si>
  <si>
    <t>D3</t>
  </si>
  <si>
    <t>I3</t>
  </si>
  <si>
    <t>T3</t>
  </si>
  <si>
    <t>Meal Periods Damages (&gt;6 hrs)</t>
  </si>
  <si>
    <t>Meal period damages (shifts &gt;6 hrs)</t>
  </si>
  <si>
    <t>D2</t>
  </si>
  <si>
    <t>I2</t>
  </si>
  <si>
    <t>Meal period damages (shifts &gt;6 hrs) with interest</t>
  </si>
  <si>
    <t>T2</t>
  </si>
  <si>
    <t>D4</t>
  </si>
  <si>
    <t>I4</t>
  </si>
  <si>
    <t>T4</t>
  </si>
  <si>
    <t>Rest Periods Damages</t>
  </si>
  <si>
    <t>Employees with at least one shift &gt;3.5 hrs</t>
  </si>
  <si>
    <t>Rest period damages</t>
  </si>
  <si>
    <t>D1, D2, D3, D4</t>
  </si>
  <si>
    <t>I1, I2, I3, I4</t>
  </si>
  <si>
    <t>Rest period damages with interest</t>
  </si>
  <si>
    <t>T1, T2, T3, T4</t>
  </si>
  <si>
    <t>Regular Rate of Pay (RROP) Analysis</t>
  </si>
  <si>
    <t>Min Wage / Avg Min Wage</t>
  </si>
  <si>
    <t>Off-the-clock (OTC) Analysis</t>
  </si>
  <si>
    <t>Employees with off-the-clock time worked</t>
  </si>
  <si>
    <t>Shifts &lt; 8 hrs</t>
  </si>
  <si>
    <t>Shifts &gt;= 8 hrs &amp; &lt;12 hrs</t>
  </si>
  <si>
    <t>Shifts &gt;=12 hrs</t>
  </si>
  <si>
    <t>Regular OTC hrs</t>
  </si>
  <si>
    <t>OT OTC hrs</t>
  </si>
  <si>
    <t>DT OTC hrs</t>
  </si>
  <si>
    <t>Regular OTC $</t>
  </si>
  <si>
    <t>Shifts &lt;8 hrs * min wage rate.</t>
  </si>
  <si>
    <t>OT OTC $</t>
  </si>
  <si>
    <t>OT shifts * avg rate * 1.5.</t>
  </si>
  <si>
    <t>DT OTC $</t>
  </si>
  <si>
    <t>DT shifts * avg rate * 2.</t>
  </si>
  <si>
    <t>Damages related to time worked off-the-clock</t>
  </si>
  <si>
    <t>Damages related to time worked off-the-clock with interest</t>
  </si>
  <si>
    <t>Unreimbursed Expenses</t>
  </si>
  <si>
    <t>Employees with unreimbursed expenses</t>
  </si>
  <si>
    <t>Damages related to unreimbursed business expenses</t>
  </si>
  <si>
    <t>Estimated employees with unreimbursed mileage expenses</t>
  </si>
  <si>
    <t>Pay periods with unreimbursed mileage expenses</t>
  </si>
  <si>
    <t>Damages related to unreimbursed mileage expenses</t>
  </si>
  <si>
    <t>Based on applicable mileage rate established by IRS.</t>
  </si>
  <si>
    <t>Unreimbursed expenses damages with interest</t>
  </si>
  <si>
    <t>Waiting Time Penalties</t>
  </si>
  <si>
    <t>-</t>
  </si>
  <si>
    <t>3-Yr SOL</t>
  </si>
  <si>
    <t>Average shift length</t>
  </si>
  <si>
    <t>Former ees * avg hrly rate * avg shift hrs * 30 days</t>
  </si>
  <si>
    <t>P1, P2, P3, P4, T1, T2, T3, T4</t>
  </si>
  <si>
    <t>Wage Statement Penalties</t>
  </si>
  <si>
    <t>1-Yr SOL</t>
  </si>
  <si>
    <t>Pay periods during wage statement penalty period</t>
  </si>
  <si>
    <t>Wage statement penalties</t>
  </si>
  <si>
    <t>$50 initial pp / $100 subsequent pps per ee ($4k max per ee)</t>
  </si>
  <si>
    <t>Total Damages (Calculated Violation Rates)</t>
  </si>
  <si>
    <t>Damages
(Meal period analysis shifts &gt;5 hrs)</t>
  </si>
  <si>
    <t>Meal period analysis assumes no waivers.</t>
  </si>
  <si>
    <t>Interest</t>
  </si>
  <si>
    <t>Penalties</t>
  </si>
  <si>
    <t>P1</t>
  </si>
  <si>
    <t>Total
(Meal period analysis shifts &gt;5 hrs)</t>
  </si>
  <si>
    <t>Damages
(Meal period analysis shifts &gt;6 hrs)</t>
  </si>
  <si>
    <t>Meal period analysis assumes applicable waivers in place.</t>
  </si>
  <si>
    <t>P2</t>
  </si>
  <si>
    <t>Total
(Meal period analysis shifts &gt;6 hrs)</t>
  </si>
  <si>
    <t>Total Damages (100% Violation Rates)</t>
  </si>
  <si>
    <t>Damages
(Meal period analysis shifts &gt;5 hrs; 100% violation rate)</t>
  </si>
  <si>
    <t>Assumes 100% violation rates for meal and rest period violations.</t>
  </si>
  <si>
    <t>P3</t>
  </si>
  <si>
    <t>Damages
(Meal period analysis shifts &gt;6 hrs; 100% violation rate)</t>
  </si>
  <si>
    <t>P4</t>
  </si>
  <si>
    <t>Date of original complaint:</t>
  </si>
  <si>
    <t>Sample size:</t>
  </si>
  <si>
    <t>Mediation date:</t>
  </si>
  <si>
    <t>Class extrap factor:</t>
  </si>
  <si>
    <t>Class time extrap factor:</t>
  </si>
  <si>
    <t>Calc. PAGA start date:</t>
  </si>
  <si>
    <t>Calc. class start date:</t>
  </si>
  <si>
    <t>Date of PAGA complaint:</t>
  </si>
  <si>
    <t>PAGA time extrap factor:</t>
  </si>
  <si>
    <t>Employee extrap</t>
  </si>
  <si>
    <t>Days</t>
  </si>
  <si>
    <t>Extrap date</t>
  </si>
  <si>
    <t>Ees/day</t>
  </si>
  <si>
    <t>Extrap days</t>
  </si>
  <si>
    <t>Extrap new hires</t>
  </si>
  <si>
    <t>ID_Period_End</t>
  </si>
  <si>
    <t>Field Name</t>
  </si>
  <si>
    <t>Punch Data Statisitcs</t>
  </si>
  <si>
    <t>Date</t>
  </si>
  <si>
    <t>ID_Shift</t>
  </si>
  <si>
    <t>punch_type</t>
  </si>
  <si>
    <t>punch_time</t>
  </si>
  <si>
    <t>shift_hrs</t>
  </si>
  <si>
    <t>Hours</t>
  </si>
  <si>
    <t>mp1_hrs</t>
  </si>
  <si>
    <t>mp2_hrs</t>
  </si>
  <si>
    <t>shift_mps</t>
  </si>
  <si>
    <t>hrs_to_mp1</t>
  </si>
  <si>
    <t>hrs_to_mp2</t>
  </si>
  <si>
    <t>mp1_mins_short</t>
  </si>
  <si>
    <t>mp2_mins_short</t>
  </si>
  <si>
    <t>mp1_mins_late</t>
  </si>
  <si>
    <t>mp2_mins_late</t>
  </si>
  <si>
    <t>Shift Data Statisitcs</t>
  </si>
  <si>
    <t>diff</t>
  </si>
  <si>
    <t>MissMP1</t>
  </si>
  <si>
    <t>LateMP1</t>
  </si>
  <si>
    <t>ShortMP1</t>
  </si>
  <si>
    <t>MissMP2</t>
  </si>
  <si>
    <t>LateMP2</t>
  </si>
  <si>
    <t>ShortMP2</t>
  </si>
  <si>
    <t>MissMP1_w</t>
  </si>
  <si>
    <t>LateMP1_w</t>
  </si>
  <si>
    <t>ShortMP1_w</t>
  </si>
  <si>
    <t>MissMP2_w</t>
  </si>
  <si>
    <t>LateMP2_w</t>
  </si>
  <si>
    <t>ShortMP2_w</t>
  </si>
  <si>
    <t>wk_shift_hrs</t>
  </si>
  <si>
    <t>wk_Hours</t>
  </si>
  <si>
    <t>mpv_per_pp</t>
  </si>
  <si>
    <t>mpv_per_pp_w</t>
  </si>
  <si>
    <t>rpv_per_pp</t>
  </si>
  <si>
    <t>pp_shift_hrs</t>
  </si>
  <si>
    <t>pp_Hours</t>
  </si>
  <si>
    <t>calc_daily_ot</t>
  </si>
  <si>
    <t>calc_daily_dt</t>
  </si>
  <si>
    <t>flsa_ot</t>
  </si>
  <si>
    <t>meal_prem_hrs</t>
  </si>
  <si>
    <t>meal_prem_amt</t>
  </si>
  <si>
    <t>Pay_Date</t>
  </si>
  <si>
    <t>Pay_Code</t>
  </si>
  <si>
    <t>Pay_Hours</t>
  </si>
  <si>
    <t>Pay_Amount</t>
  </si>
  <si>
    <t>Pay_Rate</t>
  </si>
  <si>
    <t>Calc_Rate</t>
  </si>
  <si>
    <t>Hrs_Wkd_Pay_Code</t>
  </si>
  <si>
    <t>OT_Pay_Code</t>
  </si>
  <si>
    <t>DT_Pay_Code</t>
  </si>
  <si>
    <t>Reg_Pay_Code</t>
  </si>
  <si>
    <t>Base_Rate1</t>
  </si>
  <si>
    <t>Rate_Gp</t>
  </si>
  <si>
    <t>RROP</t>
  </si>
  <si>
    <t>mp</t>
  </si>
  <si>
    <t>mp_lt_thirty</t>
  </si>
  <si>
    <t>mp_thirty</t>
  </si>
  <si>
    <t>mp_gt_thirty</t>
  </si>
  <si>
    <t>rpv_shift</t>
  </si>
  <si>
    <t>week</t>
  </si>
  <si>
    <t>pp</t>
  </si>
  <si>
    <t>pp_flsa_ot</t>
  </si>
  <si>
    <t>pp_ot_wks</t>
  </si>
  <si>
    <t>qtr_hr</t>
  </si>
  <si>
    <t>wk_diff</t>
  </si>
  <si>
    <t>wk_lost_time_shifts</t>
  </si>
  <si>
    <t>wk_gain_time_shifts</t>
  </si>
  <si>
    <t>pp_diff</t>
  </si>
  <si>
    <t>pp_lost_time_shifts</t>
  </si>
  <si>
    <t>pp_gain_time_shifts</t>
  </si>
  <si>
    <t>hrs_from_prev</t>
  </si>
  <si>
    <t>shift</t>
  </si>
  <si>
    <t>shift_ct</t>
  </si>
  <si>
    <t>mp_ct</t>
  </si>
  <si>
    <t>cum_hrs_wkd</t>
  </si>
  <si>
    <t>mp_hrs</t>
  </si>
  <si>
    <t>Records</t>
  </si>
  <si>
    <t>Pay_ID</t>
  </si>
  <si>
    <t>Pay_Period_End</t>
  </si>
  <si>
    <t>Pay_ID_Period_End</t>
  </si>
  <si>
    <t>Bon_Pay_Code</t>
  </si>
  <si>
    <t>Meal_Pay_Code</t>
  </si>
  <si>
    <t>Diff_Pay_Code</t>
  </si>
  <si>
    <t>Sick_Pay_Code</t>
  </si>
  <si>
    <t>Base_Rate_Row</t>
  </si>
  <si>
    <t>Base_Rate2</t>
  </si>
  <si>
    <t>Base_Rate3</t>
  </si>
  <si>
    <t>Multiplier1</t>
  </si>
  <si>
    <t>Multiplier2</t>
  </si>
  <si>
    <t>Multiplier3</t>
  </si>
  <si>
    <t>max_mult</t>
  </si>
  <si>
    <t>1x</t>
  </si>
  <si>
    <t>Hours Worked Pay Periods:</t>
  </si>
  <si>
    <t>All</t>
  </si>
  <si>
    <t>Overtime Pay Periods:</t>
  </si>
  <si>
    <t>Pay periods with overtime pay only.</t>
  </si>
  <si>
    <t>Pay periods with meal premiums only.</t>
  </si>
  <si>
    <t>Pay periods with shift differentials only.</t>
  </si>
  <si>
    <t>Bonus Pay Periods:</t>
  </si>
  <si>
    <t>Meal Premium Pay Periods:</t>
  </si>
  <si>
    <t>Pay periods with hours worked only.</t>
  </si>
  <si>
    <t>Pay periods with bonuses only.</t>
  </si>
  <si>
    <t>Pay periods with sick pay only.</t>
  </si>
  <si>
    <t>Sick Pay Periods:</t>
  </si>
  <si>
    <t>Shift Differential Pay Periods:</t>
  </si>
  <si>
    <t>All Employees</t>
  </si>
  <si>
    <t>Pay Code</t>
  </si>
  <si>
    <t>Min Period End Date</t>
  </si>
  <si>
    <t>Max Period End Date</t>
  </si>
  <si>
    <t>Employees
(% of EEs)</t>
  </si>
  <si>
    <t>Pay Periods
(% of PPs)</t>
  </si>
  <si>
    <t>Amount</t>
  </si>
  <si>
    <t>Average Amount</t>
  </si>
  <si>
    <t>Records Distribution by Calculated Rate Multiplier (Calc Rate / Base Rate)</t>
  </si>
  <si>
    <t>Less than 0.5x</t>
  </si>
  <si>
    <t>0.5x</t>
  </si>
  <si>
    <t>0.5x-1x</t>
  </si>
  <si>
    <t>1x-1.5x</t>
  </si>
  <si>
    <t>1.5x</t>
  </si>
  <si>
    <t>1.5x-2x</t>
  </si>
  <si>
    <t>2x</t>
  </si>
  <si>
    <t>Greater than 2x</t>
  </si>
  <si>
    <t>N/A</t>
  </si>
  <si>
    <t>Min_Wage_Eff</t>
  </si>
  <si>
    <t>Min_Wage_End</t>
  </si>
  <si>
    <t>Min_Wage_lte_25_ees</t>
  </si>
  <si>
    <t>Min_Wage_gt_25_ees</t>
  </si>
  <si>
    <t>Period</t>
  </si>
  <si>
    <t>Start Period</t>
  </si>
  <si>
    <t>End Period</t>
  </si>
  <si>
    <t>Business use</t>
  </si>
  <si>
    <t>Charity use</t>
  </si>
  <si>
    <t>Medical or military moving</t>
  </si>
  <si>
    <t>IR-2024-312</t>
  </si>
  <si>
    <t>IR-2023-239</t>
  </si>
  <si>
    <t>IR-2022-234</t>
  </si>
  <si>
    <t>7/1/2022-12/31/2022</t>
  </si>
  <si>
    <t>IR-2022-124</t>
  </si>
  <si>
    <t>1/1/2022-6/30/2022</t>
  </si>
  <si>
    <t>IR-2021-251</t>
  </si>
  <si>
    <t>IR-2020-279</t>
  </si>
  <si>
    <t>IR-2019-215</t>
  </si>
  <si>
    <t>IR-2018-251</t>
  </si>
  <si>
    <t>IR-2017-204</t>
  </si>
  <si>
    <t>TCJA</t>
  </si>
  <si>
    <t>IR-2018-127</t>
  </si>
  <si>
    <t>IR-2016-169</t>
  </si>
  <si>
    <t>IR-2015-137</t>
  </si>
  <si>
    <t>IR-2014-114</t>
  </si>
  <si>
    <t>IR-2013-95</t>
  </si>
  <si>
    <t>IR-2012-95</t>
  </si>
  <si>
    <t>IRB-2012-02</t>
  </si>
  <si>
    <t>7/1/2011-12/31/2011</t>
  </si>
  <si>
    <t>IR-2011-69</t>
  </si>
  <si>
    <t>1/1/2011-6/30/2011</t>
  </si>
  <si>
    <t>IR-2010-119</t>
  </si>
  <si>
    <t>Shifts &gt;10 hrs with missing second meals</t>
  </si>
  <si>
    <t>Shifts &gt;12 hrs with missing second meals</t>
  </si>
  <si>
    <t>Key_Gps</t>
  </si>
  <si>
    <t>Period_Beg</t>
  </si>
  <si>
    <t>mpv_shift</t>
  </si>
  <si>
    <t>mpv_shift_w</t>
  </si>
  <si>
    <t>CA_min_wage</t>
  </si>
  <si>
    <t>Pay_ID_Prior_Qtr</t>
  </si>
  <si>
    <t>Pay_ID_Current_Qtr</t>
  </si>
  <si>
    <t>Pay_ID_Prior_Period_End</t>
  </si>
  <si>
    <t>pay_period_end_weekday</t>
  </si>
  <si>
    <t>days_btwn_pay_period_ends</t>
  </si>
  <si>
    <t>Pay_Key_Gps</t>
  </si>
  <si>
    <t>Prior_Pay_Date</t>
  </si>
  <si>
    <t>Prior_Pay_Period_End</t>
  </si>
  <si>
    <t>Current_Qtr</t>
  </si>
  <si>
    <t>Prior_Qtr</t>
  </si>
  <si>
    <t>Current_Semi_Ann</t>
  </si>
  <si>
    <t>Prior_Semi_Ann</t>
  </si>
  <si>
    <t>Current_Yr</t>
  </si>
  <si>
    <t>Prior_Yr</t>
  </si>
  <si>
    <t>Pay_ID_Current_Semi_Ann</t>
  </si>
  <si>
    <t>Pay_ID_Prior_Semi_Ann</t>
  </si>
  <si>
    <t>Pay_ID_Current_Yr</t>
  </si>
  <si>
    <t>Pay_ID_Prior_Yr</t>
  </si>
  <si>
    <t>Pay_pp</t>
  </si>
  <si>
    <t>Pay_ee</t>
  </si>
  <si>
    <t>Rest_Pay_Code</t>
  </si>
  <si>
    <t>Diff_OT_Pay_Code</t>
  </si>
  <si>
    <t>Diff_DT_Pay_Code</t>
  </si>
  <si>
    <t>RROP_Pay_Code</t>
  </si>
  <si>
    <t>Unique_Valid_Rates</t>
  </si>
  <si>
    <t>Straight_Time_Amt</t>
  </si>
  <si>
    <t>pp_Min_Pay_Date</t>
  </si>
  <si>
    <t>pp_Max_Pay_Date</t>
  </si>
  <si>
    <t>pp_Hrs_Wkd</t>
  </si>
  <si>
    <t>pp_Reg_Hrs</t>
  </si>
  <si>
    <t>pp_OT_Hrs</t>
  </si>
  <si>
    <t>pp_DT_Hrs</t>
  </si>
  <si>
    <t>pp_Meal_Prem_Hrs</t>
  </si>
  <si>
    <t>pp_Rest_Prem_Hrs</t>
  </si>
  <si>
    <t>pp_Sick_Hrs</t>
  </si>
  <si>
    <t>pp_Straight_Time_Amt</t>
  </si>
  <si>
    <t>pp_OT_Amt</t>
  </si>
  <si>
    <t>pp_DT_Amt</t>
  </si>
  <si>
    <t>pp_Meal_Amt</t>
  </si>
  <si>
    <t>pp_Rest_Amt</t>
  </si>
  <si>
    <t>pp_Sick_Amt</t>
  </si>
  <si>
    <t>pp_Oth_RROP_Amt</t>
  </si>
  <si>
    <t>pp_Oth_Amt</t>
  </si>
  <si>
    <t>pp_Rate_Rank</t>
  </si>
  <si>
    <t>prior_pp_Min_Pay_Date</t>
  </si>
  <si>
    <t>prior_pp_Max_Pay_Date</t>
  </si>
  <si>
    <t>prior_pp_Hrs_Wkd</t>
  </si>
  <si>
    <t>prior_pp_Reg_Hrs</t>
  </si>
  <si>
    <t>prior_pp_OT_Hrs</t>
  </si>
  <si>
    <t>prior_pp_DT_Hrs</t>
  </si>
  <si>
    <t>prior_pp_Meal_Prem_Hrs</t>
  </si>
  <si>
    <t>prior_pp_Rest_Prem_Hrs</t>
  </si>
  <si>
    <t>prior_pp_Sick_Hrs</t>
  </si>
  <si>
    <t>prior_pp_Straight_Time_Amt</t>
  </si>
  <si>
    <t>prior_pp_OT_Amt</t>
  </si>
  <si>
    <t>prior_pp_DT_Amt</t>
  </si>
  <si>
    <t>prior_pp_Meal_Amt</t>
  </si>
  <si>
    <t>prior_pp_Rest_Amt</t>
  </si>
  <si>
    <t>prior_pp_Sick_Amt</t>
  </si>
  <si>
    <t>prior_pp_Oth_RROP_Amt</t>
  </si>
  <si>
    <t>prior_pp_Oth_Amt</t>
  </si>
  <si>
    <t>prior_pp_Rate_Rank</t>
  </si>
  <si>
    <t>qtr_Min_Pay_Date</t>
  </si>
  <si>
    <t>qtr_Max_Pay_Date</t>
  </si>
  <si>
    <t>qtr_Hrs_Wkd</t>
  </si>
  <si>
    <t>qtr_Reg_Hrs</t>
  </si>
  <si>
    <t>qtr_OT_Hrs</t>
  </si>
  <si>
    <t>qtr_DT_Hrs</t>
  </si>
  <si>
    <t>qtr_Meal_Prem_Hrs</t>
  </si>
  <si>
    <t>qtr_Rest_Prem_Hrs</t>
  </si>
  <si>
    <t>qtr_Sick_Hrs</t>
  </si>
  <si>
    <t>qtr_Straight_Time_Amt</t>
  </si>
  <si>
    <t>qtr_OT_Amt</t>
  </si>
  <si>
    <t>qtr_DT_Amt</t>
  </si>
  <si>
    <t>qtr_Meal_Amt</t>
  </si>
  <si>
    <t>qtr_Rest_Amt</t>
  </si>
  <si>
    <t>qtr_Sick_Amt</t>
  </si>
  <si>
    <t>qtr_Oth_RROP_Amt</t>
  </si>
  <si>
    <t>qtr_Oth_Amt</t>
  </si>
  <si>
    <t>qtr_Rate_Rank</t>
  </si>
  <si>
    <t>prior_qtr_Min_Pay_Date</t>
  </si>
  <si>
    <t>prior_qtr_Max_Pay_Date</t>
  </si>
  <si>
    <t>prior_qtr_Hrs_Wkd</t>
  </si>
  <si>
    <t>prior_qtr_Reg_Hrs</t>
  </si>
  <si>
    <t>prior_qtr_OT_Hrs</t>
  </si>
  <si>
    <t>prior_qtr_DT_Hrs</t>
  </si>
  <si>
    <t>prior_qtr_Meal_Prem_Hrs</t>
  </si>
  <si>
    <t>prior_qtr_Rest_Prem_Hrs</t>
  </si>
  <si>
    <t>prior_qtr_Sick_Hrs</t>
  </si>
  <si>
    <t>prior_qtr_Straight_Time_Amt</t>
  </si>
  <si>
    <t>prior_qtr_OT_Amt</t>
  </si>
  <si>
    <t>prior_qtr_DT_Amt</t>
  </si>
  <si>
    <t>prior_qtr_Meal_Amt</t>
  </si>
  <si>
    <t>prior_qtr_Rest_Amt</t>
  </si>
  <si>
    <t>prior_qtr_Sick_Amt</t>
  </si>
  <si>
    <t>prior_qtr_Oth_RROP_Amt</t>
  </si>
  <si>
    <t>prior_qtr_Oth_Amt</t>
  </si>
  <si>
    <t>prior_qtr_Rate_Rank</t>
  </si>
  <si>
    <t>is_off_cycle</t>
  </si>
  <si>
    <t>prev_Pay_Date</t>
  </si>
  <si>
    <t>Pay_Date_Rev</t>
  </si>
  <si>
    <t>Pay_ID_Pay_Date_Rev</t>
  </si>
  <si>
    <t>rrop_by_code_underpayment</t>
  </si>
  <si>
    <t>Calc_Tot_Wages</t>
  </si>
  <si>
    <t>Actual_Wages</t>
  </si>
  <si>
    <t>OT_Underpayment</t>
  </si>
  <si>
    <t>DT_Underpayment</t>
  </si>
  <si>
    <t>Meal_Underpayment</t>
  </si>
  <si>
    <t>Rest_Underpayment</t>
  </si>
  <si>
    <t>Sick_Underpayment</t>
  </si>
  <si>
    <t>pp_Hrs_Wkd_Pay_Code</t>
  </si>
  <si>
    <t>pp_Reg_Pay_Code</t>
  </si>
  <si>
    <t>pp_OT_Pay_Code</t>
  </si>
  <si>
    <t>pp_DT_Pay_Code</t>
  </si>
  <si>
    <t>pp_Bon_Pay_Code</t>
  </si>
  <si>
    <t>pp_Meal_Pay_Code</t>
  </si>
  <si>
    <t>pp_Rest_Pay_Code</t>
  </si>
  <si>
    <t>pp_Diff_Pay_Code</t>
  </si>
  <si>
    <t>pp_Diff_OT_Pay_Code</t>
  </si>
  <si>
    <t>pp_Diff_DT_Pay_Code</t>
  </si>
  <si>
    <t>pp_Sick_Pay_Code</t>
  </si>
  <si>
    <t>pp_RROP_Pay_Code</t>
  </si>
  <si>
    <t>Employees with meal premiums</t>
  </si>
  <si>
    <t>Employees with OT</t>
  </si>
  <si>
    <t>Pay periods with OT</t>
  </si>
  <si>
    <t>Employees with DT</t>
  </si>
  <si>
    <t>Pay periods with DT</t>
  </si>
  <si>
    <t>Employees with rest premiums</t>
  </si>
  <si>
    <t>Pay periods with rest premiums</t>
  </si>
  <si>
    <t>Rest premium hrs</t>
  </si>
  <si>
    <t>Rest premium $</t>
  </si>
  <si>
    <t>Employees with bonuses and overtime in same pay period</t>
  </si>
  <si>
    <t>Employees with bonuses and meal premiums in same pay period</t>
  </si>
  <si>
    <t>Employees with bonuses and sick pay in same pay period</t>
  </si>
  <si>
    <t>Employees with shift differentials and overtime in same pay period</t>
  </si>
  <si>
    <t>Employees with shift differentials and sick pay in same pay period</t>
  </si>
  <si>
    <t>Employees with shift differentials and meal premiums in same pay period</t>
  </si>
  <si>
    <t>Employees with shift differentials and rest premiums in same pay period</t>
  </si>
  <si>
    <t>Pay periods with shift differentials and meal premiums</t>
  </si>
  <si>
    <t>Pay periods with shift differentials and rest premiums</t>
  </si>
  <si>
    <t>Pay periods with shift differentials and sick pay</t>
  </si>
  <si>
    <t>Employees with at least one shift &gt;3.5 hrs with a missing rest period</t>
  </si>
  <si>
    <t>DELETE if no rest period punches</t>
  </si>
  <si>
    <t>Employees with at least one shift &gt;5 hrs with a short, late or missing meal, less meal premiums</t>
  </si>
  <si>
    <t>Employees with at least one shift &gt;6 hrs with a short, late or missing meal, less meal premiums</t>
  </si>
  <si>
    <t>DELETE if no meal premiums</t>
  </si>
  <si>
    <t>Meal premiums paid</t>
  </si>
  <si>
    <t>DELETE if no prems</t>
  </si>
  <si>
    <t>Shifts &gt;6 hrs with short, late or missing meal, less meal premiums</t>
  </si>
  <si>
    <t>Matched to person pay period.</t>
  </si>
  <si>
    <t>Shifts &gt;5 hrs with short, late or missing meal, less meal premiums</t>
  </si>
  <si>
    <t>Rest premiums paid</t>
  </si>
  <si>
    <t>Pay periods with at least one shift &gt;3.5 hrs with a missing rest period, less rest premiums</t>
  </si>
  <si>
    <t>mpv_per_pp_less_prems</t>
  </si>
  <si>
    <t>mpv_per_pp_less_prems_w</t>
  </si>
  <si>
    <t>rpv_per_pp_less_prems</t>
  </si>
  <si>
    <t>Meal_Prem_Hrs</t>
  </si>
  <si>
    <t>Meal_Prem_Amt</t>
  </si>
  <si>
    <t>Rest_Prem_Hrs</t>
  </si>
  <si>
    <t>Rest_Prem_Amt</t>
  </si>
  <si>
    <t>Pay_Source</t>
  </si>
  <si>
    <t>DELETE if no rest prems</t>
  </si>
  <si>
    <t>Matched to meal period violation rate (shifts &gt;5 hrs; less meal premiums paid).</t>
  </si>
  <si>
    <t>Shifts &gt;3.5 hrs with missing rest period, less rest premiums</t>
  </si>
  <si>
    <t>Pay periods with bonuses and rest premiums</t>
  </si>
  <si>
    <t>Employees with bonuses and rest premiums in same pay period</t>
  </si>
  <si>
    <t>Meals, Less Premiums
(shifts &gt;5 hrs)</t>
  </si>
  <si>
    <t>Meals, Less Premiums
(shifts &gt;6 hrs)</t>
  </si>
  <si>
    <t>Assumes no waivers. Credits meal premiums already paid.</t>
  </si>
  <si>
    <t>Assumes waivers. Credits meal premiums already paid.</t>
  </si>
  <si>
    <t>Percent of all shifts analyzed.</t>
  </si>
  <si>
    <t>Shifts analyzed in "lost" and "gained" time analysis</t>
  </si>
  <si>
    <t>PAGA total
(Meal period analysis shifts &gt;5 hrs, less premiums)</t>
  </si>
  <si>
    <t>PAGA total
(Meal period analysis shifts &gt;6 hrs, less premiums)</t>
  </si>
  <si>
    <t>Meal premiums</t>
  </si>
  <si>
    <t>Shifts &gt;5 hrs with short, late or missing meal, less meal premiums (by subtraction)</t>
  </si>
  <si>
    <t>Shifts &gt;6 hrs with short, late or missing meal, less meal premiums (by subtraction)</t>
  </si>
  <si>
    <t>Directly from pay data.</t>
  </si>
  <si>
    <t>Median shift length</t>
  </si>
  <si>
    <t>Time_Periods</t>
  </si>
  <si>
    <t>Time_First_Date</t>
  </si>
  <si>
    <t>Time_Last_Date</t>
  </si>
  <si>
    <t>Time_Records</t>
  </si>
  <si>
    <t>Pay_Periods</t>
  </si>
  <si>
    <t>Pay_First_Date</t>
  </si>
  <si>
    <t>Pay_Last_Date</t>
  </si>
  <si>
    <t>Pay_Records</t>
  </si>
  <si>
    <t>Matching_Periods</t>
  </si>
  <si>
    <t>Time_Only_Periods</t>
  </si>
  <si>
    <t>Pay_Only_Periods</t>
  </si>
  <si>
    <t>Total_Unique_Periods</t>
  </si>
  <si>
    <t>Match_Rate</t>
  </si>
  <si>
    <t>Time_Coverage</t>
  </si>
  <si>
    <t>Pay_Coverage</t>
  </si>
  <si>
    <t>Data_Status</t>
  </si>
  <si>
    <t>total_weeks</t>
  </si>
  <si>
    <t>weeks_4_10</t>
  </si>
  <si>
    <t>weeks_3_12</t>
  </si>
  <si>
    <t>pct_4_10</t>
  </si>
  <si>
    <t>pct_3_12</t>
  </si>
  <si>
    <t>avg_weekly_hours</t>
  </si>
  <si>
    <t>avg_days_per_week</t>
  </si>
  <si>
    <t>AWW_schedule</t>
  </si>
  <si>
    <t>Rate_Type</t>
  </si>
  <si>
    <t>Sheet</t>
  </si>
  <si>
    <t>Week_End</t>
  </si>
  <si>
    <t>Week_End_Day</t>
  </si>
  <si>
    <t>ID_Week_End</t>
  </si>
  <si>
    <t>double_CA_min_wage</t>
  </si>
  <si>
    <t>Below_CA_Min</t>
  </si>
  <si>
    <t>cum_mpv</t>
  </si>
  <si>
    <t>prev_cum_mpv</t>
  </si>
  <si>
    <t>meal_premium_allocated</t>
  </si>
  <si>
    <t>mpv_shift_less_prems</t>
  </si>
  <si>
    <t>cum_mpv_w</t>
  </si>
  <si>
    <t>prev_cum_mpv_w</t>
  </si>
  <si>
    <t>meal_premium_allocated_w</t>
  </si>
  <si>
    <t>mpv_shift_less_prems_w</t>
  </si>
  <si>
    <t>cum_rpv</t>
  </si>
  <si>
    <t>prev_cum_rpv</t>
  </si>
  <si>
    <t>rest_premium_allocated</t>
  </si>
  <si>
    <t>rpv_shift_less_prems</t>
  </si>
  <si>
    <t>Pay_Hrs_Wkd</t>
  </si>
  <si>
    <t>Pay_Amount_Hrs_Wkd</t>
  </si>
  <si>
    <t>Base_Rate_Avg</t>
  </si>
  <si>
    <t>Pay_Hours_pp_shift_hrs_diff</t>
  </si>
  <si>
    <t>Pay_Hours_pp_Hours_diff</t>
  </si>
  <si>
    <t>Shifts_per_workweek</t>
  </si>
  <si>
    <t>Avg_Shift_Length</t>
  </si>
  <si>
    <t>Median_Shift_Length</t>
  </si>
  <si>
    <t>Shifts_gt_3_5</t>
  </si>
  <si>
    <t>Shifts_gt_5</t>
  </si>
  <si>
    <t>Shifts_gt_5_lte_6</t>
  </si>
  <si>
    <t>Shifts_gt_6</t>
  </si>
  <si>
    <t>Shifts_e_8</t>
  </si>
  <si>
    <t>Shifts_gt_8</t>
  </si>
  <si>
    <t>Shifts_gt_10</t>
  </si>
  <si>
    <t>Shifts_gt_10_lte_12</t>
  </si>
  <si>
    <t>Shifts_gt_12</t>
  </si>
  <si>
    <t>Shifts_gt_14</t>
  </si>
  <si>
    <t>perc_shifts_gt_3_5</t>
  </si>
  <si>
    <t>perc_shifts_gt_5</t>
  </si>
  <si>
    <t>perc_shifts_gt_5_lte_6</t>
  </si>
  <si>
    <t>perc_shifts_gt_6</t>
  </si>
  <si>
    <t>perc_shifts_e_8</t>
  </si>
  <si>
    <t>perc_shifts_gt_8</t>
  </si>
  <si>
    <t>perc_shifts_gt_10</t>
  </si>
  <si>
    <t>perc_shifts_gt_10_lte_12</t>
  </si>
  <si>
    <t>perc_shifts_gt_12</t>
  </si>
  <si>
    <t>perc_shifts_gt_14</t>
  </si>
  <si>
    <t>perc_mp</t>
  </si>
  <si>
    <t>perc_mp_lt_thirty</t>
  </si>
  <si>
    <t>perc_mp_thirty</t>
  </si>
  <si>
    <t>perc_mp_gt_thirty</t>
  </si>
  <si>
    <t>mpv_rate</t>
  </si>
  <si>
    <t>mpv_rate_w</t>
  </si>
  <si>
    <t>mpv_rate_less_prems</t>
  </si>
  <si>
    <t>mpv_rate_less_prems_w</t>
  </si>
  <si>
    <t>rpv_rate</t>
  </si>
  <si>
    <t>Max of Employees</t>
  </si>
  <si>
    <t>ID_Date</t>
  </si>
  <si>
    <t>In</t>
  </si>
  <si>
    <t>Out</t>
  </si>
  <si>
    <t>Wage_Diff</t>
  </si>
  <si>
    <t>OT underpayment</t>
  </si>
  <si>
    <t>DT underpayment</t>
  </si>
  <si>
    <t>Meal premiums underpayment</t>
  </si>
  <si>
    <t>Rest premiums underpayment</t>
  </si>
  <si>
    <t>Sick time underpayment</t>
  </si>
  <si>
    <t>RROP damages with interest</t>
  </si>
  <si>
    <t>Total RROP underpayments</t>
  </si>
  <si>
    <t>Class_ID</t>
  </si>
  <si>
    <t>Class_Name</t>
  </si>
  <si>
    <t>Time_Present</t>
  </si>
  <si>
    <t>Pay_Present</t>
  </si>
  <si>
    <t>Class_Present</t>
  </si>
  <si>
    <t>Barraza-Benitez, Hector</t>
  </si>
  <si>
    <t>Column1</t>
  </si>
  <si>
    <t>active</t>
  </si>
  <si>
    <t>mp_lt_twenty</t>
  </si>
  <si>
    <t>mp_gt_two_hrs</t>
  </si>
  <si>
    <t>mp_gt_four_hrs</t>
  </si>
  <si>
    <t>mp1_violation</t>
  </si>
  <si>
    <t>mp2_violation</t>
  </si>
  <si>
    <t>mp1_violation_w</t>
  </si>
  <si>
    <t>mp2_violation_w</t>
  </si>
  <si>
    <t>mp_dmgs</t>
  </si>
  <si>
    <t>mp_dmgs_w</t>
  </si>
  <si>
    <t>mp_dmgs_less_prems</t>
  </si>
  <si>
    <t>mp_dmgs_less_prems_w</t>
  </si>
  <si>
    <t>rp_dmgs</t>
  </si>
  <si>
    <t>rp_dmgs_less_prems</t>
  </si>
  <si>
    <t>OT_Diff</t>
  </si>
  <si>
    <t>DT_Diff</t>
  </si>
  <si>
    <t>Meal_Diff</t>
  </si>
  <si>
    <t>Rest_Diff</t>
  </si>
  <si>
    <t>Sick_Diff</t>
  </si>
  <si>
    <t>OT_Overpayment</t>
  </si>
  <si>
    <t>DT_Overpayment</t>
  </si>
  <si>
    <t>Meal_Overpayment</t>
  </si>
  <si>
    <t>Rest_Overpayment</t>
  </si>
  <si>
    <t>Sick_Overpayment</t>
  </si>
  <si>
    <t>OT_rrop_dmgs</t>
  </si>
  <si>
    <t>DT_rrop_dmgs</t>
  </si>
  <si>
    <t>Meal_rrop_dmgs</t>
  </si>
  <si>
    <t>Rest_rrop_dmgs</t>
  </si>
  <si>
    <t>Sick_rrop_dmgs</t>
  </si>
  <si>
    <t>Gross_Overpayment</t>
  </si>
  <si>
    <t>Gross_rrop_dmgs</t>
  </si>
  <si>
    <t>Net_Overpayment</t>
  </si>
  <si>
    <t>Net_rrop_dmgs</t>
  </si>
  <si>
    <t>rrop_any_underpayment</t>
  </si>
  <si>
    <t>rrop_net_underpayment</t>
  </si>
  <si>
    <t>otc_dmgs</t>
  </si>
  <si>
    <t>unreimb_exp_dmgs</t>
  </si>
  <si>
    <t>clock_rounding_dmgs</t>
  </si>
  <si>
    <t>unpaid_ot_dmgs</t>
  </si>
  <si>
    <t>min_wage_dmgs</t>
  </si>
  <si>
    <t>tot_principal_dmgs</t>
  </si>
  <si>
    <t>tot_principal_dmgs_less_prems</t>
  </si>
  <si>
    <t>tot_principal_dmgs_w</t>
  </si>
  <si>
    <t>tot_principal_dmgs_less_prems_w</t>
  </si>
  <si>
    <t>Credit_Amount</t>
  </si>
  <si>
    <t>tot_principal_dmgs_less_credits</t>
  </si>
  <si>
    <t>tot_principal_dmgs_less_prems_and_credits</t>
  </si>
  <si>
    <t>tot_principal_dmgs_less_credits_w</t>
  </si>
  <si>
    <t>tot_principal_dmgs_less_prems_and_credits_w</t>
  </si>
  <si>
    <t>has_dmgs</t>
  </si>
  <si>
    <t>has_dmgs_less_prems</t>
  </si>
  <si>
    <t>has_dmgs_w</t>
  </si>
  <si>
    <t>has_dmgs_less_prems_w</t>
  </si>
  <si>
    <t>has_dmgs_less_credits</t>
  </si>
  <si>
    <t>has_dmgs_less_prems_and_credits</t>
  </si>
  <si>
    <t>has_dmgs_less_credits_w</t>
  </si>
  <si>
    <t>has_dmgs_less_prems_and_credits_w</t>
  </si>
  <si>
    <t>has_wsv_penalties</t>
  </si>
  <si>
    <t>has_wsv_penalties_less_prems</t>
  </si>
  <si>
    <t>has_wsv_penalties_w</t>
  </si>
  <si>
    <t>has_wsv_penalties_less_prems_w</t>
  </si>
  <si>
    <t>has_wsv_penalties_less_credits</t>
  </si>
  <si>
    <t>has_wsv_penalties_less_prems_and_credits</t>
  </si>
  <si>
    <t>has_wsv_penalties_less_credits_w</t>
  </si>
  <si>
    <t>has_wsv_penalties_less_prems_and_credits_w</t>
  </si>
  <si>
    <t>has_wt_penalties</t>
  </si>
  <si>
    <t>has_wt_penalties_less_prems</t>
  </si>
  <si>
    <t>has_wt_penalties_w</t>
  </si>
  <si>
    <t>has_wt_penalties_less_prems_w</t>
  </si>
  <si>
    <t>has_wt_penalties_less_credits</t>
  </si>
  <si>
    <t>has_wt_penalties_less_prems_and_credits</t>
  </si>
  <si>
    <t>has_wt_penalties_less_credits_w</t>
  </si>
  <si>
    <t>has_wt_penalties_less_prems_and_credits_w</t>
  </si>
  <si>
    <t>PAGA_meal_flag</t>
  </si>
  <si>
    <t>PAGA_rest_flag</t>
  </si>
  <si>
    <t>PAGA_rrop_flag</t>
  </si>
  <si>
    <t>PAGA_226_flag</t>
  </si>
  <si>
    <t>PAGA_558_flag</t>
  </si>
  <si>
    <t>PAGA_1197_1_flag</t>
  </si>
  <si>
    <t>PAGA_2802_flag</t>
  </si>
  <si>
    <t>PAGA_meal_flag_w</t>
  </si>
  <si>
    <t>PAGA_226_flag_w</t>
  </si>
  <si>
    <t>PAGA_558_flag_w</t>
  </si>
  <si>
    <t>PAGA_meal_flag_less_prems</t>
  </si>
  <si>
    <t>PAGA_rest_flag_less_prems</t>
  </si>
  <si>
    <t>PAGA_226_flag_less_prems</t>
  </si>
  <si>
    <t>PAGA_558_flag_less_prems</t>
  </si>
  <si>
    <t>PAGA_meal_flag_less_prems_w</t>
  </si>
  <si>
    <t>PAGA_226_flag_less_prems_w</t>
  </si>
  <si>
    <t>PAGA_558_flag_less_prems_w</t>
  </si>
  <si>
    <t>PAGA_meal_flag_less_credits</t>
  </si>
  <si>
    <t>PAGA_rest_flag_less_credits</t>
  </si>
  <si>
    <t>PAGA_rrop_flag_less_credits</t>
  </si>
  <si>
    <t>PAGA_226_flag_less_credits</t>
  </si>
  <si>
    <t>PAGA_558_flag_less_credits</t>
  </si>
  <si>
    <t>PAGA_1197_1_flag_less_credits</t>
  </si>
  <si>
    <t>PAGA_2802_flag_less_credits</t>
  </si>
  <si>
    <t>PAGA_meal_flag_less_prems_and_credits</t>
  </si>
  <si>
    <t>PAGA_rest_flag_less_prems_and_credits</t>
  </si>
  <si>
    <t>PAGA_rrop_flag_less_prems_and_credits</t>
  </si>
  <si>
    <t>PAGA_226_flag_less_prems_and_credits</t>
  </si>
  <si>
    <t>PAGA_558_flag_less_prems_and_credits</t>
  </si>
  <si>
    <t>PAGA_1197_1_flag_less_prems_and_credits</t>
  </si>
  <si>
    <t>PAGA_2802_flag_less_prems_and_credits</t>
  </si>
  <si>
    <t>PAGA_meal_flag_less_credits_w</t>
  </si>
  <si>
    <t>PAGA_rest_flag_less_credits_w</t>
  </si>
  <si>
    <t>PAGA_rrop_flag_less_credits_w</t>
  </si>
  <si>
    <t>PAGA_226_flag_less_credits_w</t>
  </si>
  <si>
    <t>PAGA_558_flag_less_credits_w</t>
  </si>
  <si>
    <t>PAGA_1197_1_flag_less_credits_w</t>
  </si>
  <si>
    <t>PAGA_2802_flag_less_credits_w</t>
  </si>
  <si>
    <t>PAGA_meal_flag_less_prems_and_credits_w</t>
  </si>
  <si>
    <t>PAGA_rest_flag_less_prems_and_credits_w</t>
  </si>
  <si>
    <t>PAGA_rrop_flag_less_prems_and_credits_w</t>
  </si>
  <si>
    <t>PAGA_226_flag_less_prems_and_credits_w</t>
  </si>
  <si>
    <t>PAGA_558_flag_less_prems_and_credits_w</t>
  </si>
  <si>
    <t>PAGA_1197_1_flag_less_prems_and_credits_w</t>
  </si>
  <si>
    <t>PAGA_2802_flag_less_prems_and_credits_w</t>
  </si>
  <si>
    <t>interest</t>
  </si>
  <si>
    <t>interest_less_prems</t>
  </si>
  <si>
    <t>interest_w</t>
  </si>
  <si>
    <t>interest_less_prems_w</t>
  </si>
  <si>
    <t>interest_less_credits</t>
  </si>
  <si>
    <t>interest_less_prems_and_credits</t>
  </si>
  <si>
    <t>interest_less_credits_w</t>
  </si>
  <si>
    <t>interest_less_prems_and_credits_w</t>
  </si>
  <si>
    <t>tot_dmgs</t>
  </si>
  <si>
    <t>tot_dmgs_less_prems</t>
  </si>
  <si>
    <t>tot_dmgs_w</t>
  </si>
  <si>
    <t>tot_dmgs_less_prems_w</t>
  </si>
  <si>
    <t>tot_dmgs_less_credits</t>
  </si>
  <si>
    <t>tot_dmgs_less_prems_and_credits</t>
  </si>
  <si>
    <t>tot_dmgs_less_credits_w</t>
  </si>
  <si>
    <t>tot_dmgs_less_prems_and_credits_w</t>
  </si>
  <si>
    <t>tot_dmgs_w_penalties</t>
  </si>
  <si>
    <t>tot_dmgs_w_penalties_less_prems</t>
  </si>
  <si>
    <t>tot_dmgs_w_penalties_w</t>
  </si>
  <si>
    <t>tot_dmgs_w_penalties_less_prems_w</t>
  </si>
  <si>
    <t>tot_dmgs_w_penalties_less_credits</t>
  </si>
  <si>
    <t>tot_dmgs_w_penalties_less_prems_and_credits</t>
  </si>
  <si>
    <t>tot_dmgs_w_penalties_less_credits_w</t>
  </si>
  <si>
    <t>tot_dmgs_w_penalties_less_prems_and_credits_w</t>
  </si>
  <si>
    <t>mpv_ee_rate_less_prems</t>
  </si>
  <si>
    <t>mpv_ee_rate_less_prems_w</t>
  </si>
  <si>
    <t>rpv_rate_less_prems</t>
  </si>
  <si>
    <t>rpv_ee_rate_less_prems</t>
  </si>
  <si>
    <t>mpv_ee_less_prems</t>
  </si>
  <si>
    <t>mpv_ee_less_prems_w</t>
  </si>
  <si>
    <t>rpv_ee_less_prems</t>
  </si>
  <si>
    <t>mp_ee_dmgs_less_prems</t>
  </si>
  <si>
    <t>mp_ee_dmgs_less_prems_w</t>
  </si>
  <si>
    <t>rp_ee_dmgs_less_prems</t>
  </si>
  <si>
    <t>final_Base_Rate</t>
  </si>
  <si>
    <t>final_RROP</t>
  </si>
  <si>
    <t>wsv_flag_count</t>
  </si>
  <si>
    <t>wsv_penalty</t>
  </si>
  <si>
    <t>wsv_flag_count_w</t>
  </si>
  <si>
    <t>wsv_penalty_w</t>
  </si>
  <si>
    <t>has_wt_period</t>
  </si>
  <si>
    <t>wt_penalty</t>
  </si>
  <si>
    <t>wt_penalty_w</t>
  </si>
  <si>
    <t>in_PAGA_period</t>
  </si>
  <si>
    <t>PAGA_meal_flag_count</t>
  </si>
  <si>
    <t>PAGA_rest_flag_count</t>
  </si>
  <si>
    <t>PAGA_rrop_flag_count</t>
  </si>
  <si>
    <t>PAGA_226_flag_count</t>
  </si>
  <si>
    <t>PAGA_558_flag_count</t>
  </si>
  <si>
    <t>PAGA_1197_1_flag_count</t>
  </si>
  <si>
    <t>PAGA_2802_flag_count</t>
  </si>
  <si>
    <t>PAGA_meal_flag_count_w</t>
  </si>
  <si>
    <t>PAGA_226_flag_count_w</t>
  </si>
  <si>
    <t>PAGA_558_flag_count_w</t>
  </si>
  <si>
    <t>PAGA_meal_flag_count_less_prems</t>
  </si>
  <si>
    <t>PAGA_rest_flag_count_less_prems</t>
  </si>
  <si>
    <t>PAGA_rrop_flag_count_less_prems</t>
  </si>
  <si>
    <t>PAGA_226_flag_count_less_prems</t>
  </si>
  <si>
    <t>PAGA_558_flag_count_less_prems</t>
  </si>
  <si>
    <t>PAGA_1197_1_flag_count_less_prems</t>
  </si>
  <si>
    <t>PAGA_2802_flag_count_less_prems</t>
  </si>
  <si>
    <t>PAGA_meal_flag_count_less_prems_w</t>
  </si>
  <si>
    <t>PAGA_226_flag_count_less_prems_w</t>
  </si>
  <si>
    <t>PAGA_558_flag_count_less_prems_w</t>
  </si>
  <si>
    <t>PAGA_meal_flag_count_less_credits</t>
  </si>
  <si>
    <t>PAGA_rest_flag_count_less_credits</t>
  </si>
  <si>
    <t>PAGA_rrop_flag_count_less_credits</t>
  </si>
  <si>
    <t>PAGA_226_flag_count_less_credits</t>
  </si>
  <si>
    <t>PAGA_558_flag_count_less_credits</t>
  </si>
  <si>
    <t>PAGA_1197_1_flag_count_less_credits</t>
  </si>
  <si>
    <t>PAGA_2802_flag_count_less_credits</t>
  </si>
  <si>
    <t>PAGA_meal_flag_count_less_prems_and_credits</t>
  </si>
  <si>
    <t>PAGA_rest_flag_count_less_prems_and_credits</t>
  </si>
  <si>
    <t>PAGA_rrop_flag_count_less_prems_and_credits</t>
  </si>
  <si>
    <t>PAGA_226_flag_count_less_prems_and_credits</t>
  </si>
  <si>
    <t>PAGA_558_flag_count_less_prems_and_credits</t>
  </si>
  <si>
    <t>PAGA_1197_1_flag_count_less_prems_and_credits</t>
  </si>
  <si>
    <t>PAGA_2802_flag_count_less_prems_and_credits</t>
  </si>
  <si>
    <t>PAGA_meal_flag_count_less_credits_w</t>
  </si>
  <si>
    <t>PAGA_rest_flag_count_less_credits_w</t>
  </si>
  <si>
    <t>PAGA_rrop_flag_count_less_credits_w</t>
  </si>
  <si>
    <t>PAGA_226_flag_count_less_credits_w</t>
  </si>
  <si>
    <t>PAGA_558_flag_count_less_credits_w</t>
  </si>
  <si>
    <t>PAGA_1197_1_flag_count_less_credits_w</t>
  </si>
  <si>
    <t>PAGA_2802_flag_count_less_credits_w</t>
  </si>
  <si>
    <t>PAGA_meal_flag_count_less_prems_and_credits_w</t>
  </si>
  <si>
    <t>PAGA_rest_flag_count_less_prems_and_credits_w</t>
  </si>
  <si>
    <t>PAGA_rrop_flag_count_less_prems_and_credits_w</t>
  </si>
  <si>
    <t>PAGA_226_flag_count_less_prems_and_credits_w</t>
  </si>
  <si>
    <t>PAGA_558_flag_count_less_prems_and_credits_w</t>
  </si>
  <si>
    <t>PAGA_1197_1_flag_count_less_prems_and_credits_w</t>
  </si>
  <si>
    <t>PAGA_2802_flag_count_less_prems_and_credits_w</t>
  </si>
  <si>
    <t>PAGA_meal_penalties</t>
  </si>
  <si>
    <t>PAGA_rest_penalties</t>
  </si>
  <si>
    <t>PAGA_rrop_penalties</t>
  </si>
  <si>
    <t>PAGA_226_penalties</t>
  </si>
  <si>
    <t>PAGA_558_penalties</t>
  </si>
  <si>
    <t>PAGA_1197_1_penalties</t>
  </si>
  <si>
    <t>PAGA_1174_penalties</t>
  </si>
  <si>
    <t>PAGA_2802_penalties</t>
  </si>
  <si>
    <t>PAGA_203_penalties</t>
  </si>
  <si>
    <t>PAGA_meal_penalties_w</t>
  </si>
  <si>
    <t>PAGA_226_penalties_w</t>
  </si>
  <si>
    <t>PAGA_558_penalties_w</t>
  </si>
  <si>
    <t>PAGA_meal_penalties_less_prems</t>
  </si>
  <si>
    <t>PAGA_rest_penalties_less_prems</t>
  </si>
  <si>
    <t>PAGA_rrop_penalties_less_prems</t>
  </si>
  <si>
    <t>PAGA_226_penalties_less_prems</t>
  </si>
  <si>
    <t>PAGA_558_penalties_less_prems</t>
  </si>
  <si>
    <t>PAGA_1197_1_penalties_less_prems</t>
  </si>
  <si>
    <t>PAGA_1174_penalties_less_prems</t>
  </si>
  <si>
    <t>PAGA_2802_penalties_less_prems</t>
  </si>
  <si>
    <t>PAGA_203_penalties_less_prems</t>
  </si>
  <si>
    <t>PAGA_meal_penalties_less_prems_w</t>
  </si>
  <si>
    <t>PAGA_226_penalties_less_prems_w</t>
  </si>
  <si>
    <t>PAGA_558_penalties_less_prems_w</t>
  </si>
  <si>
    <t>PAGA_meal_penalties_less_credits</t>
  </si>
  <si>
    <t>PAGA_rest_penalties_less_credits</t>
  </si>
  <si>
    <t>PAGA_rrop_penalties_less_credits</t>
  </si>
  <si>
    <t>PAGA_226_penalties_less_credits</t>
  </si>
  <si>
    <t>PAGA_558_penalties_less_credits</t>
  </si>
  <si>
    <t>PAGA_1197_1_penalties_less_credits</t>
  </si>
  <si>
    <t>PAGA_1174_penalties_less_credits</t>
  </si>
  <si>
    <t>PAGA_2802_penalties_less_credits</t>
  </si>
  <si>
    <t>PAGA_203_penalties_less_credits</t>
  </si>
  <si>
    <t>PAGA_meal_penalties_less_prems_and_credits</t>
  </si>
  <si>
    <t>PAGA_rest_penalties_less_prems_and_credits</t>
  </si>
  <si>
    <t>PAGA_rrop_penalties_less_prems_and_credits</t>
  </si>
  <si>
    <t>PAGA_226_penalties_less_prems_and_credits</t>
  </si>
  <si>
    <t>PAGA_558_penalties_less_prems_and_credits</t>
  </si>
  <si>
    <t>PAGA_1197_1_penalties_less_prems_and_credits</t>
  </si>
  <si>
    <t>PAGA_1174_penalties_less_prems_and_credits</t>
  </si>
  <si>
    <t>PAGA_2802_penalties_less_prems_and_credits</t>
  </si>
  <si>
    <t>PAGA_203_penalties_less_prems_and_credits</t>
  </si>
  <si>
    <t>PAGA_meal_penalties_less_credits_w</t>
  </si>
  <si>
    <t>PAGA_rest_penalties_less_credits_w</t>
  </si>
  <si>
    <t>PAGA_rrop_penalties_less_credits_w</t>
  </si>
  <si>
    <t>PAGA_226_penalties_less_credits_w</t>
  </si>
  <si>
    <t>PAGA_558_penalties_less_credits_w</t>
  </si>
  <si>
    <t>PAGA_1197_1_penalties_less_credits_w</t>
  </si>
  <si>
    <t>PAGA_1174_penalties_less_credits_w</t>
  </si>
  <si>
    <t>PAGA_2802_penalties_less_credits_w</t>
  </si>
  <si>
    <t>PAGA_203_penalties_less_credits_w</t>
  </si>
  <si>
    <t>PAGA_meal_penalties_less_prems_and_credits_w</t>
  </si>
  <si>
    <t>PAGA_rest_penalties_less_prems_and_credits_w</t>
  </si>
  <si>
    <t>PAGA_rrop_penalties_less_prems_and_credits_w</t>
  </si>
  <si>
    <t>PAGA_226_penalties_less_prems_and_credits_w</t>
  </si>
  <si>
    <t>PAGA_558_penalties_less_prems_and_credits_w</t>
  </si>
  <si>
    <t>PAGA_1197_1_penalties_less_prems_and_credits_w</t>
  </si>
  <si>
    <t>PAGA_1174_penalties_less_prems_and_credits_w</t>
  </si>
  <si>
    <t>PAGA_2802_penalties_less_prems_and_credits_w</t>
  </si>
  <si>
    <t>PAGA_203_penalties_less_prems_and_credits_w</t>
  </si>
  <si>
    <t>PAGA_tot</t>
  </si>
  <si>
    <t>PAGA_tot_w</t>
  </si>
  <si>
    <t>PAGA_tot_less_prems</t>
  </si>
  <si>
    <t>PAGA_tot_less_prems_w</t>
  </si>
  <si>
    <t>PAGA_tot_less_credits</t>
  </si>
  <si>
    <t>PAGA_tot_less_prems_and_credits</t>
  </si>
  <si>
    <t>PAGA_tot_less_credits_w</t>
  </si>
  <si>
    <t>PAGA_tot_less_prems_and_credits_w</t>
  </si>
  <si>
    <t>Pay_Date_min</t>
  </si>
  <si>
    <t>Period_Beg_min</t>
  </si>
  <si>
    <t>Period_End_min</t>
  </si>
  <si>
    <t>Base_Rate_mean</t>
  </si>
  <si>
    <t>RROP_mean</t>
  </si>
  <si>
    <t>CA_min_wage_mean</t>
  </si>
  <si>
    <t>double_CA_min_wage_mean</t>
  </si>
  <si>
    <t>Base_Rate_median</t>
  </si>
  <si>
    <t>RROP_median</t>
  </si>
  <si>
    <t>CA_min_wage_median</t>
  </si>
  <si>
    <t>double_CA_min_wage_median</t>
  </si>
  <si>
    <t>Shift Hrs</t>
  </si>
  <si>
    <t>Percent of Records</t>
  </si>
  <si>
    <t>Percent of Days</t>
  </si>
  <si>
    <t>Non Work Hrs</t>
  </si>
  <si>
    <t>Meal Period Hrs</t>
  </si>
  <si>
    <t>Meal Start Time</t>
  </si>
  <si>
    <t>Quarter Hour Type</t>
  </si>
  <si>
    <t>Avg Rate</t>
  </si>
  <si>
    <t>Avg Mult</t>
  </si>
  <si>
    <t>Rate Type</t>
  </si>
  <si>
    <t>Rate Type Pct</t>
  </si>
  <si>
    <t>Pay Code Category</t>
  </si>
  <si>
    <t>BONUS (field 4)</t>
  </si>
  <si>
    <t>BONUS REVIW</t>
  </si>
  <si>
    <t>Bonus</t>
  </si>
  <si>
    <t>COMMISSION (field 4)</t>
  </si>
  <si>
    <t>Commission</t>
  </si>
  <si>
    <t>================================================================================</t>
  </si>
  <si>
    <t>Metric Group</t>
  </si>
  <si>
    <t>Metric Label</t>
  </si>
  <si>
    <t>Waiver Scenario</t>
  </si>
  <si>
    <t>Extrapolated</t>
  </si>
  <si>
    <t>2020</t>
  </si>
  <si>
    <t>2021</t>
  </si>
  <si>
    <t>2022</t>
  </si>
  <si>
    <t>2023</t>
  </si>
  <si>
    <t>2024</t>
  </si>
  <si>
    <t>2025</t>
  </si>
  <si>
    <t>2026</t>
  </si>
  <si>
    <t>Base_Rate</t>
  </si>
  <si>
    <t>pp_Reg_Amt</t>
  </si>
  <si>
    <t>pay_row_id</t>
  </si>
  <si>
    <t>i.RROP</t>
  </si>
  <si>
    <t>pp_ot</t>
  </si>
  <si>
    <t>pp_dt</t>
  </si>
  <si>
    <t>pp_ca_ot_hrs</t>
  </si>
  <si>
    <t>pp_ca_dt_hrs</t>
  </si>
  <si>
    <t>mpv_ee</t>
  </si>
  <si>
    <t>mpv_ee_w</t>
  </si>
  <si>
    <t>rpv_ee</t>
  </si>
  <si>
    <t>shift_row_id</t>
  </si>
  <si>
    <t>has_shift</t>
  </si>
  <si>
    <t>has_pay</t>
  </si>
  <si>
    <t>ee_flag</t>
  </si>
  <si>
    <t>RROP_ee</t>
  </si>
  <si>
    <t>unpaid_ot_hrs</t>
  </si>
  <si>
    <t>unpaid_dt_hrs</t>
  </si>
  <si>
    <t>unpaid_hrs_total</t>
  </si>
  <si>
    <t>unpaid_ot_dmgs_raw</t>
  </si>
  <si>
    <t>interest_months</t>
  </si>
  <si>
    <t>pp_count</t>
  </si>
  <si>
    <t>wsv_pp_count</t>
  </si>
  <si>
    <t>wsv_penalty_flag</t>
  </si>
  <si>
    <t>wsv_penalty_flag_less_prems</t>
  </si>
  <si>
    <t>wsv_flag_count_less_prems</t>
  </si>
  <si>
    <t>wsv_penalty_less_prems</t>
  </si>
  <si>
    <t>wsv_penalty_flag_w</t>
  </si>
  <si>
    <t>wsv_penalty_flag_less_prems_w</t>
  </si>
  <si>
    <t>wsv_flag_count_less_prems_w</t>
  </si>
  <si>
    <t>wsv_penalty_less_prems_w</t>
  </si>
  <si>
    <t>wsv_penalty_flag_less_credits</t>
  </si>
  <si>
    <t>wsv_flag_count_less_credits</t>
  </si>
  <si>
    <t>wsv_penalty_less_credits</t>
  </si>
  <si>
    <t>wsv_penalty_flag_less_prems_and_credits</t>
  </si>
  <si>
    <t>wsv_flag_count_less_prems_and_credits</t>
  </si>
  <si>
    <t>wsv_penalty_less_prems_and_credits</t>
  </si>
  <si>
    <t>wsv_penalty_flag_less_credits_w</t>
  </si>
  <si>
    <t>wsv_flag_count_less_credits_w</t>
  </si>
  <si>
    <t>wsv_penalty_less_credits_w</t>
  </si>
  <si>
    <t>wsv_penalty_flag_less_prems_and_credits_w</t>
  </si>
  <si>
    <t>wsv_flag_count_less_prems_and_credits_w</t>
  </si>
  <si>
    <t>wsv_penalty_less_prems_and_credits_w</t>
  </si>
  <si>
    <t>wt_rate</t>
  </si>
  <si>
    <t>wt_penalty_less_prems</t>
  </si>
  <si>
    <t>wt_penalty_less_prems_w</t>
  </si>
  <si>
    <t>wt_penalty_less_credits</t>
  </si>
  <si>
    <t>wt_penalty_less_prems_and_credits</t>
  </si>
  <si>
    <t>wt_penalty_less_credits_w</t>
  </si>
  <si>
    <t>wt_penalty_less_prems_and_credits_w</t>
  </si>
  <si>
    <t>paga_ee_flag</t>
  </si>
  <si>
    <t>PAGA_1174_flag</t>
  </si>
  <si>
    <t>PAGA_203_flag</t>
  </si>
  <si>
    <t>has_paga_penalties</t>
  </si>
  <si>
    <t>PAGA_rest_flag_w</t>
  </si>
  <si>
    <t>PAGA_rest_flag_count_w</t>
  </si>
  <si>
    <t>PAGA_rest_penalties_w</t>
  </si>
  <si>
    <t>PAGA_rrop_flag_w</t>
  </si>
  <si>
    <t>PAGA_rrop_flag_count_w</t>
  </si>
  <si>
    <t>PAGA_rrop_penalties_w</t>
  </si>
  <si>
    <t>PAGA_1197_1_flag_w</t>
  </si>
  <si>
    <t>PAGA_1197_1_flag_count_w</t>
  </si>
  <si>
    <t>PAGA_1197_1_penalties_w</t>
  </si>
  <si>
    <t>PAGA_1174_flag_w</t>
  </si>
  <si>
    <t>PAGA_1174_penalties_w</t>
  </si>
  <si>
    <t>PAGA_2802_flag_w</t>
  </si>
  <si>
    <t>PAGA_2802_flag_count_w</t>
  </si>
  <si>
    <t>PAGA_2802_penalties_w</t>
  </si>
  <si>
    <t>PAGA_203_flag_w</t>
  </si>
  <si>
    <t>PAGA_203_penalties_w</t>
  </si>
  <si>
    <t>PAGA_rrop_flag_less_prems</t>
  </si>
  <si>
    <t>PAGA_1197_1_flag_less_prems</t>
  </si>
  <si>
    <t>PAGA_1174_flag_less_prems</t>
  </si>
  <si>
    <t>PAGA_2802_flag_less_prems</t>
  </si>
  <si>
    <t>PAGA_203_flag_less_prems</t>
  </si>
  <si>
    <t>PAGA_rest_flag_less_prems_w</t>
  </si>
  <si>
    <t>PAGA_rest_flag_count_less_prems_w</t>
  </si>
  <si>
    <t>PAGA_rest_penalties_less_prems_w</t>
  </si>
  <si>
    <t>PAGA_rrop_flag_less_prems_w</t>
  </si>
  <si>
    <t>PAGA_rrop_flag_count_less_prems_w</t>
  </si>
  <si>
    <t>PAGA_rrop_penalties_less_prems_w</t>
  </si>
  <si>
    <t>PAGA_1197_1_flag_less_prems_w</t>
  </si>
  <si>
    <t>PAGA_1197_1_flag_count_less_prems_w</t>
  </si>
  <si>
    <t>PAGA_1197_1_penalties_less_prems_w</t>
  </si>
  <si>
    <t>PAGA_1174_flag_less_prems_w</t>
  </si>
  <si>
    <t>PAGA_1174_penalties_less_prems_w</t>
  </si>
  <si>
    <t>PAGA_2802_flag_less_prems_w</t>
  </si>
  <si>
    <t>PAGA_2802_flag_count_less_prems_w</t>
  </si>
  <si>
    <t>PAGA_2802_penalties_less_prems_w</t>
  </si>
  <si>
    <t>PAGA_203_flag_less_prems_w</t>
  </si>
  <si>
    <t>PAGA_203_penalties_less_prems_w</t>
  </si>
  <si>
    <t>PAGA_1174_flag_less_credits</t>
  </si>
  <si>
    <t>PAGA_203_flag_less_credits</t>
  </si>
  <si>
    <t>PAGA_1174_flag_less_prems_and_credits</t>
  </si>
  <si>
    <t>PAGA_203_flag_less_prems_and_credits</t>
  </si>
  <si>
    <t>PAGA_1174_flag_less_credits_w</t>
  </si>
  <si>
    <t>PAGA_203_flag_less_credits_w</t>
  </si>
  <si>
    <t>PAGA_1174_flag_less_prems_and_credits_w</t>
  </si>
  <si>
    <t>PAGA_203_flag_less_prems_and_credits_w</t>
  </si>
  <si>
    <t>ee_has_dmgs</t>
  </si>
  <si>
    <t>ee_has_dmgs_less_prems</t>
  </si>
  <si>
    <t>ee_has_dmgs_w</t>
  </si>
  <si>
    <t>ee_has_dmgs_less_prems_w</t>
  </si>
  <si>
    <t>ee_has_dmgs_less_credits</t>
  </si>
  <si>
    <t>ee_has_dmgs_less_prems_and_credits</t>
  </si>
  <si>
    <t>ee_has_dmgs_less_credits_w</t>
  </si>
  <si>
    <t>ee_has_dmgs_less_prems_and_credits_w</t>
  </si>
  <si>
    <t>ee_has_wsv_penalties</t>
  </si>
  <si>
    <t>ee_has_wsv_penalties_less_prems</t>
  </si>
  <si>
    <t>ee_has_wsv_penalties_w</t>
  </si>
  <si>
    <t>ee_has_wsv_penalties_less_prems_w</t>
  </si>
  <si>
    <t>ee_has_wsv_penalties_less_credits</t>
  </si>
  <si>
    <t>ee_has_wsv_penalties_less_prems_and_credits</t>
  </si>
  <si>
    <t>ee_has_wsv_penalties_less_credits_w</t>
  </si>
  <si>
    <t>ee_has_wsv_penalties_less_prems_and_credits_w</t>
  </si>
  <si>
    <t>ee_has_wt_penalties</t>
  </si>
  <si>
    <t>ee_has_wt_penalties_less_prems</t>
  </si>
  <si>
    <t>ee_has_wt_penalties_w</t>
  </si>
  <si>
    <t>ee_has_wt_penalties_less_prems_w</t>
  </si>
  <si>
    <t>ee_has_wt_penalties_less_credits</t>
  </si>
  <si>
    <t>ee_has_wt_penalties_less_prems_and_credits</t>
  </si>
  <si>
    <t>ee_has_wt_penalties_less_credits_w</t>
  </si>
  <si>
    <t>ee_has_wt_penalties_less_prems_and_credits_w</t>
  </si>
  <si>
    <t>ee_has_paga_penalties</t>
  </si>
  <si>
    <t>ee_has_paga_meal</t>
  </si>
  <si>
    <t>ee_has_paga_rest</t>
  </si>
  <si>
    <t>ee_has_paga_rrop</t>
  </si>
  <si>
    <t>ee_has_paga_226</t>
  </si>
  <si>
    <t>ee_has_paga_558</t>
  </si>
  <si>
    <t>ee_has_paga_1197_1</t>
  </si>
  <si>
    <t>ee_has_paga_1174</t>
  </si>
  <si>
    <t>ee_has_paga_2802</t>
  </si>
  <si>
    <t>ee_has_paga_203</t>
  </si>
  <si>
    <t>ee_has_paga_penalties_w</t>
  </si>
  <si>
    <t>ee_has_paga_meal_w</t>
  </si>
  <si>
    <t>ee_has_paga_rest_w</t>
  </si>
  <si>
    <t>ee_has_paga_rrop_w</t>
  </si>
  <si>
    <t>ee_has_paga_226_w</t>
  </si>
  <si>
    <t>ee_has_paga_558_w</t>
  </si>
  <si>
    <t>ee_has_paga_1197_1_w</t>
  </si>
  <si>
    <t>ee_has_paga_1174_w</t>
  </si>
  <si>
    <t>ee_has_paga_2802_w</t>
  </si>
  <si>
    <t>ee_has_paga_203_w</t>
  </si>
  <si>
    <t>ee_has_paga_penalties_less_prems</t>
  </si>
  <si>
    <t>ee_has_paga_meal_less_prems</t>
  </si>
  <si>
    <t>ee_has_paga_rest_less_prems</t>
  </si>
  <si>
    <t>ee_has_paga_rrop_less_prems</t>
  </si>
  <si>
    <t>ee_has_paga_226_less_prems</t>
  </si>
  <si>
    <t>ee_has_paga_558_less_prems</t>
  </si>
  <si>
    <t>ee_has_paga_1197_1_less_prems</t>
  </si>
  <si>
    <t>ee_has_paga_1174_less_prems</t>
  </si>
  <si>
    <t>ee_has_paga_2802_less_prems</t>
  </si>
  <si>
    <t>ee_has_paga_203_less_prems</t>
  </si>
  <si>
    <t>ee_has_paga_penalties_less_prems_w</t>
  </si>
  <si>
    <t>ee_has_paga_meal_less_prems_w</t>
  </si>
  <si>
    <t>ee_has_paga_rest_less_prems_w</t>
  </si>
  <si>
    <t>ee_has_paga_rrop_less_prems_w</t>
  </si>
  <si>
    <t>ee_has_paga_226_less_prems_w</t>
  </si>
  <si>
    <t>ee_has_paga_558_less_prems_w</t>
  </si>
  <si>
    <t>ee_has_paga_1197_1_less_prems_w</t>
  </si>
  <si>
    <t>ee_has_paga_1174_less_prems_w</t>
  </si>
  <si>
    <t>ee_has_paga_2802_less_prems_w</t>
  </si>
  <si>
    <t>ee_has_paga_203_less_prems_w</t>
  </si>
  <si>
    <t>ee_has_paga_penalties_less_credits</t>
  </si>
  <si>
    <t>ee_has_paga_meal_less_credits</t>
  </si>
  <si>
    <t>ee_has_paga_rest_less_credits</t>
  </si>
  <si>
    <t>ee_has_paga_rrop_less_credits</t>
  </si>
  <si>
    <t>ee_has_paga_226_less_credits</t>
  </si>
  <si>
    <t>ee_has_paga_558_less_credits</t>
  </si>
  <si>
    <t>ee_has_paga_1197_1_less_credits</t>
  </si>
  <si>
    <t>ee_has_paga_1174_less_credits</t>
  </si>
  <si>
    <t>ee_has_paga_2802_less_credits</t>
  </si>
  <si>
    <t>ee_has_paga_203_less_credits</t>
  </si>
  <si>
    <t>ee_has_paga_penalties_less_prems_and_credits</t>
  </si>
  <si>
    <t>ee_has_paga_meal_less_prems_and_credits</t>
  </si>
  <si>
    <t>ee_has_paga_rest_less_prems_and_credits</t>
  </si>
  <si>
    <t>ee_has_paga_rrop_less_prems_and_credits</t>
  </si>
  <si>
    <t>ee_has_paga_226_less_prems_and_credits</t>
  </si>
  <si>
    <t>ee_has_paga_558_less_prems_and_credits</t>
  </si>
  <si>
    <t>ee_has_paga_1197_1_less_prems_and_credits</t>
  </si>
  <si>
    <t>ee_has_paga_1174_less_prems_and_credits</t>
  </si>
  <si>
    <t>ee_has_paga_2802_less_prems_and_credits</t>
  </si>
  <si>
    <t>ee_has_paga_203_less_prems_and_credits</t>
  </si>
  <si>
    <t>ee_has_paga_penalties_less_credits_w</t>
  </si>
  <si>
    <t>ee_has_paga_meal_less_credits_w</t>
  </si>
  <si>
    <t>ee_has_paga_rest_less_credits_w</t>
  </si>
  <si>
    <t>ee_has_paga_rrop_less_credits_w</t>
  </si>
  <si>
    <t>ee_has_paga_226_less_credits_w</t>
  </si>
  <si>
    <t>ee_has_paga_558_less_credits_w</t>
  </si>
  <si>
    <t>ee_has_paga_1197_1_less_credits_w</t>
  </si>
  <si>
    <t>ee_has_paga_1174_less_credits_w</t>
  </si>
  <si>
    <t>ee_has_paga_2802_less_credits_w</t>
  </si>
  <si>
    <t>ee_has_paga_203_less_credits_w</t>
  </si>
  <si>
    <t>ee_has_paga_penalties_less_prems_and_credits_w</t>
  </si>
  <si>
    <t>ee_has_paga_meal_less_prems_and_credits_w</t>
  </si>
  <si>
    <t>ee_has_paga_rest_less_prems_and_credits_w</t>
  </si>
  <si>
    <t>ee_has_paga_rrop_less_prems_and_credits_w</t>
  </si>
  <si>
    <t>ee_has_paga_226_less_prems_and_credits_w</t>
  </si>
  <si>
    <t>ee_has_paga_558_less_prems_and_credits_w</t>
  </si>
  <si>
    <t>ee_has_paga_1197_1_less_prems_and_credits_w</t>
  </si>
  <si>
    <t>ee_has_paga_1174_less_prems_and_credits_w</t>
  </si>
  <si>
    <t>ee_has_paga_2802_less_prems_and_credits_w</t>
  </si>
  <si>
    <t>ee_has_paga_203_less_prems_and_credits_w</t>
  </si>
  <si>
    <t>Key Group</t>
  </si>
  <si>
    <t>Min Period End</t>
  </si>
  <si>
    <t>Max Period End</t>
  </si>
  <si>
    <t>Pay Periods</t>
  </si>
  <si>
    <t>Avg Amount</t>
  </si>
  <si>
    <t>table</t>
  </si>
  <si>
    <t>records_before</t>
  </si>
  <si>
    <t>ids_before</t>
  </si>
  <si>
    <t>records_removed_class</t>
  </si>
  <si>
    <t>ids_removed_class</t>
  </si>
  <si>
    <t>records_removed_date</t>
  </si>
  <si>
    <t>ids_removed_date</t>
  </si>
  <si>
    <t>records_final</t>
  </si>
  <si>
    <t>ids_final</t>
  </si>
  <si>
    <t>Pay_Code_Rate_Type</t>
  </si>
  <si>
    <t>Pay_Page</t>
  </si>
  <si>
    <t>PP_Beg_In_Pay</t>
  </si>
  <si>
    <t>PP_End_In_Pay</t>
  </si>
  <si>
    <t>Rate_Mult</t>
  </si>
  <si>
    <t>pp_Base_Rate</t>
  </si>
  <si>
    <t>prior_pp_Base_Rate</t>
  </si>
  <si>
    <t>prior_pp_Reg_Amt</t>
  </si>
  <si>
    <t>qtr_Base_Rate</t>
  </si>
  <si>
    <t>qtr_Reg_Amt</t>
  </si>
  <si>
    <t>prior_qtr_Base_Rate</t>
  </si>
  <si>
    <t>prior_qtr_Reg_Amt</t>
  </si>
  <si>
    <t>Bonus_FLSA_rrop</t>
  </si>
  <si>
    <t>Commission_FLSA_rrop</t>
  </si>
  <si>
    <t>BONUS REVIW_FLSA_rrop</t>
  </si>
  <si>
    <t>BONUS (field 4)_FLSA_rrop</t>
  </si>
  <si>
    <t>COMMISSION (field 4)_FLSA_rrop</t>
  </si>
  <si>
    <t>Bonus_FLSA_rrop_OT_wage</t>
  </si>
  <si>
    <t>Bonus_FLSA_rrop_DT_wage</t>
  </si>
  <si>
    <t>Bonus_FLSA_rrop_Meal_wage</t>
  </si>
  <si>
    <t>Bonus_FLSA_rrop_Rest_wage</t>
  </si>
  <si>
    <t>Bonus_FLSA_rrop_Sick_wage</t>
  </si>
  <si>
    <t>Commission_FLSA_rrop_OT_wage</t>
  </si>
  <si>
    <t>Commission_FLSA_rrop_DT_wage</t>
  </si>
  <si>
    <t>Commission_FLSA_rrop_Meal_wage</t>
  </si>
  <si>
    <t>Commission_FLSA_rrop_Rest_wage</t>
  </si>
  <si>
    <t>Commission_FLSA_rrop_Sick_wage</t>
  </si>
  <si>
    <t>BONUS REVIW_FLSA_rrop_OT_wage</t>
  </si>
  <si>
    <t>BONUS REVIW_FLSA_rrop_DT_wage</t>
  </si>
  <si>
    <t>BONUS REVIW_FLSA_rrop_Meal_wage</t>
  </si>
  <si>
    <t>BONUS REVIW_FLSA_rrop_Rest_wage</t>
  </si>
  <si>
    <t>BONUS REVIW_FLSA_rrop_Sick_wage</t>
  </si>
  <si>
    <t>BONUS (field 4)_FLSA_rrop_OT_wage</t>
  </si>
  <si>
    <t>BONUS (field 4)_FLSA_rrop_DT_wage</t>
  </si>
  <si>
    <t>BONUS (field 4)_FLSA_rrop_Meal_wage</t>
  </si>
  <si>
    <t>BONUS (field 4)_FLSA_rrop_Rest_wage</t>
  </si>
  <si>
    <t>BONUS (field 4)_FLSA_rrop_Sick_wage</t>
  </si>
  <si>
    <t>COMMISSION (field 4)_FLSA_rrop_OT_wage</t>
  </si>
  <si>
    <t>COMMISSION (field 4)_FLSA_rrop_DT_wage</t>
  </si>
  <si>
    <t>COMMISSION (field 4)_FLSA_rrop_Meal_wage</t>
  </si>
  <si>
    <t>COMMISSION (field 4)_FLSA_rrop_Rest_wage</t>
  </si>
  <si>
    <t>COMMISSION (field 4)_FLSA_rrop_Sick_wage</t>
  </si>
  <si>
    <t>weeks_5_8</t>
  </si>
  <si>
    <t>weeks_6_plus_shifts</t>
  </si>
  <si>
    <t>pct_5_8</t>
  </si>
  <si>
    <t>pct_6_plus_shifts</t>
  </si>
  <si>
    <t>avg_shifts_per_week</t>
  </si>
  <si>
    <t>Unsure</t>
  </si>
  <si>
    <t>DotW</t>
  </si>
  <si>
    <t>Elapsed</t>
  </si>
  <si>
    <t>Lunch_Modifier</t>
  </si>
  <si>
    <t>Code</t>
  </si>
  <si>
    <t>Worked_Dept</t>
  </si>
  <si>
    <t>ID_Orig</t>
  </si>
  <si>
    <t>Page</t>
  </si>
  <si>
    <t>Out_Type</t>
  </si>
  <si>
    <t>wk_time_off</t>
  </si>
  <si>
    <t>Shift_ID</t>
  </si>
  <si>
    <t>duplicate_flag</t>
  </si>
  <si>
    <t>overlap_flag</t>
  </si>
  <si>
    <t>hrs_wkd</t>
  </si>
  <si>
    <t>mp_one_min</t>
  </si>
  <si>
    <t>mp_forty_five</t>
  </si>
  <si>
    <t>cons_shift_ct</t>
  </si>
  <si>
    <t>ot_seventh_day</t>
  </si>
  <si>
    <t>dt_seventh_day</t>
  </si>
  <si>
    <t>ca_ot_hrs</t>
  </si>
  <si>
    <t>ca_dt_hrs</t>
  </si>
  <si>
    <t>wk_ca_ot</t>
  </si>
  <si>
    <t>wk_ca_dt</t>
  </si>
  <si>
    <t>wk_ot</t>
  </si>
  <si>
    <t>wk_has_ot</t>
  </si>
  <si>
    <t>shifts_analyzed</t>
  </si>
  <si>
    <t>ee_diff</t>
  </si>
  <si>
    <t>meal_prem_hrs_ee</t>
  </si>
  <si>
    <t>meal_prem_amt_ee</t>
  </si>
  <si>
    <t>rest_prem_hrs_ee</t>
  </si>
  <si>
    <t>rest_prem_amt_ee</t>
  </si>
  <si>
    <t>Meal_Prem_Hrs_per_ee</t>
  </si>
  <si>
    <t>Meal_Prem_Amt_per_ee</t>
  </si>
  <si>
    <t>Rest_Prem_Hrs_per_ee</t>
  </si>
  <si>
    <t>Rest_Prem_Amt_per_ee</t>
  </si>
  <si>
    <t>mpv_per_pp_per_ee</t>
  </si>
  <si>
    <t>mpv_per_pp_per_ee_w</t>
  </si>
  <si>
    <t>rpv_per_pp_per_ee</t>
  </si>
  <si>
    <t>mpv_per_pp_less_prems_per_ee</t>
  </si>
  <si>
    <t>mpv_per_pp_less_prems_per_ee_w</t>
  </si>
  <si>
    <t>rpv_per_pp_less_prems_per_ee</t>
  </si>
  <si>
    <t>mpv_ee_less_prems_per_ee</t>
  </si>
  <si>
    <t>mpv_ee_less_prems_per_ee_w</t>
  </si>
  <si>
    <t>rpv_ee_less_prems_per_ee</t>
  </si>
  <si>
    <t>_1</t>
  </si>
  <si>
    <t>_2</t>
  </si>
  <si>
    <t>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</si>
</sst>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0.0%"/>
    <numFmt numFmtId="165" formatCode="mm/dd/yy;@"/>
    <numFmt numFmtId="166" formatCode="&quot;$&quot;#,##0"/>
    <numFmt numFmtId="167" formatCode="#,##0.000"/>
    <numFmt numFmtId="168" formatCode="#,##0.0"/>
    <numFmt numFmtId="169" formatCode="&quot;$&quot;#,##0.00"/>
    <numFmt numFmtId="170" formatCode="0.0"/>
    <numFmt numFmtId="171" formatCode="[$-409]m/d/yy\ h:mm\ AM/PM;@"/>
  </numFmts>
  <fonts count="48" x14ac:knownFonts="1">
    <font>
      <sz val="10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name val="Arial"/>
      <family val="2"/>
    </font>
    <font>
      <sz val="11"/>
      <color rgb="FF00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rial"/>
      <family val="2"/>
    </font>
    <font>
      <sz val="9"/>
      <color indexed="81"/>
      <name val="Tahoma"/>
      <family val="2"/>
    </font>
    <font>
      <b/>
      <sz val="12.35"/>
      <color rgb="FFFFFFFF"/>
      <name val="Source Sans Pro"/>
      <family val="2"/>
    </font>
    <font>
      <sz val="12"/>
      <color rgb="FF1B1B1B"/>
      <name val="Source Sans Pro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FF0000"/>
      <name val="Calibri"/>
      <family val="2"/>
    </font>
    <font>
      <sz val="11"/>
      <color theme="2" tint="-0.499984740745262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2" tint="-0.499984740745262"/>
      <name val="Calibri"/>
      <family val="2"/>
    </font>
    <font>
      <b/>
      <sz val="11"/>
      <color theme="1"/>
      <name val="Calibri"/>
      <family val="2"/>
    </font>
    <font>
      <i/>
      <sz val="11"/>
      <color theme="2" tint="-0.499984740745262"/>
      <name val="Calibri"/>
      <family val="2"/>
    </font>
    <font>
      <i/>
      <sz val="11"/>
      <color theme="1"/>
      <name val="Calibri"/>
      <family val="2"/>
    </font>
    <font>
      <i/>
      <sz val="11"/>
      <color rgb="FF0070C0"/>
      <name val="Calibri"/>
      <family val="2"/>
    </font>
    <font>
      <sz val="11"/>
      <color rgb="FF0070C0"/>
      <name val="Calibri"/>
      <family val="2"/>
    </font>
    <font>
      <b/>
      <sz val="11"/>
      <color theme="0"/>
      <name val="Calibri"/>
      <family val="2"/>
    </font>
    <font>
      <b/>
      <sz val="11"/>
      <color rgb="FFFF0000"/>
      <name val="Calibri"/>
      <family val="2"/>
    </font>
    <font>
      <i/>
      <sz val="11"/>
      <color rgb="FFFF0000"/>
      <name val="Calibri"/>
      <family val="2"/>
    </font>
    <font>
      <i/>
      <sz val="10"/>
      <color rgb="FFFF0000"/>
      <name val="Calibri"/>
      <family val="2"/>
    </font>
    <font>
      <sz val="11"/>
      <color rgb="FF00B0F0"/>
      <name val="Calibri"/>
      <family val="2"/>
    </font>
    <font>
      <b/>
      <sz val="11"/>
      <color rgb="FF00B0F0"/>
      <name val="Calibri"/>
      <family val="2"/>
    </font>
    <font>
      <i/>
      <sz val="11"/>
      <color rgb="FF00B0F0"/>
      <name val="Calibri"/>
      <family val="2"/>
    </font>
    <font>
      <b/>
      <sz val="11"/>
      <color rgb="FF00B050"/>
      <name val="Calibri"/>
      <family val="2"/>
    </font>
    <font>
      <sz val="11"/>
      <color rgb="FF00B050"/>
      <name val="Calibri"/>
      <family val="2"/>
    </font>
    <font>
      <sz val="10"/>
      <color rgb="FF00B050"/>
      <name val="Arial"/>
      <family val="2"/>
    </font>
    <font>
      <b/>
      <sz val="10"/>
      <name val="Arial"/>
      <family val="2"/>
    </font>
    <font>
      <sz val="11"/>
      <color rgb="FF002060"/>
      <name val="Calibri"/>
      <family val="2"/>
    </font>
    <font>
      <b/>
      <sz val="11"/>
      <color rgb="FF002060"/>
      <name val="Calibri"/>
      <family val="2"/>
    </font>
    <font>
      <i/>
      <sz val="11"/>
      <color rgb="FF002060"/>
      <name val="Calibri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color theme="0"/>
      <name val="Arial"/>
      <family val="2"/>
    </font>
    <font>
      <b/>
      <u/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D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6" tint="0.79998168889431442"/>
      </left>
      <right style="thin">
        <color theme="6" tint="0.79998168889431442"/>
      </right>
      <top style="thin">
        <color theme="6" tint="0.79998168889431442"/>
      </top>
      <bottom style="thin">
        <color theme="6" tint="0.79998168889431442"/>
      </bottom>
      <diagonal/>
    </border>
    <border>
      <left style="thin">
        <color theme="6" tint="0.79998168889431442"/>
      </left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 style="thin">
        <color theme="6" tint="0.79998168889431442"/>
      </right>
      <top style="thin">
        <color theme="6" tint="0.79998168889431442"/>
      </top>
      <bottom style="thin">
        <color theme="6" tint="0.79998168889431442"/>
      </bottom>
      <diagonal/>
    </border>
    <border>
      <left style="thin">
        <color theme="6" tint="0.79995117038483843"/>
      </left>
      <right style="thin">
        <color theme="6" tint="0.79995117038483843"/>
      </right>
      <top style="thin">
        <color theme="6" tint="0.79995117038483843"/>
      </top>
      <bottom style="thin">
        <color theme="6" tint="0.7999511703848384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D6D7D9"/>
      </left>
      <right style="medium">
        <color rgb="FF000000"/>
      </right>
      <top style="medium">
        <color rgb="FFD6D7D9"/>
      </top>
      <bottom style="thick">
        <color rgb="FFDDDDDD"/>
      </bottom>
      <diagonal/>
    </border>
    <border>
      <left style="medium">
        <color rgb="FFDDDDDD"/>
      </left>
      <right style="medium">
        <color rgb="FF000000"/>
      </right>
      <top style="medium">
        <color rgb="FFD6D7D9"/>
      </top>
      <bottom style="thick">
        <color rgb="FFDDDDDD"/>
      </bottom>
      <diagonal/>
    </border>
    <border>
      <left style="medium">
        <color rgb="FFDDDDDD"/>
      </left>
      <right style="medium">
        <color rgb="FFD6D7D9"/>
      </right>
      <top style="medium">
        <color rgb="FFD6D7D9"/>
      </top>
      <bottom style="thick">
        <color rgb="FFDDDDDD"/>
      </bottom>
      <diagonal/>
    </border>
    <border>
      <left style="medium">
        <color rgb="FFD6D7D9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6D7D9"/>
      </right>
      <top style="medium">
        <color rgb="FFDDDDDD"/>
      </top>
      <bottom style="medium">
        <color rgb="FFDDDDDD"/>
      </bottom>
      <diagonal/>
    </border>
    <border>
      <left style="medium">
        <color rgb="FFD6D7D9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6D7D9"/>
      </right>
      <top style="medium">
        <color rgb="FFDDDDDD"/>
      </top>
      <bottom/>
      <diagonal/>
    </border>
    <border>
      <left style="medium">
        <color rgb="FFD6D7D9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6D7D9"/>
      </right>
      <top/>
      <bottom style="medium">
        <color rgb="FFDDDDDD"/>
      </bottom>
      <diagonal/>
    </border>
    <border>
      <left style="medium">
        <color rgb="FFD6D7D9"/>
      </left>
      <right style="medium">
        <color rgb="FFDDDDDD"/>
      </right>
      <top style="medium">
        <color rgb="FFDDDDDD"/>
      </top>
      <bottom style="medium">
        <color rgb="FFD6D7D9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6D7D9"/>
      </bottom>
      <diagonal/>
    </border>
    <border>
      <left style="medium">
        <color rgb="FFDDDDDD"/>
      </left>
      <right style="medium">
        <color rgb="FFD6D7D9"/>
      </right>
      <top style="medium">
        <color rgb="FFDDDDDD"/>
      </top>
      <bottom style="medium">
        <color rgb="FFD6D7D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70">
    <xf numFmtId="0" fontId="0" fillId="0" borderId="0"/>
    <xf numFmtId="9" fontId="10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11" fillId="0" borderId="0"/>
    <xf numFmtId="44" fontId="10" fillId="0" borderId="0" applyFont="0" applyFill="0" applyBorder="0" applyAlignment="0" applyProtection="0"/>
    <xf numFmtId="0" fontId="7" fillId="0" borderId="0"/>
    <xf numFmtId="0" fontId="6" fillId="0" borderId="0"/>
    <xf numFmtId="0" fontId="5" fillId="0" borderId="0"/>
    <xf numFmtId="0" fontId="17" fillId="0" borderId="0" applyNumberForma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8" fillId="0" borderId="0" applyNumberFormat="0" applyFill="0" applyBorder="0" applyAlignment="0" applyProtection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343">
    <xf numFmtId="0" fontId="0" fillId="0" borderId="0" xfId="0"/>
    <xf numFmtId="164" fontId="9" fillId="0" borderId="0" xfId="1" applyNumberFormat="1" applyFont="1" applyAlignment="1">
      <alignment horizontal="center" vertical="top" wrapText="1"/>
    </xf>
    <xf numFmtId="165" fontId="9" fillId="0" borderId="0" xfId="2" applyNumberFormat="1" applyFont="1" applyAlignment="1">
      <alignment horizontal="center" vertical="top" wrapText="1"/>
    </xf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2" fontId="9" fillId="0" borderId="0" xfId="2" applyNumberFormat="1" applyFont="1" applyAlignment="1">
      <alignment vertical="top" wrapText="1"/>
    </xf>
    <xf numFmtId="165" fontId="12" fillId="2" borderId="0" xfId="2" applyNumberFormat="1" applyFont="1" applyFill="1" applyAlignment="1">
      <alignment horizontal="center" vertical="top" wrapText="1"/>
    </xf>
    <xf numFmtId="164" fontId="12" fillId="2" borderId="0" xfId="1" applyNumberFormat="1" applyFont="1" applyFill="1" applyAlignment="1">
      <alignment horizontal="center" vertical="top" wrapText="1"/>
    </xf>
    <xf numFmtId="170" fontId="9" fillId="0" borderId="0" xfId="2" applyNumberFormat="1" applyFont="1" applyAlignment="1">
      <alignment horizontal="center" vertical="top" wrapText="1"/>
    </xf>
    <xf numFmtId="0" fontId="15" fillId="8" borderId="12" xfId="8" applyFont="1" applyFill="1" applyBorder="1" applyAlignment="1">
      <alignment horizontal="center" vertical="top" wrapText="1"/>
    </xf>
    <xf numFmtId="165" fontId="15" fillId="8" borderId="12" xfId="8" applyNumberFormat="1" applyFont="1" applyFill="1" applyBorder="1" applyAlignment="1">
      <alignment horizontal="center" vertical="top" wrapText="1"/>
    </xf>
    <xf numFmtId="44" fontId="15" fillId="8" borderId="13" xfId="5" applyFont="1" applyFill="1" applyBorder="1" applyAlignment="1">
      <alignment horizontal="center" vertical="top" wrapText="1"/>
    </xf>
    <xf numFmtId="0" fontId="15" fillId="8" borderId="14" xfId="8" applyFont="1" applyFill="1" applyBorder="1" applyAlignment="1">
      <alignment horizontal="left" vertical="top" wrapText="1"/>
    </xf>
    <xf numFmtId="0" fontId="5" fillId="0" borderId="0" xfId="8" applyAlignment="1">
      <alignment vertical="top" wrapText="1"/>
    </xf>
    <xf numFmtId="0" fontId="16" fillId="0" borderId="15" xfId="8" applyFont="1" applyBorder="1" applyAlignment="1">
      <alignment horizontal="center" vertical="top" wrapText="1"/>
    </xf>
    <xf numFmtId="165" fontId="16" fillId="0" borderId="15" xfId="8" applyNumberFormat="1" applyFont="1" applyBorder="1" applyAlignment="1">
      <alignment horizontal="center" vertical="top" wrapText="1"/>
    </xf>
    <xf numFmtId="44" fontId="16" fillId="0" borderId="16" xfId="5" applyFont="1" applyFill="1" applyBorder="1" applyAlignment="1">
      <alignment horizontal="center" vertical="top" wrapText="1"/>
    </xf>
    <xf numFmtId="0" fontId="17" fillId="0" borderId="17" xfId="9" applyFill="1" applyBorder="1" applyAlignment="1">
      <alignment vertical="top" wrapText="1"/>
    </xf>
    <xf numFmtId="0" fontId="16" fillId="0" borderId="18" xfId="8" applyFont="1" applyBorder="1" applyAlignment="1">
      <alignment horizontal="center" vertical="top" wrapText="1"/>
    </xf>
    <xf numFmtId="165" fontId="16" fillId="0" borderId="18" xfId="8" applyNumberFormat="1" applyFont="1" applyBorder="1" applyAlignment="1">
      <alignment horizontal="center" vertical="top" wrapText="1"/>
    </xf>
    <xf numFmtId="44" fontId="16" fillId="0" borderId="19" xfId="5" applyFont="1" applyFill="1" applyBorder="1" applyAlignment="1">
      <alignment horizontal="center" vertical="top" wrapText="1"/>
    </xf>
    <xf numFmtId="0" fontId="17" fillId="0" borderId="20" xfId="9" applyFill="1" applyBorder="1" applyAlignment="1">
      <alignment vertical="top" wrapText="1"/>
    </xf>
    <xf numFmtId="0" fontId="16" fillId="0" borderId="21" xfId="8" applyFont="1" applyBorder="1" applyAlignment="1">
      <alignment horizontal="center" vertical="top" wrapText="1"/>
    </xf>
    <xf numFmtId="165" fontId="16" fillId="0" borderId="21" xfId="8" applyNumberFormat="1" applyFont="1" applyBorder="1" applyAlignment="1">
      <alignment horizontal="center" vertical="top" wrapText="1"/>
    </xf>
    <xf numFmtId="44" fontId="16" fillId="0" borderId="22" xfId="5" applyFont="1" applyFill="1" applyBorder="1" applyAlignment="1">
      <alignment horizontal="center" vertical="top" wrapText="1"/>
    </xf>
    <xf numFmtId="0" fontId="17" fillId="0" borderId="23" xfId="9" applyFill="1" applyBorder="1" applyAlignment="1">
      <alignment horizontal="left" vertical="top" wrapText="1"/>
    </xf>
    <xf numFmtId="0" fontId="16" fillId="0" borderId="24" xfId="8" applyFont="1" applyBorder="1" applyAlignment="1">
      <alignment horizontal="center" vertical="top" wrapText="1"/>
    </xf>
    <xf numFmtId="165" fontId="16" fillId="0" borderId="24" xfId="8" applyNumberFormat="1" applyFont="1" applyBorder="1" applyAlignment="1">
      <alignment horizontal="center" vertical="top" wrapText="1"/>
    </xf>
    <xf numFmtId="44" fontId="16" fillId="0" borderId="25" xfId="5" applyFont="1" applyFill="1" applyBorder="1" applyAlignment="1">
      <alignment horizontal="center" vertical="top" wrapText="1"/>
    </xf>
    <xf numFmtId="0" fontId="17" fillId="0" borderId="26" xfId="9" applyFill="1" applyBorder="1" applyAlignment="1">
      <alignment vertical="top" wrapText="1"/>
    </xf>
    <xf numFmtId="0" fontId="5" fillId="0" borderId="0" xfId="8" applyAlignment="1">
      <alignment horizontal="center" vertical="top" wrapText="1"/>
    </xf>
    <xf numFmtId="165" fontId="5" fillId="0" borderId="0" xfId="8" applyNumberFormat="1" applyAlignment="1">
      <alignment horizontal="center" vertical="top" wrapText="1"/>
    </xf>
    <xf numFmtId="44" fontId="5" fillId="0" borderId="0" xfId="5" applyFont="1" applyAlignment="1">
      <alignment horizontal="center" vertical="top" wrapText="1"/>
    </xf>
    <xf numFmtId="14" fontId="5" fillId="0" borderId="0" xfId="8" applyNumberFormat="1"/>
    <xf numFmtId="0" fontId="5" fillId="0" borderId="0" xfId="8"/>
    <xf numFmtId="0" fontId="5" fillId="2" borderId="0" xfId="8" applyFill="1"/>
    <xf numFmtId="8" fontId="5" fillId="0" borderId="0" xfId="8" applyNumberFormat="1"/>
    <xf numFmtId="164" fontId="0" fillId="0" borderId="0" xfId="1" applyNumberFormat="1" applyFont="1"/>
    <xf numFmtId="0" fontId="21" fillId="0" borderId="0" xfId="0" applyFont="1"/>
    <xf numFmtId="164" fontId="22" fillId="0" borderId="1" xfId="1" applyNumberFormat="1" applyFont="1" applyBorder="1" applyAlignment="1">
      <alignment horizontal="center" vertical="top" wrapText="1"/>
    </xf>
    <xf numFmtId="0" fontId="19" fillId="0" borderId="0" xfId="2" applyFont="1" applyAlignment="1">
      <alignment vertical="top" wrapText="1"/>
    </xf>
    <xf numFmtId="0" fontId="19" fillId="0" borderId="0" xfId="2" applyFont="1" applyAlignment="1">
      <alignment horizontal="center" vertical="top" wrapText="1"/>
    </xf>
    <xf numFmtId="0" fontId="21" fillId="0" borderId="0" xfId="2" applyFont="1"/>
    <xf numFmtId="2" fontId="19" fillId="0" borderId="0" xfId="2" applyNumberFormat="1" applyFont="1" applyAlignment="1">
      <alignment horizontal="center" vertical="top" wrapText="1"/>
    </xf>
    <xf numFmtId="0" fontId="22" fillId="0" borderId="0" xfId="2" applyFont="1"/>
    <xf numFmtId="0" fontId="20" fillId="0" borderId="0" xfId="2" applyFont="1" applyAlignment="1">
      <alignment horizontal="left" vertical="top" wrapText="1"/>
    </xf>
    <xf numFmtId="0" fontId="22" fillId="0" borderId="0" xfId="2" applyFont="1" applyAlignment="1">
      <alignment vertical="top" wrapText="1"/>
    </xf>
    <xf numFmtId="0" fontId="23" fillId="0" borderId="1" xfId="2" applyFont="1" applyBorder="1" applyAlignment="1">
      <alignment horizontal="center" vertical="top" wrapText="1"/>
    </xf>
    <xf numFmtId="0" fontId="23" fillId="0" borderId="1" xfId="2" applyFont="1" applyBorder="1" applyAlignment="1">
      <alignment vertical="top" wrapText="1"/>
    </xf>
    <xf numFmtId="0" fontId="22" fillId="0" borderId="0" xfId="2" applyFont="1" applyAlignment="1">
      <alignment wrapText="1"/>
    </xf>
    <xf numFmtId="14" fontId="23" fillId="0" borderId="1" xfId="2" applyNumberFormat="1" applyFont="1" applyBorder="1" applyAlignment="1">
      <alignment vertical="top" wrapText="1"/>
    </xf>
    <xf numFmtId="165" fontId="21" fillId="0" borderId="1" xfId="2" applyNumberFormat="1" applyFont="1" applyBorder="1" applyAlignment="1">
      <alignment horizontal="center" vertical="top" wrapText="1"/>
    </xf>
    <xf numFmtId="3" fontId="21" fillId="0" borderId="1" xfId="2" applyNumberFormat="1" applyFont="1" applyBorder="1" applyAlignment="1">
      <alignment vertical="top" wrapText="1"/>
    </xf>
    <xf numFmtId="167" fontId="21" fillId="0" borderId="1" xfId="2" applyNumberFormat="1" applyFont="1" applyBorder="1" applyAlignment="1">
      <alignment vertical="top" wrapText="1"/>
    </xf>
    <xf numFmtId="0" fontId="25" fillId="0" borderId="1" xfId="2" applyFont="1" applyBorder="1" applyAlignment="1">
      <alignment vertical="top" wrapText="1"/>
    </xf>
    <xf numFmtId="3" fontId="22" fillId="0" borderId="1" xfId="2" applyNumberFormat="1" applyFont="1" applyBorder="1" applyAlignment="1">
      <alignment horizontal="center" vertical="top" wrapText="1"/>
    </xf>
    <xf numFmtId="0" fontId="22" fillId="0" borderId="0" xfId="2" applyFont="1" applyAlignment="1">
      <alignment horizontal="center" vertical="top" wrapText="1"/>
    </xf>
    <xf numFmtId="0" fontId="21" fillId="0" borderId="0" xfId="2" applyFont="1" applyAlignment="1">
      <alignment vertical="top" wrapText="1"/>
    </xf>
    <xf numFmtId="167" fontId="23" fillId="0" borderId="1" xfId="2" applyNumberFormat="1" applyFont="1" applyBorder="1" applyAlignment="1">
      <alignment vertical="top" wrapText="1"/>
    </xf>
    <xf numFmtId="2" fontId="19" fillId="0" borderId="0" xfId="2" applyNumberFormat="1" applyFont="1" applyAlignment="1">
      <alignment vertical="top" wrapText="1"/>
    </xf>
    <xf numFmtId="165" fontId="19" fillId="0" borderId="0" xfId="2" applyNumberFormat="1" applyFont="1" applyAlignment="1">
      <alignment horizontal="center" vertical="top" wrapText="1"/>
    </xf>
    <xf numFmtId="166" fontId="23" fillId="0" borderId="1" xfId="2" applyNumberFormat="1" applyFont="1" applyBorder="1" applyAlignment="1">
      <alignment vertical="top" wrapText="1"/>
    </xf>
    <xf numFmtId="166" fontId="22" fillId="0" borderId="1" xfId="2" applyNumberFormat="1" applyFont="1" applyBorder="1" applyAlignment="1">
      <alignment horizontal="center" vertical="top" wrapText="1"/>
    </xf>
    <xf numFmtId="1" fontId="19" fillId="0" borderId="0" xfId="2" applyNumberFormat="1" applyFont="1" applyAlignment="1">
      <alignment horizontal="center" vertical="top" wrapText="1"/>
    </xf>
    <xf numFmtId="3" fontId="21" fillId="0" borderId="1" xfId="2" applyNumberFormat="1" applyFont="1" applyBorder="1" applyAlignment="1">
      <alignment horizontal="center" vertical="top" wrapText="1"/>
    </xf>
    <xf numFmtId="0" fontId="26" fillId="0" borderId="0" xfId="2" applyFont="1" applyAlignment="1">
      <alignment horizontal="left" vertical="top" wrapText="1"/>
    </xf>
    <xf numFmtId="0" fontId="27" fillId="0" borderId="0" xfId="2" applyFont="1" applyAlignment="1">
      <alignment vertical="top" wrapText="1"/>
    </xf>
    <xf numFmtId="0" fontId="28" fillId="0" borderId="0" xfId="2" applyFont="1" applyAlignment="1">
      <alignment vertical="top" wrapText="1"/>
    </xf>
    <xf numFmtId="166" fontId="25" fillId="0" borderId="1" xfId="2" applyNumberFormat="1" applyFont="1" applyBorder="1" applyAlignment="1">
      <alignment horizontal="center" vertical="top" wrapText="1"/>
    </xf>
    <xf numFmtId="164" fontId="19" fillId="0" borderId="0" xfId="1" applyNumberFormat="1" applyFont="1" applyAlignment="1">
      <alignment horizontal="center" vertical="top" wrapText="1"/>
    </xf>
    <xf numFmtId="0" fontId="20" fillId="0" borderId="0" xfId="2" applyFont="1" applyAlignment="1">
      <alignment horizontal="left"/>
    </xf>
    <xf numFmtId="0" fontId="19" fillId="2" borderId="0" xfId="2" applyFont="1" applyFill="1" applyAlignment="1">
      <alignment horizontal="center" vertical="top" wrapText="1"/>
    </xf>
    <xf numFmtId="3" fontId="19" fillId="2" borderId="0" xfId="2" applyNumberFormat="1" applyFont="1" applyFill="1" applyAlignment="1">
      <alignment horizontal="center" vertical="top" wrapText="1"/>
    </xf>
    <xf numFmtId="4" fontId="19" fillId="0" borderId="0" xfId="2" applyNumberFormat="1" applyFont="1" applyAlignment="1">
      <alignment horizontal="center" vertical="top" wrapText="1"/>
    </xf>
    <xf numFmtId="164" fontId="19" fillId="0" borderId="0" xfId="3" applyNumberFormat="1" applyFont="1" applyAlignment="1">
      <alignment horizontal="center" vertical="top" wrapText="1"/>
    </xf>
    <xf numFmtId="3" fontId="19" fillId="0" borderId="0" xfId="2" applyNumberFormat="1" applyFont="1" applyAlignment="1">
      <alignment horizontal="center" vertical="top" wrapText="1"/>
    </xf>
    <xf numFmtId="168" fontId="22" fillId="0" borderId="1" xfId="2" applyNumberFormat="1" applyFont="1" applyBorder="1" applyAlignment="1">
      <alignment horizontal="center" vertical="top" wrapText="1"/>
    </xf>
    <xf numFmtId="4" fontId="21" fillId="0" borderId="1" xfId="2" applyNumberFormat="1" applyFont="1" applyBorder="1" applyAlignment="1">
      <alignment horizontal="center" vertical="top" wrapText="1"/>
    </xf>
    <xf numFmtId="0" fontId="25" fillId="0" borderId="0" xfId="2" applyFont="1" applyAlignment="1">
      <alignment vertical="top" wrapText="1"/>
    </xf>
    <xf numFmtId="3" fontId="22" fillId="0" borderId="0" xfId="2" applyNumberFormat="1" applyFont="1" applyAlignment="1">
      <alignment horizontal="center" vertical="top" wrapText="1"/>
    </xf>
    <xf numFmtId="169" fontId="22" fillId="0" borderId="1" xfId="2" applyNumberFormat="1" applyFont="1" applyBorder="1" applyAlignment="1">
      <alignment horizontal="center" vertical="top" wrapText="1"/>
    </xf>
    <xf numFmtId="4" fontId="22" fillId="0" borderId="1" xfId="2" applyNumberFormat="1" applyFont="1" applyBorder="1" applyAlignment="1">
      <alignment horizontal="center" vertical="top" wrapText="1"/>
    </xf>
    <xf numFmtId="0" fontId="19" fillId="0" borderId="0" xfId="7" applyFont="1" applyAlignment="1">
      <alignment horizontal="center" wrapText="1"/>
    </xf>
    <xf numFmtId="3" fontId="23" fillId="0" borderId="1" xfId="2" applyNumberFormat="1" applyFont="1" applyBorder="1" applyAlignment="1">
      <alignment vertical="top" wrapText="1"/>
    </xf>
    <xf numFmtId="0" fontId="25" fillId="6" borderId="1" xfId="7" applyFont="1" applyFill="1" applyBorder="1" applyAlignment="1">
      <alignment horizontal="left" vertical="top" wrapText="1" indent="1"/>
    </xf>
    <xf numFmtId="3" fontId="22" fillId="6" borderId="1" xfId="7" applyNumberFormat="1" applyFont="1" applyFill="1" applyBorder="1" applyAlignment="1">
      <alignment horizontal="center" vertical="top" wrapText="1"/>
    </xf>
    <xf numFmtId="3" fontId="22" fillId="6" borderId="1" xfId="7" applyNumberFormat="1" applyFont="1" applyFill="1" applyBorder="1" applyAlignment="1">
      <alignment vertical="top" wrapText="1"/>
    </xf>
    <xf numFmtId="0" fontId="22" fillId="0" borderId="0" xfId="7" applyFont="1"/>
    <xf numFmtId="0" fontId="19" fillId="0" borderId="0" xfId="7" applyFont="1"/>
    <xf numFmtId="0" fontId="25" fillId="7" borderId="1" xfId="7" applyFont="1" applyFill="1" applyBorder="1" applyAlignment="1">
      <alignment horizontal="left" vertical="top" wrapText="1" indent="1"/>
    </xf>
    <xf numFmtId="3" fontId="22" fillId="7" borderId="1" xfId="7" applyNumberFormat="1" applyFont="1" applyFill="1" applyBorder="1" applyAlignment="1">
      <alignment horizontal="center" vertical="top" wrapText="1"/>
    </xf>
    <xf numFmtId="3" fontId="22" fillId="7" borderId="1" xfId="7" applyNumberFormat="1" applyFont="1" applyFill="1" applyBorder="1" applyAlignment="1">
      <alignment vertical="top" wrapText="1"/>
    </xf>
    <xf numFmtId="3" fontId="21" fillId="6" borderId="1" xfId="7" applyNumberFormat="1" applyFont="1" applyFill="1" applyBorder="1" applyAlignment="1">
      <alignment vertical="top" wrapText="1"/>
    </xf>
    <xf numFmtId="3" fontId="21" fillId="7" borderId="1" xfId="7" applyNumberFormat="1" applyFont="1" applyFill="1" applyBorder="1" applyAlignment="1">
      <alignment vertical="top" wrapText="1"/>
    </xf>
    <xf numFmtId="0" fontId="21" fillId="0" borderId="1" xfId="0" applyFont="1" applyBorder="1" applyAlignment="1">
      <alignment vertical="top" wrapText="1"/>
    </xf>
    <xf numFmtId="165" fontId="21" fillId="0" borderId="1" xfId="2" applyNumberFormat="1" applyFont="1" applyBorder="1" applyAlignment="1">
      <alignment vertical="top" wrapText="1"/>
    </xf>
    <xf numFmtId="0" fontId="21" fillId="0" borderId="0" xfId="2" applyFont="1" applyAlignment="1">
      <alignment horizontal="center" vertical="top" wrapText="1"/>
    </xf>
    <xf numFmtId="169" fontId="21" fillId="0" borderId="1" xfId="2" applyNumberFormat="1" applyFont="1" applyBorder="1" applyAlignment="1">
      <alignment horizontal="center" vertical="top" wrapText="1"/>
    </xf>
    <xf numFmtId="166" fontId="23" fillId="0" borderId="1" xfId="2" applyNumberFormat="1" applyFont="1" applyBorder="1" applyAlignment="1">
      <alignment horizontal="center" vertical="top" wrapText="1"/>
    </xf>
    <xf numFmtId="166" fontId="19" fillId="0" borderId="0" xfId="2" applyNumberFormat="1" applyFont="1" applyAlignment="1">
      <alignment horizontal="center" vertical="top" wrapText="1"/>
    </xf>
    <xf numFmtId="37" fontId="19" fillId="2" borderId="0" xfId="5" applyNumberFormat="1" applyFont="1" applyFill="1" applyAlignment="1">
      <alignment horizontal="center" vertical="top" wrapText="1"/>
    </xf>
    <xf numFmtId="166" fontId="21" fillId="0" borderId="1" xfId="2" applyNumberFormat="1" applyFont="1" applyBorder="1" applyAlignment="1">
      <alignment horizontal="center" vertical="top" wrapText="1"/>
    </xf>
    <xf numFmtId="166" fontId="22" fillId="0" borderId="0" xfId="2" applyNumberFormat="1" applyFont="1" applyAlignment="1">
      <alignment vertical="top" wrapText="1"/>
    </xf>
    <xf numFmtId="166" fontId="21" fillId="0" borderId="1" xfId="2" applyNumberFormat="1" applyFont="1" applyBorder="1" applyAlignment="1">
      <alignment vertical="top" wrapText="1"/>
    </xf>
    <xf numFmtId="0" fontId="29" fillId="0" borderId="0" xfId="2" applyFont="1" applyAlignment="1">
      <alignment vertical="top" wrapText="1"/>
    </xf>
    <xf numFmtId="0" fontId="29" fillId="0" borderId="0" xfId="2" applyFont="1" applyAlignment="1">
      <alignment horizontal="center" vertical="top" wrapText="1"/>
    </xf>
    <xf numFmtId="7" fontId="19" fillId="2" borderId="0" xfId="5" applyNumberFormat="1" applyFont="1" applyFill="1" applyAlignment="1">
      <alignment horizontal="center" vertical="top" wrapText="1"/>
    </xf>
    <xf numFmtId="9" fontId="19" fillId="2" borderId="0" xfId="1" applyFont="1" applyFill="1" applyAlignment="1">
      <alignment horizontal="center" vertical="top" wrapText="1"/>
    </xf>
    <xf numFmtId="4" fontId="23" fillId="0" borderId="1" xfId="2" applyNumberFormat="1" applyFont="1" applyBorder="1" applyAlignment="1">
      <alignment vertical="top" wrapText="1"/>
    </xf>
    <xf numFmtId="4" fontId="21" fillId="0" borderId="1" xfId="2" applyNumberFormat="1" applyFont="1" applyBorder="1" applyAlignment="1">
      <alignment vertical="top" wrapText="1"/>
    </xf>
    <xf numFmtId="4" fontId="22" fillId="0" borderId="0" xfId="2" applyNumberFormat="1" applyFont="1" applyAlignment="1">
      <alignment vertical="top" wrapText="1"/>
    </xf>
    <xf numFmtId="169" fontId="19" fillId="6" borderId="0" xfId="2" applyNumberFormat="1" applyFont="1" applyFill="1" applyAlignment="1">
      <alignment horizontal="center" vertical="top" wrapText="1"/>
    </xf>
    <xf numFmtId="44" fontId="19" fillId="0" borderId="0" xfId="5" applyFont="1" applyAlignment="1">
      <alignment horizontal="center" vertical="top" wrapText="1"/>
    </xf>
    <xf numFmtId="169" fontId="21" fillId="0" borderId="0" xfId="2" applyNumberFormat="1" applyFont="1" applyAlignment="1">
      <alignment horizontal="center" vertical="top" wrapText="1"/>
    </xf>
    <xf numFmtId="165" fontId="23" fillId="0" borderId="1" xfId="2" applyNumberFormat="1" applyFont="1" applyBorder="1" applyAlignment="1">
      <alignment vertical="top" wrapText="1"/>
    </xf>
    <xf numFmtId="164" fontId="22" fillId="0" borderId="0" xfId="3" applyNumberFormat="1" applyFont="1" applyAlignment="1">
      <alignment horizontal="center" vertical="top" wrapText="1"/>
    </xf>
    <xf numFmtId="0" fontId="30" fillId="3" borderId="5" xfId="0" applyFont="1" applyFill="1" applyBorder="1" applyAlignment="1">
      <alignment vertical="top" wrapText="1"/>
    </xf>
    <xf numFmtId="0" fontId="19" fillId="0" borderId="0" xfId="0" applyFont="1" applyAlignment="1">
      <alignment horizontal="center" vertical="top" wrapText="1"/>
    </xf>
    <xf numFmtId="0" fontId="30" fillId="3" borderId="9" xfId="0" applyFont="1" applyFill="1" applyBorder="1" applyAlignment="1">
      <alignment vertical="top" wrapText="1"/>
    </xf>
    <xf numFmtId="0" fontId="31" fillId="2" borderId="10" xfId="0" applyFont="1" applyFill="1" applyBorder="1" applyAlignment="1">
      <alignment horizontal="center" vertical="top" wrapText="1"/>
    </xf>
    <xf numFmtId="0" fontId="31" fillId="0" borderId="0" xfId="0" applyFont="1" applyAlignment="1">
      <alignment horizontal="center" vertical="top" wrapText="1"/>
    </xf>
    <xf numFmtId="0" fontId="22" fillId="0" borderId="0" xfId="0" applyFont="1" applyAlignment="1">
      <alignment vertical="top" wrapText="1"/>
    </xf>
    <xf numFmtId="0" fontId="25" fillId="0" borderId="0" xfId="0" applyFont="1" applyAlignment="1">
      <alignment vertical="top" wrapText="1"/>
    </xf>
    <xf numFmtId="0" fontId="31" fillId="2" borderId="0" xfId="0" applyFont="1" applyFill="1"/>
    <xf numFmtId="0" fontId="23" fillId="4" borderId="11" xfId="0" applyFont="1" applyFill="1" applyBorder="1" applyAlignment="1">
      <alignment vertical="top" wrapText="1"/>
    </xf>
    <xf numFmtId="165" fontId="25" fillId="0" borderId="0" xfId="0" applyNumberFormat="1" applyFont="1" applyAlignment="1">
      <alignment horizontal="center" vertical="top" wrapText="1"/>
    </xf>
    <xf numFmtId="3" fontId="25" fillId="0" borderId="0" xfId="0" applyNumberFormat="1" applyFont="1" applyAlignment="1">
      <alignment horizontal="center" vertical="top" wrapText="1"/>
    </xf>
    <xf numFmtId="4" fontId="25" fillId="0" borderId="0" xfId="0" applyNumberFormat="1" applyFont="1" applyAlignment="1">
      <alignment horizontal="center" vertical="top" wrapText="1"/>
    </xf>
    <xf numFmtId="169" fontId="25" fillId="0" borderId="0" xfId="0" applyNumberFormat="1" applyFont="1" applyAlignment="1">
      <alignment horizontal="center" vertical="top" wrapText="1"/>
    </xf>
    <xf numFmtId="0" fontId="25" fillId="0" borderId="0" xfId="0" applyFont="1" applyAlignment="1">
      <alignment horizontal="center" vertical="top" wrapText="1"/>
    </xf>
    <xf numFmtId="0" fontId="25" fillId="4" borderId="1" xfId="0" applyFont="1" applyFill="1" applyBorder="1" applyAlignment="1">
      <alignment horizontal="center" vertical="top" wrapText="1"/>
    </xf>
    <xf numFmtId="3" fontId="25" fillId="4" borderId="1" xfId="0" applyNumberFormat="1" applyFont="1" applyFill="1" applyBorder="1" applyAlignment="1">
      <alignment horizontal="center" vertical="top" wrapText="1"/>
    </xf>
    <xf numFmtId="0" fontId="22" fillId="0" borderId="1" xfId="0" applyFont="1" applyBorder="1" applyAlignment="1">
      <alignment vertical="top" wrapText="1"/>
    </xf>
    <xf numFmtId="165" fontId="22" fillId="0" borderId="1" xfId="0" applyNumberFormat="1" applyFont="1" applyBorder="1" applyAlignment="1">
      <alignment horizontal="center" vertical="top" wrapText="1"/>
    </xf>
    <xf numFmtId="3" fontId="22" fillId="0" borderId="1" xfId="0" applyNumberFormat="1" applyFont="1" applyBorder="1" applyAlignment="1">
      <alignment horizontal="center" vertical="top" wrapText="1"/>
    </xf>
    <xf numFmtId="4" fontId="22" fillId="0" borderId="1" xfId="0" applyNumberFormat="1" applyFont="1" applyBorder="1" applyAlignment="1">
      <alignment horizontal="center" vertical="top" wrapText="1"/>
    </xf>
    <xf numFmtId="169" fontId="22" fillId="0" borderId="1" xfId="0" applyNumberFormat="1" applyFont="1" applyBorder="1" applyAlignment="1">
      <alignment horizontal="center" vertical="top" wrapText="1"/>
    </xf>
    <xf numFmtId="0" fontId="22" fillId="0" borderId="1" xfId="0" applyFont="1" applyBorder="1" applyAlignment="1">
      <alignment horizontal="center" vertical="top" wrapText="1"/>
    </xf>
    <xf numFmtId="3" fontId="25" fillId="0" borderId="1" xfId="0" applyNumberFormat="1" applyFont="1" applyBorder="1" applyAlignment="1">
      <alignment horizontal="center" vertical="top" wrapText="1"/>
    </xf>
    <xf numFmtId="44" fontId="32" fillId="0" borderId="0" xfId="5" applyFont="1" applyAlignment="1">
      <alignment horizontal="left" vertical="top" wrapText="1"/>
    </xf>
    <xf numFmtId="0" fontId="25" fillId="0" borderId="1" xfId="0" applyFont="1" applyBorder="1" applyAlignment="1">
      <alignment vertical="top" wrapText="1"/>
    </xf>
    <xf numFmtId="165" fontId="25" fillId="0" borderId="1" xfId="0" applyNumberFormat="1" applyFont="1" applyBorder="1" applyAlignment="1">
      <alignment horizontal="center" vertical="top" wrapText="1"/>
    </xf>
    <xf numFmtId="4" fontId="25" fillId="0" borderId="1" xfId="0" applyNumberFormat="1" applyFont="1" applyBorder="1" applyAlignment="1">
      <alignment horizontal="center" vertical="top" wrapText="1"/>
    </xf>
    <xf numFmtId="169" fontId="25" fillId="0" borderId="1" xfId="0" applyNumberFormat="1" applyFont="1" applyBorder="1" applyAlignment="1">
      <alignment horizontal="center" vertical="top" wrapText="1"/>
    </xf>
    <xf numFmtId="0" fontId="25" fillId="0" borderId="1" xfId="0" applyFont="1" applyBorder="1" applyAlignment="1">
      <alignment horizontal="center" vertical="top" wrapText="1"/>
    </xf>
    <xf numFmtId="0" fontId="23" fillId="5" borderId="11" xfId="0" applyFont="1" applyFill="1" applyBorder="1" applyAlignment="1">
      <alignment vertical="top" wrapText="1"/>
    </xf>
    <xf numFmtId="0" fontId="25" fillId="5" borderId="1" xfId="0" applyFont="1" applyFill="1" applyBorder="1" applyAlignment="1">
      <alignment horizontal="center" vertical="top" wrapText="1"/>
    </xf>
    <xf numFmtId="3" fontId="25" fillId="5" borderId="1" xfId="0" applyNumberFormat="1" applyFont="1" applyFill="1" applyBorder="1" applyAlignment="1">
      <alignment horizontal="center" vertical="top" wrapText="1"/>
    </xf>
    <xf numFmtId="0" fontId="33" fillId="0" borderId="0" xfId="0" applyFont="1" applyAlignment="1">
      <alignment horizontal="left" vertical="top" wrapText="1"/>
    </xf>
    <xf numFmtId="164" fontId="19" fillId="10" borderId="0" xfId="1" applyNumberFormat="1" applyFont="1" applyFill="1" applyAlignment="1">
      <alignment horizontal="center" vertical="top" wrapText="1"/>
    </xf>
    <xf numFmtId="167" fontId="21" fillId="11" borderId="1" xfId="2" applyNumberFormat="1" applyFont="1" applyFill="1" applyBorder="1" applyAlignment="1">
      <alignment vertical="top" wrapText="1"/>
    </xf>
    <xf numFmtId="0" fontId="34" fillId="0" borderId="0" xfId="2" applyFont="1" applyAlignment="1">
      <alignment horizontal="center" vertical="top" wrapText="1"/>
    </xf>
    <xf numFmtId="0" fontId="35" fillId="0" borderId="1" xfId="2" applyFont="1" applyBorder="1" applyAlignment="1">
      <alignment horizontal="center" vertical="top" wrapText="1"/>
    </xf>
    <xf numFmtId="165" fontId="34" fillId="0" borderId="1" xfId="2" applyNumberFormat="1" applyFont="1" applyBorder="1" applyAlignment="1">
      <alignment horizontal="center" vertical="top" wrapText="1"/>
    </xf>
    <xf numFmtId="3" fontId="34" fillId="0" borderId="1" xfId="2" applyNumberFormat="1" applyFont="1" applyBorder="1" applyAlignment="1">
      <alignment horizontal="center" vertical="top" wrapText="1"/>
    </xf>
    <xf numFmtId="164" fontId="34" fillId="0" borderId="1" xfId="1" applyNumberFormat="1" applyFont="1" applyBorder="1" applyAlignment="1">
      <alignment horizontal="center" vertical="top" wrapText="1"/>
    </xf>
    <xf numFmtId="166" fontId="34" fillId="0" borderId="1" xfId="2" applyNumberFormat="1" applyFont="1" applyBorder="1" applyAlignment="1">
      <alignment horizontal="center" vertical="top" wrapText="1"/>
    </xf>
    <xf numFmtId="0" fontId="36" fillId="0" borderId="0" xfId="2" applyFont="1" applyAlignment="1">
      <alignment vertical="top" wrapText="1"/>
    </xf>
    <xf numFmtId="166" fontId="35" fillId="0" borderId="1" xfId="2" applyNumberFormat="1" applyFont="1" applyBorder="1" applyAlignment="1">
      <alignment horizontal="center" vertical="top" wrapText="1"/>
    </xf>
    <xf numFmtId="0" fontId="34" fillId="0" borderId="0" xfId="2" applyFont="1"/>
    <xf numFmtId="0" fontId="19" fillId="0" borderId="0" xfId="2" applyFont="1" applyAlignment="1">
      <alignment horizontal="left" vertical="center" wrapText="1"/>
    </xf>
    <xf numFmtId="0" fontId="19" fillId="0" borderId="0" xfId="2" applyFont="1"/>
    <xf numFmtId="168" fontId="34" fillId="0" borderId="1" xfId="2" applyNumberFormat="1" applyFont="1" applyBorder="1" applyAlignment="1">
      <alignment horizontal="center" vertical="top" wrapText="1"/>
    </xf>
    <xf numFmtId="4" fontId="34" fillId="0" borderId="1" xfId="2" applyNumberFormat="1" applyFont="1" applyBorder="1" applyAlignment="1">
      <alignment horizontal="center" vertical="top" wrapText="1"/>
    </xf>
    <xf numFmtId="3" fontId="34" fillId="0" borderId="0" xfId="2" applyNumberFormat="1" applyFont="1" applyAlignment="1">
      <alignment horizontal="center" vertical="top" wrapText="1"/>
    </xf>
    <xf numFmtId="169" fontId="34" fillId="0" borderId="1" xfId="2" applyNumberFormat="1" applyFont="1" applyBorder="1" applyAlignment="1">
      <alignment horizontal="center" vertical="top" wrapText="1"/>
    </xf>
    <xf numFmtId="3" fontId="34" fillId="6" borderId="1" xfId="7" applyNumberFormat="1" applyFont="1" applyFill="1" applyBorder="1" applyAlignment="1">
      <alignment horizontal="center" vertical="top" wrapText="1"/>
    </xf>
    <xf numFmtId="3" fontId="34" fillId="7" borderId="1" xfId="7" applyNumberFormat="1" applyFont="1" applyFill="1" applyBorder="1" applyAlignment="1">
      <alignment horizontal="center" vertical="top" wrapText="1"/>
    </xf>
    <xf numFmtId="0" fontId="34" fillId="0" borderId="0" xfId="2" applyFont="1" applyAlignment="1">
      <alignment vertical="top" wrapText="1"/>
    </xf>
    <xf numFmtId="0" fontId="18" fillId="0" borderId="17" xfId="20" applyFill="1" applyBorder="1" applyAlignment="1">
      <alignment vertical="top" wrapText="1"/>
    </xf>
    <xf numFmtId="0" fontId="23" fillId="6" borderId="1" xfId="2" applyFont="1" applyFill="1" applyBorder="1" applyAlignment="1">
      <alignment vertical="top" wrapText="1"/>
    </xf>
    <xf numFmtId="166" fontId="23" fillId="6" borderId="1" xfId="2" applyNumberFormat="1" applyFont="1" applyFill="1" applyBorder="1" applyAlignment="1">
      <alignment horizontal="center" vertical="top" wrapText="1"/>
    </xf>
    <xf numFmtId="166" fontId="35" fillId="6" borderId="1" xfId="2" applyNumberFormat="1" applyFont="1" applyFill="1" applyBorder="1" applyAlignment="1">
      <alignment horizontal="center" vertical="top" wrapText="1"/>
    </xf>
    <xf numFmtId="165" fontId="21" fillId="6" borderId="1" xfId="2" applyNumberFormat="1" applyFont="1" applyFill="1" applyBorder="1" applyAlignment="1">
      <alignment vertical="top" wrapText="1"/>
    </xf>
    <xf numFmtId="165" fontId="23" fillId="6" borderId="1" xfId="2" applyNumberFormat="1" applyFont="1" applyFill="1" applyBorder="1" applyAlignment="1">
      <alignment vertical="top" wrapText="1"/>
    </xf>
    <xf numFmtId="0" fontId="21" fillId="6" borderId="0" xfId="2" applyFont="1" applyFill="1" applyAlignment="1">
      <alignment vertical="top" wrapText="1"/>
    </xf>
    <xf numFmtId="3" fontId="34" fillId="9" borderId="1" xfId="2" applyNumberFormat="1" applyFont="1" applyFill="1" applyBorder="1" applyAlignment="1">
      <alignment horizontal="center" vertical="top" wrapText="1"/>
    </xf>
    <xf numFmtId="0" fontId="19" fillId="0" borderId="0" xfId="2" applyFont="1" applyAlignment="1">
      <alignment horizontal="center" vertical="center" wrapText="1"/>
    </xf>
    <xf numFmtId="0" fontId="20" fillId="0" borderId="0" xfId="2" applyFont="1" applyAlignment="1">
      <alignment horizontal="center" vertical="center" wrapText="1"/>
    </xf>
    <xf numFmtId="0" fontId="20" fillId="0" borderId="0" xfId="2" applyFont="1" applyAlignment="1">
      <alignment horizontal="center" vertical="center" textRotation="90" wrapText="1"/>
    </xf>
    <xf numFmtId="0" fontId="35" fillId="6" borderId="1" xfId="2" applyFont="1" applyFill="1" applyBorder="1" applyAlignment="1">
      <alignment horizontal="center" vertical="top" wrapText="1"/>
    </xf>
    <xf numFmtId="166" fontId="34" fillId="6" borderId="0" xfId="2" applyNumberFormat="1" applyFont="1" applyFill="1" applyAlignment="1">
      <alignment vertical="top" wrapText="1"/>
    </xf>
    <xf numFmtId="166" fontId="21" fillId="6" borderId="0" xfId="2" applyNumberFormat="1" applyFont="1" applyFill="1" applyAlignment="1">
      <alignment vertical="top" wrapText="1"/>
    </xf>
    <xf numFmtId="0" fontId="23" fillId="0" borderId="1" xfId="22" applyFont="1" applyBorder="1" applyAlignment="1">
      <alignment vertical="top" wrapText="1"/>
    </xf>
    <xf numFmtId="166" fontId="21" fillId="0" borderId="0" xfId="2" applyNumberFormat="1" applyFont="1" applyAlignment="1">
      <alignment vertical="top" wrapText="1"/>
    </xf>
    <xf numFmtId="166" fontId="34" fillId="0" borderId="0" xfId="2" applyNumberFormat="1" applyFont="1" applyAlignment="1">
      <alignment vertical="top" wrapText="1"/>
    </xf>
    <xf numFmtId="4" fontId="21" fillId="0" borderId="1" xfId="35" applyNumberFormat="1" applyFont="1" applyBorder="1" applyAlignment="1">
      <alignment horizontal="center" vertical="top" wrapText="1"/>
    </xf>
    <xf numFmtId="4" fontId="34" fillId="0" borderId="1" xfId="35" applyNumberFormat="1" applyFont="1" applyBorder="1" applyAlignment="1">
      <alignment horizontal="center" vertical="top" wrapText="1"/>
    </xf>
    <xf numFmtId="3" fontId="34" fillId="2" borderId="1" xfId="2" applyNumberFormat="1" applyFont="1" applyFill="1" applyBorder="1" applyAlignment="1">
      <alignment horizontal="center" vertical="top" wrapText="1"/>
    </xf>
    <xf numFmtId="0" fontId="41" fillId="0" borderId="0" xfId="2" applyFont="1" applyAlignment="1">
      <alignment horizontal="center" vertical="top" wrapText="1"/>
    </xf>
    <xf numFmtId="0" fontId="42" fillId="6" borderId="1" xfId="2" applyFont="1" applyFill="1" applyBorder="1" applyAlignment="1">
      <alignment horizontal="center" vertical="top" wrapText="1"/>
    </xf>
    <xf numFmtId="0" fontId="42" fillId="0" borderId="1" xfId="2" applyFont="1" applyBorder="1" applyAlignment="1">
      <alignment horizontal="center" vertical="top" wrapText="1"/>
    </xf>
    <xf numFmtId="165" fontId="41" fillId="0" borderId="1" xfId="2" applyNumberFormat="1" applyFont="1" applyBorder="1" applyAlignment="1">
      <alignment horizontal="center" vertical="top" wrapText="1"/>
    </xf>
    <xf numFmtId="3" fontId="41" fillId="11" borderId="1" xfId="2" applyNumberFormat="1" applyFont="1" applyFill="1" applyBorder="1" applyAlignment="1">
      <alignment horizontal="center" vertical="top" wrapText="1"/>
    </xf>
    <xf numFmtId="3" fontId="41" fillId="0" borderId="1" xfId="2" applyNumberFormat="1" applyFont="1" applyBorder="1" applyAlignment="1">
      <alignment horizontal="center" vertical="top" wrapText="1"/>
    </xf>
    <xf numFmtId="168" fontId="41" fillId="0" borderId="1" xfId="2" applyNumberFormat="1" applyFont="1" applyBorder="1" applyAlignment="1">
      <alignment horizontal="center" vertical="top" wrapText="1"/>
    </xf>
    <xf numFmtId="4" fontId="41" fillId="0" borderId="1" xfId="2" applyNumberFormat="1" applyFont="1" applyBorder="1" applyAlignment="1">
      <alignment horizontal="center" vertical="top" wrapText="1"/>
    </xf>
    <xf numFmtId="3" fontId="41" fillId="0" borderId="0" xfId="2" applyNumberFormat="1" applyFont="1" applyAlignment="1">
      <alignment horizontal="center" vertical="top" wrapText="1"/>
    </xf>
    <xf numFmtId="169" fontId="41" fillId="0" borderId="1" xfId="2" applyNumberFormat="1" applyFont="1" applyBorder="1" applyAlignment="1">
      <alignment horizontal="center" vertical="top" wrapText="1"/>
    </xf>
    <xf numFmtId="3" fontId="41" fillId="6" borderId="1" xfId="7" applyNumberFormat="1" applyFont="1" applyFill="1" applyBorder="1" applyAlignment="1">
      <alignment horizontal="center" vertical="top" wrapText="1"/>
    </xf>
    <xf numFmtId="3" fontId="41" fillId="7" borderId="1" xfId="7" applyNumberFormat="1" applyFont="1" applyFill="1" applyBorder="1" applyAlignment="1">
      <alignment horizontal="center" vertical="top" wrapText="1"/>
    </xf>
    <xf numFmtId="0" fontId="41" fillId="0" borderId="0" xfId="2" applyFont="1" applyAlignment="1">
      <alignment vertical="top" wrapText="1"/>
    </xf>
    <xf numFmtId="4" fontId="41" fillId="0" borderId="1" xfId="35" applyNumberFormat="1" applyFont="1" applyBorder="1" applyAlignment="1">
      <alignment horizontal="center" vertical="top" wrapText="1"/>
    </xf>
    <xf numFmtId="166" fontId="42" fillId="0" borderId="1" xfId="2" applyNumberFormat="1" applyFont="1" applyBorder="1" applyAlignment="1">
      <alignment horizontal="center" vertical="top" wrapText="1"/>
    </xf>
    <xf numFmtId="166" fontId="42" fillId="6" borderId="1" xfId="2" applyNumberFormat="1" applyFont="1" applyFill="1" applyBorder="1" applyAlignment="1">
      <alignment horizontal="center" vertical="top" wrapText="1"/>
    </xf>
    <xf numFmtId="166" fontId="41" fillId="0" borderId="1" xfId="2" applyNumberFormat="1" applyFont="1" applyBorder="1" applyAlignment="1">
      <alignment horizontal="center" vertical="top" wrapText="1"/>
    </xf>
    <xf numFmtId="44" fontId="41" fillId="0" borderId="0" xfId="5" applyFont="1" applyAlignment="1">
      <alignment horizontal="center" vertical="top" wrapText="1"/>
    </xf>
    <xf numFmtId="169" fontId="41" fillId="0" borderId="0" xfId="2" applyNumberFormat="1" applyFont="1" applyAlignment="1">
      <alignment horizontal="center" vertical="top" wrapText="1"/>
    </xf>
    <xf numFmtId="166" fontId="41" fillId="0" borderId="0" xfId="2" applyNumberFormat="1" applyFont="1" applyAlignment="1">
      <alignment vertical="top" wrapText="1"/>
    </xf>
    <xf numFmtId="166" fontId="41" fillId="6" borderId="0" xfId="2" applyNumberFormat="1" applyFont="1" applyFill="1" applyAlignment="1">
      <alignment vertical="top" wrapText="1"/>
    </xf>
    <xf numFmtId="164" fontId="41" fillId="0" borderId="1" xfId="1" applyNumberFormat="1" applyFont="1" applyBorder="1" applyAlignment="1">
      <alignment horizontal="center" vertical="top" wrapText="1"/>
    </xf>
    <xf numFmtId="0" fontId="43" fillId="0" borderId="0" xfId="2" applyFont="1" applyAlignment="1">
      <alignment vertical="top" wrapText="1"/>
    </xf>
    <xf numFmtId="0" fontId="41" fillId="0" borderId="0" xfId="2" applyFont="1"/>
    <xf numFmtId="3" fontId="41" fillId="6" borderId="1" xfId="2" applyNumberFormat="1" applyFont="1" applyFill="1" applyBorder="1" applyAlignment="1">
      <alignment horizontal="center" vertical="top" wrapText="1"/>
    </xf>
    <xf numFmtId="3" fontId="21" fillId="6" borderId="1" xfId="2" applyNumberFormat="1" applyFont="1" applyFill="1" applyBorder="1" applyAlignment="1">
      <alignment horizontal="center" vertical="top" wrapText="1"/>
    </xf>
    <xf numFmtId="3" fontId="34" fillId="6" borderId="1" xfId="2" applyNumberFormat="1" applyFont="1" applyFill="1" applyBorder="1" applyAlignment="1">
      <alignment horizontal="center" vertical="top" wrapText="1"/>
    </xf>
    <xf numFmtId="3" fontId="41" fillId="7" borderId="1" xfId="2" applyNumberFormat="1" applyFont="1" applyFill="1" applyBorder="1" applyAlignment="1">
      <alignment horizontal="center" vertical="top" wrapText="1"/>
    </xf>
    <xf numFmtId="3" fontId="21" fillId="7" borderId="1" xfId="2" applyNumberFormat="1" applyFont="1" applyFill="1" applyBorder="1" applyAlignment="1">
      <alignment horizontal="center" vertical="top" wrapText="1"/>
    </xf>
    <xf numFmtId="3" fontId="34" fillId="7" borderId="1" xfId="2" applyNumberFormat="1" applyFont="1" applyFill="1" applyBorder="1" applyAlignment="1">
      <alignment horizontal="center" vertical="top" wrapText="1"/>
    </xf>
    <xf numFmtId="165" fontId="21" fillId="7" borderId="1" xfId="2" applyNumberFormat="1" applyFont="1" applyFill="1" applyBorder="1" applyAlignment="1">
      <alignment vertical="top" wrapText="1"/>
    </xf>
    <xf numFmtId="4" fontId="21" fillId="6" borderId="1" xfId="2" applyNumberFormat="1" applyFont="1" applyFill="1" applyBorder="1" applyAlignment="1">
      <alignment horizontal="center" vertical="top" wrapText="1"/>
    </xf>
    <xf numFmtId="4" fontId="21" fillId="7" borderId="1" xfId="2" applyNumberFormat="1" applyFont="1" applyFill="1" applyBorder="1" applyAlignment="1">
      <alignment horizontal="center" vertical="top" wrapText="1"/>
    </xf>
    <xf numFmtId="4" fontId="34" fillId="6" borderId="1" xfId="2" applyNumberFormat="1" applyFont="1" applyFill="1" applyBorder="1" applyAlignment="1">
      <alignment horizontal="center" vertical="top" wrapText="1"/>
    </xf>
    <xf numFmtId="4" fontId="34" fillId="7" borderId="1" xfId="2" applyNumberFormat="1" applyFont="1" applyFill="1" applyBorder="1" applyAlignment="1">
      <alignment horizontal="center" vertical="top" wrapText="1"/>
    </xf>
    <xf numFmtId="3" fontId="21" fillId="2" borderId="1" xfId="2" applyNumberFormat="1" applyFont="1" applyFill="1" applyBorder="1" applyAlignment="1">
      <alignment vertical="top" wrapText="1"/>
    </xf>
    <xf numFmtId="4" fontId="19" fillId="2" borderId="0" xfId="2" applyNumberFormat="1" applyFont="1" applyFill="1" applyAlignment="1">
      <alignment horizontal="center" vertical="top" wrapText="1"/>
    </xf>
    <xf numFmtId="4" fontId="41" fillId="6" borderId="1" xfId="2" applyNumberFormat="1" applyFont="1" applyFill="1" applyBorder="1" applyAlignment="1">
      <alignment horizontal="center" vertical="top" wrapText="1"/>
    </xf>
    <xf numFmtId="4" fontId="41" fillId="7" borderId="1" xfId="2" applyNumberFormat="1" applyFont="1" applyFill="1" applyBorder="1" applyAlignment="1">
      <alignment horizontal="center" vertical="top" wrapText="1"/>
    </xf>
    <xf numFmtId="0" fontId="23" fillId="6" borderId="1" xfId="2" applyFont="1" applyFill="1" applyBorder="1" applyAlignment="1">
      <alignment horizontal="left" vertical="top" wrapText="1" indent="1"/>
    </xf>
    <xf numFmtId="0" fontId="23" fillId="7" borderId="1" xfId="2" applyFont="1" applyFill="1" applyBorder="1" applyAlignment="1">
      <alignment horizontal="left" vertical="top" wrapText="1" indent="1"/>
    </xf>
    <xf numFmtId="1" fontId="19" fillId="2" borderId="0" xfId="2" applyNumberFormat="1" applyFont="1" applyFill="1" applyAlignment="1">
      <alignment horizontal="center" vertical="top" wrapText="1"/>
    </xf>
    <xf numFmtId="167" fontId="21" fillId="0" borderId="1" xfId="38" applyNumberFormat="1" applyFont="1" applyBorder="1" applyAlignment="1">
      <alignment vertical="top" wrapText="1"/>
    </xf>
    <xf numFmtId="2" fontId="12" fillId="0" borderId="0" xfId="2" applyNumberFormat="1" applyFont="1" applyAlignment="1">
      <alignment vertical="top" wrapText="1"/>
    </xf>
    <xf numFmtId="0" fontId="44" fillId="0" borderId="0" xfId="0" applyFont="1" applyAlignment="1">
      <alignment horizontal="center"/>
    </xf>
    <xf numFmtId="165" fontId="44" fillId="0" borderId="0" xfId="0" applyNumberFormat="1" applyFont="1"/>
    <xf numFmtId="0" fontId="44" fillId="0" borderId="0" xfId="0" applyFont="1"/>
    <xf numFmtId="0" fontId="45" fillId="2" borderId="0" xfId="0" applyFont="1" applyFill="1"/>
    <xf numFmtId="0" fontId="40" fillId="2" borderId="0" xfId="0" applyFont="1" applyFill="1"/>
    <xf numFmtId="0" fontId="4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6" fillId="12" borderId="27" xfId="0" applyFont="1" applyFill="1" applyBorder="1"/>
    <xf numFmtId="0" fontId="46" fillId="12" borderId="27" xfId="0" applyFont="1" applyFill="1" applyBorder="1" applyAlignment="1">
      <alignment horizontal="center"/>
    </xf>
    <xf numFmtId="0" fontId="45" fillId="0" borderId="0" xfId="0" applyFont="1"/>
    <xf numFmtId="0" fontId="47" fillId="13" borderId="27" xfId="0" applyFont="1" applyFill="1" applyBorder="1"/>
    <xf numFmtId="0" fontId="0" fillId="13" borderId="27" xfId="0" applyFill="1" applyBorder="1" applyAlignment="1">
      <alignment horizontal="center"/>
    </xf>
    <xf numFmtId="0" fontId="0" fillId="13" borderId="27" xfId="0" applyFill="1" applyBorder="1"/>
    <xf numFmtId="14" fontId="0" fillId="13" borderId="27" xfId="0" applyNumberFormat="1" applyFill="1" applyBorder="1"/>
    <xf numFmtId="14" fontId="0" fillId="13" borderId="27" xfId="0" applyNumberFormat="1" applyFill="1" applyBorder="1" applyAlignment="1">
      <alignment horizontal="center"/>
    </xf>
    <xf numFmtId="14" fontId="44" fillId="0" borderId="0" xfId="0" applyNumberFormat="1" applyFont="1"/>
    <xf numFmtId="171" fontId="0" fillId="13" borderId="27" xfId="0" applyNumberFormat="1" applyFill="1" applyBorder="1"/>
    <xf numFmtId="171" fontId="0" fillId="13" borderId="27" xfId="0" applyNumberFormat="1" applyFill="1" applyBorder="1" applyAlignment="1">
      <alignment horizontal="center"/>
    </xf>
    <xf numFmtId="4" fontId="44" fillId="0" borderId="0" xfId="0" applyNumberFormat="1" applyFont="1"/>
    <xf numFmtId="0" fontId="47" fillId="10" borderId="27" xfId="0" applyFont="1" applyFill="1" applyBorder="1"/>
    <xf numFmtId="0" fontId="0" fillId="10" borderId="27" xfId="0" applyFill="1" applyBorder="1" applyAlignment="1">
      <alignment horizontal="center"/>
    </xf>
    <xf numFmtId="0" fontId="0" fillId="10" borderId="27" xfId="0" applyFill="1" applyBorder="1"/>
    <xf numFmtId="169" fontId="44" fillId="0" borderId="0" xfId="0" applyNumberFormat="1" applyFont="1"/>
    <xf numFmtId="0" fontId="47" fillId="14" borderId="27" xfId="0" applyFont="1" applyFill="1" applyBorder="1"/>
    <xf numFmtId="0" fontId="0" fillId="14" borderId="27" xfId="0" applyFill="1" applyBorder="1" applyAlignment="1">
      <alignment horizontal="center"/>
    </xf>
    <xf numFmtId="14" fontId="0" fillId="14" borderId="27" xfId="0" applyNumberFormat="1" applyFill="1" applyBorder="1"/>
    <xf numFmtId="14" fontId="0" fillId="14" borderId="27" xfId="0" applyNumberFormat="1" applyFill="1" applyBorder="1" applyAlignment="1">
      <alignment horizontal="center"/>
    </xf>
    <xf numFmtId="0" fontId="0" fillId="14" borderId="27" xfId="0" applyFill="1" applyBorder="1"/>
    <xf numFmtId="4" fontId="0" fillId="14" borderId="27" xfId="0" applyNumberFormat="1" applyFill="1" applyBorder="1"/>
    <xf numFmtId="4" fontId="0" fillId="14" borderId="27" xfId="0" applyNumberFormat="1" applyFill="1" applyBorder="1" applyAlignment="1">
      <alignment horizontal="center"/>
    </xf>
    <xf numFmtId="169" fontId="0" fillId="14" borderId="27" xfId="0" applyNumberFormat="1" applyFill="1" applyBorder="1"/>
    <xf numFmtId="169" fontId="0" fillId="14" borderId="27" xfId="0" applyNumberFormat="1" applyFill="1" applyBorder="1" applyAlignment="1">
      <alignment horizontal="center"/>
    </xf>
    <xf numFmtId="171" fontId="44" fillId="0" borderId="0" xfId="0" applyNumberFormat="1" applyFont="1"/>
    <xf numFmtId="171" fontId="0" fillId="0" borderId="0" xfId="0" applyNumberFormat="1"/>
    <xf numFmtId="14" fontId="0" fillId="10" borderId="27" xfId="0" applyNumberFormat="1" applyFill="1" applyBorder="1"/>
    <xf numFmtId="14" fontId="0" fillId="10" borderId="27" xfId="0" applyNumberFormat="1" applyFill="1" applyBorder="1" applyAlignment="1">
      <alignment horizontal="center"/>
    </xf>
    <xf numFmtId="0" fontId="25" fillId="6" borderId="1" xfId="2" applyFont="1" applyFill="1" applyBorder="1" applyAlignment="1">
      <alignment vertical="top" wrapText="1"/>
    </xf>
    <xf numFmtId="3" fontId="22" fillId="6" borderId="1" xfId="2" applyNumberFormat="1" applyFont="1" applyFill="1" applyBorder="1" applyAlignment="1">
      <alignment horizontal="center" vertical="top" wrapText="1"/>
    </xf>
    <xf numFmtId="3" fontId="21" fillId="6" borderId="1" xfId="2" applyNumberFormat="1" applyFont="1" applyFill="1" applyBorder="1" applyAlignment="1">
      <alignment vertical="top" wrapText="1"/>
    </xf>
    <xf numFmtId="0" fontId="25" fillId="7" borderId="1" xfId="2" applyFont="1" applyFill="1" applyBorder="1" applyAlignment="1">
      <alignment vertical="top" wrapText="1"/>
    </xf>
    <xf numFmtId="3" fontId="22" fillId="7" borderId="1" xfId="2" applyNumberFormat="1" applyFont="1" applyFill="1" applyBorder="1" applyAlignment="1">
      <alignment horizontal="center" vertical="top" wrapText="1"/>
    </xf>
    <xf numFmtId="3" fontId="21" fillId="7" borderId="1" xfId="2" applyNumberFormat="1" applyFont="1" applyFill="1" applyBorder="1" applyAlignment="1">
      <alignment vertical="top" wrapText="1"/>
    </xf>
    <xf numFmtId="1" fontId="19" fillId="6" borderId="0" xfId="7" applyNumberFormat="1" applyFont="1" applyFill="1" applyAlignment="1">
      <alignment horizontal="center" vertical="top" wrapText="1"/>
    </xf>
    <xf numFmtId="1" fontId="19" fillId="7" borderId="0" xfId="7" applyNumberFormat="1" applyFont="1" applyFill="1" applyAlignment="1">
      <alignment horizontal="center" vertical="top" wrapText="1"/>
    </xf>
    <xf numFmtId="4" fontId="31" fillId="2" borderId="0" xfId="2" applyNumberFormat="1" applyFont="1" applyFill="1" applyAlignment="1">
      <alignment horizontal="center" vertical="top" wrapText="1"/>
    </xf>
    <xf numFmtId="164" fontId="19" fillId="2" borderId="0" xfId="1" applyNumberFormat="1" applyFont="1" applyFill="1" applyAlignment="1">
      <alignment horizontal="center" vertical="top" wrapText="1"/>
    </xf>
    <xf numFmtId="165" fontId="21" fillId="2" borderId="1" xfId="2" applyNumberFormat="1" applyFont="1" applyFill="1" applyBorder="1" applyAlignment="1">
      <alignment vertical="top" wrapText="1"/>
    </xf>
    <xf numFmtId="166" fontId="23" fillId="6" borderId="1" xfId="2" applyNumberFormat="1" applyFont="1" applyFill="1" applyBorder="1" applyAlignment="1">
      <alignment vertical="top" wrapText="1"/>
    </xf>
    <xf numFmtId="4" fontId="19" fillId="0" borderId="0" xfId="2" applyNumberFormat="1" applyFont="1" applyAlignment="1">
      <alignment horizontal="center" vertical="top" shrinkToFit="1"/>
    </xf>
    <xf numFmtId="169" fontId="41" fillId="6" borderId="1" xfId="2" applyNumberFormat="1" applyFont="1" applyFill="1" applyBorder="1" applyAlignment="1">
      <alignment horizontal="center" vertical="top" wrapText="1"/>
    </xf>
    <xf numFmtId="169" fontId="21" fillId="6" borderId="1" xfId="2" applyNumberFormat="1" applyFont="1" applyFill="1" applyBorder="1" applyAlignment="1">
      <alignment horizontal="center" vertical="top" wrapText="1"/>
    </xf>
    <xf numFmtId="169" fontId="34" fillId="6" borderId="1" xfId="2" applyNumberFormat="1" applyFont="1" applyFill="1" applyBorder="1" applyAlignment="1">
      <alignment horizontal="center" vertical="top" wrapText="1"/>
    </xf>
    <xf numFmtId="4" fontId="0" fillId="0" borderId="0" xfId="0" applyNumberFormat="1"/>
    <xf numFmtId="164" fontId="19" fillId="0" borderId="0" xfId="1" applyNumberFormat="1" applyFont="1" applyFill="1" applyAlignment="1">
      <alignment horizontal="center" vertical="top" wrapText="1"/>
    </xf>
    <xf numFmtId="167" fontId="23" fillId="6" borderId="1" xfId="2" applyNumberFormat="1" applyFont="1" applyFill="1" applyBorder="1" applyAlignment="1">
      <alignment vertical="top" wrapText="1"/>
    </xf>
    <xf numFmtId="164" fontId="41" fillId="6" borderId="1" xfId="1" applyNumberFormat="1" applyFont="1" applyFill="1" applyBorder="1" applyAlignment="1">
      <alignment horizontal="center" vertical="top" wrapText="1"/>
    </xf>
    <xf numFmtId="164" fontId="22" fillId="6" borderId="1" xfId="1" applyNumberFormat="1" applyFont="1" applyFill="1" applyBorder="1" applyAlignment="1">
      <alignment horizontal="center" vertical="top" wrapText="1"/>
    </xf>
    <xf numFmtId="164" fontId="34" fillId="6" borderId="1" xfId="1" applyNumberFormat="1" applyFont="1" applyFill="1" applyBorder="1" applyAlignment="1">
      <alignment horizontal="center" vertical="top" wrapText="1"/>
    </xf>
    <xf numFmtId="167" fontId="21" fillId="6" borderId="1" xfId="2" applyNumberFormat="1" applyFont="1" applyFill="1" applyBorder="1" applyAlignment="1">
      <alignment vertical="top" wrapText="1"/>
    </xf>
    <xf numFmtId="166" fontId="41" fillId="6" borderId="1" xfId="2" applyNumberFormat="1" applyFont="1" applyFill="1" applyBorder="1" applyAlignment="1">
      <alignment horizontal="center" vertical="top" wrapText="1"/>
    </xf>
    <xf numFmtId="166" fontId="22" fillId="6" borderId="1" xfId="2" applyNumberFormat="1" applyFont="1" applyFill="1" applyBorder="1" applyAlignment="1">
      <alignment horizontal="center" vertical="top" wrapText="1"/>
    </xf>
    <xf numFmtId="166" fontId="34" fillId="6" borderId="1" xfId="2" applyNumberFormat="1" applyFont="1" applyFill="1" applyBorder="1" applyAlignment="1">
      <alignment horizontal="center" vertical="top" wrapText="1"/>
    </xf>
    <xf numFmtId="14" fontId="23" fillId="6" borderId="1" xfId="2" applyNumberFormat="1" applyFont="1" applyFill="1" applyBorder="1" applyAlignment="1">
      <alignment vertical="top" wrapText="1"/>
    </xf>
    <xf numFmtId="166" fontId="25" fillId="6" borderId="1" xfId="2" applyNumberFormat="1" applyFont="1" applyFill="1" applyBorder="1" applyAlignment="1">
      <alignment horizontal="center" vertical="top" wrapText="1"/>
    </xf>
    <xf numFmtId="0" fontId="21" fillId="0" borderId="0" xfId="0" pivotButton="1" applyFont="1"/>
    <xf numFmtId="14" fontId="21" fillId="0" borderId="0" xfId="0" applyNumberFormat="1" applyFont="1"/>
    <xf numFmtId="169" fontId="0" fillId="0" borderId="0" xfId="0" applyNumberFormat="1"/>
    <xf numFmtId="3" fontId="0" fillId="0" borderId="0" xfId="1" applyNumberFormat="1" applyFont="1"/>
    <xf numFmtId="0" fontId="24" fillId="6" borderId="2" xfId="2" applyFont="1" applyFill="1" applyBorder="1" applyAlignment="1">
      <alignment horizontal="left" vertical="center" textRotation="90" wrapText="1"/>
    </xf>
    <xf numFmtId="0" fontId="24" fillId="6" borderId="4" xfId="2" applyFont="1" applyFill="1" applyBorder="1" applyAlignment="1">
      <alignment horizontal="left" vertical="center" textRotation="90" wrapText="1"/>
    </xf>
    <xf numFmtId="0" fontId="24" fillId="0" borderId="2" xfId="2" applyFont="1" applyBorder="1" applyAlignment="1">
      <alignment horizontal="left" vertical="center" textRotation="90" wrapText="1"/>
    </xf>
    <xf numFmtId="0" fontId="24" fillId="0" borderId="4" xfId="2" applyFont="1" applyBorder="1" applyAlignment="1">
      <alignment horizontal="left" vertical="center" textRotation="90" wrapText="1"/>
    </xf>
    <xf numFmtId="0" fontId="24" fillId="0" borderId="3" xfId="2" applyFont="1" applyBorder="1" applyAlignment="1">
      <alignment horizontal="left" vertical="center" textRotation="90" wrapText="1"/>
    </xf>
    <xf numFmtId="0" fontId="20" fillId="0" borderId="4" xfId="0" applyFont="1" applyBorder="1" applyAlignment="1">
      <alignment horizontal="left" vertical="center" textRotation="90" wrapText="1"/>
    </xf>
    <xf numFmtId="170" fontId="24" fillId="0" borderId="2" xfId="2" applyNumberFormat="1" applyFont="1" applyBorder="1" applyAlignment="1">
      <alignment horizontal="left" vertical="center" textRotation="90" wrapText="1"/>
    </xf>
    <xf numFmtId="0" fontId="24" fillId="0" borderId="1" xfId="2" applyFont="1" applyBorder="1" applyAlignment="1">
      <alignment horizontal="left" vertical="center" textRotation="90" wrapText="1"/>
    </xf>
    <xf numFmtId="0" fontId="20" fillId="0" borderId="1" xfId="2" applyFont="1" applyBorder="1" applyAlignment="1">
      <alignment horizontal="left" vertical="center" textRotation="90" wrapText="1"/>
    </xf>
    <xf numFmtId="0" fontId="0" fillId="0" borderId="1" xfId="0" applyBorder="1"/>
    <xf numFmtId="0" fontId="24" fillId="6" borderId="1" xfId="2" applyFont="1" applyFill="1" applyBorder="1" applyAlignment="1">
      <alignment horizontal="left" vertical="center" textRotation="90" wrapText="1"/>
    </xf>
    <xf numFmtId="0" fontId="0" fillId="6" borderId="1" xfId="0" applyFill="1" applyBorder="1"/>
    <xf numFmtId="0" fontId="24" fillId="6" borderId="1" xfId="2" applyFont="1" applyFill="1" applyBorder="1" applyAlignment="1">
      <alignment horizontal="center" vertical="center" textRotation="90" wrapText="1"/>
    </xf>
    <xf numFmtId="0" fontId="20" fillId="6" borderId="1" xfId="2" applyFont="1" applyFill="1" applyBorder="1" applyAlignment="1">
      <alignment horizontal="center" vertical="center" textRotation="90" wrapText="1"/>
    </xf>
    <xf numFmtId="0" fontId="23" fillId="6" borderId="1" xfId="2" applyFont="1" applyFill="1" applyBorder="1" applyAlignment="1">
      <alignment horizontal="center" vertical="top" wrapText="1"/>
    </xf>
    <xf numFmtId="0" fontId="40" fillId="6" borderId="1" xfId="0" applyFont="1" applyFill="1" applyBorder="1" applyAlignment="1">
      <alignment horizontal="center" vertical="top" wrapText="1"/>
    </xf>
    <xf numFmtId="0" fontId="23" fillId="0" borderId="2" xfId="2" applyFont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37" fillId="6" borderId="2" xfId="2" applyFont="1" applyFill="1" applyBorder="1" applyAlignment="1">
      <alignment horizontal="center" vertical="center" textRotation="90" wrapText="1"/>
    </xf>
    <xf numFmtId="0" fontId="37" fillId="6" borderId="3" xfId="2" applyFont="1" applyFill="1" applyBorder="1" applyAlignment="1">
      <alignment horizontal="center" vertical="center" textRotation="90" wrapText="1"/>
    </xf>
    <xf numFmtId="0" fontId="37" fillId="6" borderId="4" xfId="2" applyFont="1" applyFill="1" applyBorder="1" applyAlignment="1">
      <alignment horizontal="center" vertical="center" textRotation="90" wrapText="1"/>
    </xf>
    <xf numFmtId="0" fontId="20" fillId="6" borderId="1" xfId="0" applyFont="1" applyFill="1" applyBorder="1" applyAlignment="1">
      <alignment horizontal="center" vertical="center" wrapText="1"/>
    </xf>
    <xf numFmtId="0" fontId="37" fillId="6" borderId="1" xfId="2" applyFont="1" applyFill="1" applyBorder="1" applyAlignment="1">
      <alignment horizontal="center" vertical="center" textRotation="90" wrapText="1"/>
    </xf>
    <xf numFmtId="0" fontId="38" fillId="6" borderId="1" xfId="0" applyFont="1" applyFill="1" applyBorder="1" applyAlignment="1">
      <alignment horizontal="center" vertical="center" wrapText="1"/>
    </xf>
    <xf numFmtId="0" fontId="39" fillId="6" borderId="1" xfId="0" applyFont="1" applyFill="1" applyBorder="1" applyAlignment="1">
      <alignment horizontal="center" vertical="center" wrapText="1"/>
    </xf>
    <xf numFmtId="0" fontId="38" fillId="6" borderId="1" xfId="0" applyFont="1" applyFill="1" applyBorder="1" applyAlignment="1">
      <alignment horizontal="center" vertical="center" textRotation="90" wrapText="1"/>
    </xf>
    <xf numFmtId="0" fontId="38" fillId="6" borderId="1" xfId="4" applyFont="1" applyFill="1" applyBorder="1" applyAlignment="1">
      <alignment horizontal="center" vertical="center" textRotation="90" wrapText="1"/>
    </xf>
    <xf numFmtId="0" fontId="30" fillId="3" borderId="6" xfId="0" applyFont="1" applyFill="1" applyBorder="1" applyAlignment="1">
      <alignment horizontal="left" vertical="top" wrapText="1"/>
    </xf>
    <xf numFmtId="0" fontId="21" fillId="0" borderId="7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left" vertical="top" wrapText="1"/>
    </xf>
    <xf numFmtId="0" fontId="30" fillId="3" borderId="9" xfId="0" applyFont="1" applyFill="1" applyBorder="1" applyAlignment="1">
      <alignment horizontal="left" vertical="top" wrapText="1"/>
    </xf>
    <xf numFmtId="0" fontId="21" fillId="0" borderId="9" xfId="0" applyFont="1" applyBorder="1" applyAlignment="1">
      <alignment vertical="top" wrapText="1"/>
    </xf>
    <xf numFmtId="0" fontId="25" fillId="4" borderId="1" xfId="0" applyFont="1" applyFill="1" applyBorder="1" applyAlignment="1">
      <alignment horizontal="center" vertical="top" wrapText="1"/>
    </xf>
    <xf numFmtId="4" fontId="25" fillId="4" borderId="1" xfId="0" applyNumberFormat="1" applyFont="1" applyFill="1" applyBorder="1" applyAlignment="1">
      <alignment horizontal="center" vertical="top" wrapText="1"/>
    </xf>
    <xf numFmtId="0" fontId="25" fillId="5" borderId="1" xfId="0" applyFont="1" applyFill="1" applyBorder="1" applyAlignment="1">
      <alignment vertical="top" wrapText="1"/>
    </xf>
    <xf numFmtId="0" fontId="25" fillId="5" borderId="1" xfId="0" applyFont="1" applyFill="1" applyBorder="1" applyAlignment="1">
      <alignment horizontal="center" vertical="top" wrapText="1"/>
    </xf>
    <xf numFmtId="0" fontId="21" fillId="5" borderId="1" xfId="0" applyFont="1" applyFill="1" applyBorder="1" applyAlignment="1">
      <alignment horizontal="center" vertical="top" wrapText="1"/>
    </xf>
    <xf numFmtId="0" fontId="25" fillId="4" borderId="1" xfId="0" applyFont="1" applyFill="1" applyBorder="1" applyAlignment="1">
      <alignment vertical="top" wrapText="1"/>
    </xf>
    <xf numFmtId="0" fontId="21" fillId="4" borderId="1" xfId="0" applyFont="1" applyFill="1" applyBorder="1" applyAlignment="1">
      <alignment horizontal="center" vertical="top" wrapText="1"/>
    </xf>
    <xf numFmtId="4" fontId="25" fillId="5" borderId="1" xfId="0" applyNumberFormat="1" applyFont="1" applyFill="1" applyBorder="1" applyAlignment="1">
      <alignment horizontal="center" vertical="top" wrapText="1"/>
    </xf>
    <xf numFmtId="0" fontId="25" fillId="4" borderId="4" xfId="0" applyFont="1" applyFill="1" applyBorder="1" applyAlignment="1">
      <alignment vertical="top" wrapText="1"/>
    </xf>
  </cellXfs>
  <cellStyles count="70">
    <cellStyle name="Currency" xfId="5" builtinId="4"/>
    <cellStyle name="Hyperlink" xfId="20" builtinId="8"/>
    <cellStyle name="Hyperlink 2" xfId="9" xr:uid="{92C71FCE-8A44-4407-9058-D55AFED3D436}"/>
    <cellStyle name="Normal" xfId="0" builtinId="0"/>
    <cellStyle name="Normal 2" xfId="2" xr:uid="{5916D617-464B-4618-A656-48318DDC4AE1}"/>
    <cellStyle name="Normal 2 2" xfId="7" xr:uid="{D45373D0-7173-45F2-9F99-860E338BEAB8}"/>
    <cellStyle name="Normal 2 2 2" xfId="18" xr:uid="{DD54842D-FD9C-44FF-A3FE-8A036A325826}"/>
    <cellStyle name="Normal 2 2 2 2" xfId="35" xr:uid="{E2DD59E6-C20C-4F79-A024-2FCB1BABA37C}"/>
    <cellStyle name="Normal 2 2 2 2 2" xfId="67" xr:uid="{BC4E61F1-883C-4FC8-BA34-00378B93A528}"/>
    <cellStyle name="Normal 2 2 2 3" xfId="51" xr:uid="{57335D63-F559-488F-A42E-2264735D2751}"/>
    <cellStyle name="Normal 2 2 3" xfId="13" xr:uid="{D344FE3C-6A03-4EA2-A96B-658D9FFD4CC8}"/>
    <cellStyle name="Normal 2 2 3 2" xfId="30" xr:uid="{8C70885E-9642-4ABA-BCA1-0AD084C9AE4A}"/>
    <cellStyle name="Normal 2 2 3 2 2" xfId="62" xr:uid="{5490E400-4607-496C-AE2B-86BAAE902B5C}"/>
    <cellStyle name="Normal 2 2 3 3" xfId="46" xr:uid="{60CA1855-D858-4DEE-AB48-46F7D551AB40}"/>
    <cellStyle name="Normal 2 2 4" xfId="25" xr:uid="{3C0C4C8C-13CC-448D-9477-FE4B75E1B0F8}"/>
    <cellStyle name="Normal 2 2 4 2" xfId="57" xr:uid="{B1E44060-B0F2-4E89-8093-7865C9A6B4C4}"/>
    <cellStyle name="Normal 2 2 5" xfId="41" xr:uid="{FA024C4C-6419-430F-819F-CDEA9CB51C35}"/>
    <cellStyle name="Normal 2 3" xfId="15" xr:uid="{A76A5DBC-492A-4318-AC5D-D61E2937E5BC}"/>
    <cellStyle name="Normal 2 3 2" xfId="32" xr:uid="{78E23093-77C9-4BE7-A63E-8E8F13C5287C}"/>
    <cellStyle name="Normal 2 3 2 2" xfId="64" xr:uid="{21440FE3-951F-4C32-83F9-180306245E1D}"/>
    <cellStyle name="Normal 2 3 3" xfId="48" xr:uid="{456C760D-EE28-4453-AB62-4506BC13BE66}"/>
    <cellStyle name="Normal 2 4" xfId="10" xr:uid="{748A4BD3-791B-4E89-B571-E01D5831E649}"/>
    <cellStyle name="Normal 2 4 2" xfId="27" xr:uid="{0E234517-85EA-4DDA-8A8A-6E63A8A31347}"/>
    <cellStyle name="Normal 2 4 2 2" xfId="59" xr:uid="{9015B8AA-8017-4AA1-AA8A-061AAD74772F}"/>
    <cellStyle name="Normal 2 4 3" xfId="43" xr:uid="{F60A2AC8-90D2-476E-96B5-6410D031634A}"/>
    <cellStyle name="Normal 2 5" xfId="21" xr:uid="{629D9590-FB60-45D4-8BC0-773F7715C16D}"/>
    <cellStyle name="Normal 2 5 2" xfId="37" xr:uid="{62DE5576-F129-4F70-A868-8F675BECC813}"/>
    <cellStyle name="Normal 2 5 2 2" xfId="69" xr:uid="{4421886E-A27E-4660-802F-35B0E9A30826}"/>
    <cellStyle name="Normal 2 5 3" xfId="53" xr:uid="{EECA95CA-4496-481A-9CFE-2E67F0227DB0}"/>
    <cellStyle name="Normal 2 6" xfId="22" xr:uid="{5CBA38FF-0D99-436D-B1F9-877BD3B82BBC}"/>
    <cellStyle name="Normal 2 6 2" xfId="54" xr:uid="{CA494CAE-6D40-4F09-8C00-FCF2C4EFC01E}"/>
    <cellStyle name="Normal 2 7" xfId="38" xr:uid="{59BE7212-6AB3-490E-A760-C2358B538116}"/>
    <cellStyle name="Normal 3" xfId="4" xr:uid="{510923D6-4A8A-41B4-83FF-75DB115A102D}"/>
    <cellStyle name="Normal 4" xfId="6" xr:uid="{F22769D3-A453-4F5A-AF74-28CE822A0D74}"/>
    <cellStyle name="Normal 4 2" xfId="17" xr:uid="{251C3DF8-2792-408E-A6A5-46C0236A4BFF}"/>
    <cellStyle name="Normal 4 2 2" xfId="34" xr:uid="{65635502-8321-4466-9321-AEDE8654E77F}"/>
    <cellStyle name="Normal 4 2 2 2" xfId="66" xr:uid="{1E72F28A-8E94-496A-A9A8-48DACA91CC05}"/>
    <cellStyle name="Normal 4 2 3" xfId="50" xr:uid="{1A66870D-0B08-4E88-B088-1D38641EA235}"/>
    <cellStyle name="Normal 4 3" xfId="12" xr:uid="{B08E1D53-5E7B-4B6B-B91E-A6AAA730888B}"/>
    <cellStyle name="Normal 4 3 2" xfId="29" xr:uid="{09E58F27-6E6C-4AC1-94AE-57F7C7942A27}"/>
    <cellStyle name="Normal 4 3 2 2" xfId="61" xr:uid="{3F9A18EF-D0E2-45D1-A7BC-1CAEB0920B69}"/>
    <cellStyle name="Normal 4 3 3" xfId="45" xr:uid="{6D40D7B7-DB79-4ED0-8735-C56A18954A06}"/>
    <cellStyle name="Normal 4 4" xfId="24" xr:uid="{9AB04971-8231-45D0-9ADD-B62071516F64}"/>
    <cellStyle name="Normal 4 4 2" xfId="56" xr:uid="{322C57F1-CDD6-4546-B8C5-2A768BB20F0E}"/>
    <cellStyle name="Normal 4 5" xfId="40" xr:uid="{99927034-4C91-4284-8BBA-577508EDA071}"/>
    <cellStyle name="Normal 5" xfId="8" xr:uid="{F425CF43-BAB3-4E5E-9931-A5EA61DA038B}"/>
    <cellStyle name="Normal 5 2" xfId="19" xr:uid="{0697AEEB-ED97-4E39-A949-2D804D4645B1}"/>
    <cellStyle name="Normal 5 2 2" xfId="36" xr:uid="{03D267EB-3620-4649-BBA9-B4780CA94B44}"/>
    <cellStyle name="Normal 5 2 2 2" xfId="68" xr:uid="{FB8D93FF-6A20-4BAB-A2A8-F7AC398A9A90}"/>
    <cellStyle name="Normal 5 2 3" xfId="52" xr:uid="{071A6DA7-3190-404B-A3EB-2D7E255E3A06}"/>
    <cellStyle name="Normal 5 3" xfId="14" xr:uid="{E0F7BF2A-BD92-4436-80B0-9C0785BF56C5}"/>
    <cellStyle name="Normal 5 3 2" xfId="31" xr:uid="{BC93D01D-FD61-4B09-B399-45A5080E2033}"/>
    <cellStyle name="Normal 5 3 2 2" xfId="63" xr:uid="{7A9D456A-1080-4BF6-9CB1-4602A0558447}"/>
    <cellStyle name="Normal 5 3 3" xfId="47" xr:uid="{E82C504E-58B0-43F2-8C14-2AD74DFF9F4B}"/>
    <cellStyle name="Normal 5 4" xfId="26" xr:uid="{138447A7-BB3C-442E-BBBA-E11C920FD511}"/>
    <cellStyle name="Normal 5 4 2" xfId="58" xr:uid="{5441B9E4-A980-4C2D-94A0-B15283AA2E18}"/>
    <cellStyle name="Normal 5 5" xfId="42" xr:uid="{D9498085-3233-4E10-BE82-B64A87213661}"/>
    <cellStyle name="Percent" xfId="1" builtinId="5"/>
    <cellStyle name="Percent 2" xfId="3" xr:uid="{1A4E0E64-2049-480E-B2B5-DECCE0777583}"/>
    <cellStyle name="Percent 2 2" xfId="16" xr:uid="{F73C839E-3684-440E-8E5E-BE2434B7E9D5}"/>
    <cellStyle name="Percent 2 2 2" xfId="33" xr:uid="{0214A85A-DB7F-44B5-8EFD-4CCE1E79F30D}"/>
    <cellStyle name="Percent 2 2 2 2" xfId="65" xr:uid="{A2CD7982-CAC9-45F9-9E1D-CFD3F4E060D1}"/>
    <cellStyle name="Percent 2 2 3" xfId="49" xr:uid="{1C4D89E3-3DEE-4FDD-B764-501C34FBECBF}"/>
    <cellStyle name="Percent 2 3" xfId="11" xr:uid="{A4E5332E-5002-431C-8B2E-002C0E4E2D9E}"/>
    <cellStyle name="Percent 2 3 2" xfId="28" xr:uid="{F7CCF258-F1F9-41AA-B8A8-AAE85F8FCE73}"/>
    <cellStyle name="Percent 2 3 2 2" xfId="60" xr:uid="{7FF699B4-F440-45C7-9C9A-238C07AFAC8D}"/>
    <cellStyle name="Percent 2 3 3" xfId="44" xr:uid="{A71FD330-756B-4822-92F8-29EB54803435}"/>
    <cellStyle name="Percent 2 4" xfId="23" xr:uid="{5771693A-DF64-407A-B8DB-ECD36CB64A90}"/>
    <cellStyle name="Percent 2 4 2" xfId="55" xr:uid="{29788DF1-E880-412C-A12E-0DB748E76E62}"/>
    <cellStyle name="Percent 2 5" xfId="39" xr:uid="{EE57D649-FBD9-4F35-B6D8-A33E927544B0}"/>
  </cellStyles>
  <dxfs count="431"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164" formatCode="0.0%"/>
    </dxf>
    <dxf>
      <numFmt numFmtId="0" formatCode="General"/>
    </dxf>
    <dxf>
      <numFmt numFmtId="0" formatCode="General"/>
    </dxf>
    <dxf>
      <numFmt numFmtId="169" formatCode="&quot;$&quot;#,##0.00"/>
    </dxf>
    <dxf>
      <numFmt numFmtId="169" formatCode="&quot;$&quot;#,##0.0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169" formatCode="&quot;$&quot;#,##0.00"/>
    </dxf>
    <dxf>
      <numFmt numFmtId="169" formatCode="&quot;$&quot;#,##0.00"/>
    </dxf>
    <dxf>
      <numFmt numFmtId="4" formatCode="#,##0.00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27" formatCode="m/d/yyyy\ h:mm"/>
    </dxf>
    <dxf>
      <numFmt numFmtId="27" formatCode="m/d/yyyy\ h:mm"/>
    </dxf>
    <dxf>
      <numFmt numFmtId="19" formatCode="m/d/yyyy"/>
    </dxf>
    <dxf>
      <numFmt numFmtId="19" formatCode="m/d/yyyy"/>
    </dxf>
    <dxf>
      <numFmt numFmtId="0" formatCode="General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0" formatCode="General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0" formatCode="General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0" formatCode="General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0" formatCode="General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openxmlformats.org/officeDocument/2006/relationships/sheetMetadata" Target="metadata.xml"/><Relationship Id="rId30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[Plaintiff v Defendant Analysis.xlsx]Data Comparison!PivotTable1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</a:t>
            </a:r>
            <a:r>
              <a:rPr lang="en-US" baseline="0"/>
              <a:t> &amp; Pay Data Comparison: Employees by Period 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00206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'Data Comparison'!$B$1:$B$2</c:f>
              <c:strCache>
                <c:ptCount val="1"/>
                <c:pt idx="0">
                  <c:v>Pay Data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'Data Comparison'!$A$3:$A$315</c:f>
              <c:strCache>
                <c:ptCount val="313"/>
                <c:pt idx="0">
                  <c:v>1/11/2020</c:v>
                </c:pt>
                <c:pt idx="1">
                  <c:v>1/25/2020</c:v>
                </c:pt>
                <c:pt idx="2">
                  <c:v>1/29/2020</c:v>
                </c:pt>
                <c:pt idx="3">
                  <c:v>2/8/2020</c:v>
                </c:pt>
                <c:pt idx="4">
                  <c:v>2/12/2020</c:v>
                </c:pt>
                <c:pt idx="5">
                  <c:v>2/22/2020</c:v>
                </c:pt>
                <c:pt idx="6">
                  <c:v>2/26/2020</c:v>
                </c:pt>
                <c:pt idx="7">
                  <c:v>3/7/2020</c:v>
                </c:pt>
                <c:pt idx="8">
                  <c:v>3/11/2020</c:v>
                </c:pt>
                <c:pt idx="9">
                  <c:v>3/21/2020</c:v>
                </c:pt>
                <c:pt idx="10">
                  <c:v>3/25/2020</c:v>
                </c:pt>
                <c:pt idx="11">
                  <c:v>6/17/2020</c:v>
                </c:pt>
                <c:pt idx="12">
                  <c:v>6/27/2020</c:v>
                </c:pt>
                <c:pt idx="13">
                  <c:v>7/1/2020</c:v>
                </c:pt>
                <c:pt idx="14">
                  <c:v>7/11/2020</c:v>
                </c:pt>
                <c:pt idx="15">
                  <c:v>7/15/2020</c:v>
                </c:pt>
                <c:pt idx="16">
                  <c:v>7/25/2020</c:v>
                </c:pt>
                <c:pt idx="17">
                  <c:v>7/29/2020</c:v>
                </c:pt>
                <c:pt idx="18">
                  <c:v>8/8/2020</c:v>
                </c:pt>
                <c:pt idx="19">
                  <c:v>8/12/2020</c:v>
                </c:pt>
                <c:pt idx="20">
                  <c:v>8/22/2020</c:v>
                </c:pt>
                <c:pt idx="21">
                  <c:v>8/26/2020</c:v>
                </c:pt>
                <c:pt idx="22">
                  <c:v>9/5/2020</c:v>
                </c:pt>
                <c:pt idx="23">
                  <c:v>9/9/2020</c:v>
                </c:pt>
                <c:pt idx="24">
                  <c:v>9/19/2020</c:v>
                </c:pt>
                <c:pt idx="25">
                  <c:v>9/23/2020</c:v>
                </c:pt>
                <c:pt idx="26">
                  <c:v>10/3/2020</c:v>
                </c:pt>
                <c:pt idx="27">
                  <c:v>10/7/2020</c:v>
                </c:pt>
                <c:pt idx="28">
                  <c:v>10/17/2020</c:v>
                </c:pt>
                <c:pt idx="29">
                  <c:v>10/21/2020</c:v>
                </c:pt>
                <c:pt idx="30">
                  <c:v>10/31/2020</c:v>
                </c:pt>
                <c:pt idx="31">
                  <c:v>11/4/2020</c:v>
                </c:pt>
                <c:pt idx="32">
                  <c:v>11/14/2020</c:v>
                </c:pt>
                <c:pt idx="33">
                  <c:v>11/18/2020</c:v>
                </c:pt>
                <c:pt idx="34">
                  <c:v>11/28/2020</c:v>
                </c:pt>
                <c:pt idx="35">
                  <c:v>12/2/2020</c:v>
                </c:pt>
                <c:pt idx="36">
                  <c:v>12/12/2020</c:v>
                </c:pt>
                <c:pt idx="37">
                  <c:v>12/16/2020</c:v>
                </c:pt>
                <c:pt idx="38">
                  <c:v>12/26/2020</c:v>
                </c:pt>
                <c:pt idx="39">
                  <c:v>12/30/2020</c:v>
                </c:pt>
                <c:pt idx="40">
                  <c:v>1/9/2021</c:v>
                </c:pt>
                <c:pt idx="41">
                  <c:v>1/13/2021</c:v>
                </c:pt>
                <c:pt idx="42">
                  <c:v>1/23/2021</c:v>
                </c:pt>
                <c:pt idx="43">
                  <c:v>1/27/2021</c:v>
                </c:pt>
                <c:pt idx="44">
                  <c:v>2/6/2021</c:v>
                </c:pt>
                <c:pt idx="45">
                  <c:v>2/10/2021</c:v>
                </c:pt>
                <c:pt idx="46">
                  <c:v>2/20/2021</c:v>
                </c:pt>
                <c:pt idx="47">
                  <c:v>2/24/2021</c:v>
                </c:pt>
                <c:pt idx="48">
                  <c:v>3/6/2021</c:v>
                </c:pt>
                <c:pt idx="49">
                  <c:v>3/10/2021</c:v>
                </c:pt>
                <c:pt idx="50">
                  <c:v>3/20/2021</c:v>
                </c:pt>
                <c:pt idx="51">
                  <c:v>3/24/2021</c:v>
                </c:pt>
                <c:pt idx="52">
                  <c:v>4/3/2021</c:v>
                </c:pt>
                <c:pt idx="53">
                  <c:v>4/7/2021</c:v>
                </c:pt>
                <c:pt idx="54">
                  <c:v>4/17/2021</c:v>
                </c:pt>
                <c:pt idx="55">
                  <c:v>4/21/2021</c:v>
                </c:pt>
                <c:pt idx="56">
                  <c:v>5/1/2021</c:v>
                </c:pt>
                <c:pt idx="57">
                  <c:v>5/5/2021</c:v>
                </c:pt>
                <c:pt idx="58">
                  <c:v>5/15/2021</c:v>
                </c:pt>
                <c:pt idx="59">
                  <c:v>5/19/2021</c:v>
                </c:pt>
                <c:pt idx="60">
                  <c:v>5/29/2021</c:v>
                </c:pt>
                <c:pt idx="61">
                  <c:v>6/2/2021</c:v>
                </c:pt>
                <c:pt idx="62">
                  <c:v>6/12/2021</c:v>
                </c:pt>
                <c:pt idx="63">
                  <c:v>6/16/2021</c:v>
                </c:pt>
                <c:pt idx="64">
                  <c:v>6/26/2021</c:v>
                </c:pt>
                <c:pt idx="65">
                  <c:v>6/30/2021</c:v>
                </c:pt>
                <c:pt idx="66">
                  <c:v>7/10/2021</c:v>
                </c:pt>
                <c:pt idx="67">
                  <c:v>7/14/2021</c:v>
                </c:pt>
                <c:pt idx="68">
                  <c:v>7/24/2021</c:v>
                </c:pt>
                <c:pt idx="69">
                  <c:v>7/28/2021</c:v>
                </c:pt>
                <c:pt idx="70">
                  <c:v>8/7/2021</c:v>
                </c:pt>
                <c:pt idx="71">
                  <c:v>8/11/2021</c:v>
                </c:pt>
                <c:pt idx="72">
                  <c:v>8/21/2021</c:v>
                </c:pt>
                <c:pt idx="73">
                  <c:v>8/25/2021</c:v>
                </c:pt>
                <c:pt idx="74">
                  <c:v>9/4/2021</c:v>
                </c:pt>
                <c:pt idx="75">
                  <c:v>9/8/2021</c:v>
                </c:pt>
                <c:pt idx="76">
                  <c:v>9/18/2021</c:v>
                </c:pt>
                <c:pt idx="77">
                  <c:v>9/22/2021</c:v>
                </c:pt>
                <c:pt idx="78">
                  <c:v>10/2/2021</c:v>
                </c:pt>
                <c:pt idx="79">
                  <c:v>10/6/2021</c:v>
                </c:pt>
                <c:pt idx="80">
                  <c:v>10/16/2021</c:v>
                </c:pt>
                <c:pt idx="81">
                  <c:v>10/20/2021</c:v>
                </c:pt>
                <c:pt idx="82">
                  <c:v>10/30/2021</c:v>
                </c:pt>
                <c:pt idx="83">
                  <c:v>11/3/2021</c:v>
                </c:pt>
                <c:pt idx="84">
                  <c:v>11/13/2021</c:v>
                </c:pt>
                <c:pt idx="85">
                  <c:v>11/17/2021</c:v>
                </c:pt>
                <c:pt idx="86">
                  <c:v>11/27/2021</c:v>
                </c:pt>
                <c:pt idx="87">
                  <c:v>12/1/2021</c:v>
                </c:pt>
                <c:pt idx="88">
                  <c:v>12/11/2021</c:v>
                </c:pt>
                <c:pt idx="89">
                  <c:v>12/15/2021</c:v>
                </c:pt>
                <c:pt idx="90">
                  <c:v>12/25/2021</c:v>
                </c:pt>
                <c:pt idx="91">
                  <c:v>12/29/2021</c:v>
                </c:pt>
                <c:pt idx="92">
                  <c:v>1/8/2022</c:v>
                </c:pt>
                <c:pt idx="93">
                  <c:v>1/12/2022</c:v>
                </c:pt>
                <c:pt idx="94">
                  <c:v>1/22/2022</c:v>
                </c:pt>
                <c:pt idx="95">
                  <c:v>1/26/2022</c:v>
                </c:pt>
                <c:pt idx="96">
                  <c:v>2/5/2022</c:v>
                </c:pt>
                <c:pt idx="97">
                  <c:v>2/9/2022</c:v>
                </c:pt>
                <c:pt idx="98">
                  <c:v>2/19/2022</c:v>
                </c:pt>
                <c:pt idx="99">
                  <c:v>2/23/2022</c:v>
                </c:pt>
                <c:pt idx="100">
                  <c:v>3/5/2022</c:v>
                </c:pt>
                <c:pt idx="101">
                  <c:v>3/9/2022</c:v>
                </c:pt>
                <c:pt idx="102">
                  <c:v>3/19/2022</c:v>
                </c:pt>
                <c:pt idx="103">
                  <c:v>3/23/2022</c:v>
                </c:pt>
                <c:pt idx="104">
                  <c:v>4/2/2022</c:v>
                </c:pt>
                <c:pt idx="105">
                  <c:v>4/6/2022</c:v>
                </c:pt>
                <c:pt idx="106">
                  <c:v>4/16/2022</c:v>
                </c:pt>
                <c:pt idx="107">
                  <c:v>4/20/2022</c:v>
                </c:pt>
                <c:pt idx="108">
                  <c:v>4/30/2022</c:v>
                </c:pt>
                <c:pt idx="109">
                  <c:v>5/4/2022</c:v>
                </c:pt>
                <c:pt idx="110">
                  <c:v>5/14/2022</c:v>
                </c:pt>
                <c:pt idx="111">
                  <c:v>5/18/2022</c:v>
                </c:pt>
                <c:pt idx="112">
                  <c:v>5/28/2022</c:v>
                </c:pt>
                <c:pt idx="113">
                  <c:v>6/1/2022</c:v>
                </c:pt>
                <c:pt idx="114">
                  <c:v>6/11/2022</c:v>
                </c:pt>
                <c:pt idx="115">
                  <c:v>6/15/2022</c:v>
                </c:pt>
                <c:pt idx="116">
                  <c:v>6/25/2022</c:v>
                </c:pt>
                <c:pt idx="117">
                  <c:v>6/29/2022</c:v>
                </c:pt>
                <c:pt idx="118">
                  <c:v>7/9/2022</c:v>
                </c:pt>
                <c:pt idx="119">
                  <c:v>7/13/2022</c:v>
                </c:pt>
                <c:pt idx="120">
                  <c:v>7/23/2022</c:v>
                </c:pt>
                <c:pt idx="121">
                  <c:v>7/27/2022</c:v>
                </c:pt>
                <c:pt idx="122">
                  <c:v>8/6/2022</c:v>
                </c:pt>
                <c:pt idx="123">
                  <c:v>8/10/2022</c:v>
                </c:pt>
                <c:pt idx="124">
                  <c:v>8/20/2022</c:v>
                </c:pt>
                <c:pt idx="125">
                  <c:v>8/24/2022</c:v>
                </c:pt>
                <c:pt idx="126">
                  <c:v>9/3/2022</c:v>
                </c:pt>
                <c:pt idx="127">
                  <c:v>9/7/2022</c:v>
                </c:pt>
                <c:pt idx="128">
                  <c:v>9/17/2022</c:v>
                </c:pt>
                <c:pt idx="129">
                  <c:v>9/21/2022</c:v>
                </c:pt>
                <c:pt idx="130">
                  <c:v>10/1/2022</c:v>
                </c:pt>
                <c:pt idx="131">
                  <c:v>10/5/2022</c:v>
                </c:pt>
                <c:pt idx="132">
                  <c:v>10/15/2022</c:v>
                </c:pt>
                <c:pt idx="133">
                  <c:v>10/19/2022</c:v>
                </c:pt>
                <c:pt idx="134">
                  <c:v>10/29/2022</c:v>
                </c:pt>
                <c:pt idx="135">
                  <c:v>11/2/2022</c:v>
                </c:pt>
                <c:pt idx="136">
                  <c:v>11/12/2022</c:v>
                </c:pt>
                <c:pt idx="137">
                  <c:v>11/16/2022</c:v>
                </c:pt>
                <c:pt idx="138">
                  <c:v>11/26/2022</c:v>
                </c:pt>
                <c:pt idx="139">
                  <c:v>11/30/2022</c:v>
                </c:pt>
                <c:pt idx="140">
                  <c:v>12/10/2022</c:v>
                </c:pt>
                <c:pt idx="141">
                  <c:v>12/14/2022</c:v>
                </c:pt>
                <c:pt idx="142">
                  <c:v>12/24/2022</c:v>
                </c:pt>
                <c:pt idx="143">
                  <c:v>12/28/2022</c:v>
                </c:pt>
                <c:pt idx="144">
                  <c:v>1/7/2023</c:v>
                </c:pt>
                <c:pt idx="145">
                  <c:v>1/11/2023</c:v>
                </c:pt>
                <c:pt idx="146">
                  <c:v>1/21/2023</c:v>
                </c:pt>
                <c:pt idx="147">
                  <c:v>1/25/2023</c:v>
                </c:pt>
                <c:pt idx="148">
                  <c:v>2/4/2023</c:v>
                </c:pt>
                <c:pt idx="149">
                  <c:v>2/8/2023</c:v>
                </c:pt>
                <c:pt idx="150">
                  <c:v>2/18/2023</c:v>
                </c:pt>
                <c:pt idx="151">
                  <c:v>2/22/2023</c:v>
                </c:pt>
                <c:pt idx="152">
                  <c:v>3/4/2023</c:v>
                </c:pt>
                <c:pt idx="153">
                  <c:v>3/8/2023</c:v>
                </c:pt>
                <c:pt idx="154">
                  <c:v>3/18/2023</c:v>
                </c:pt>
                <c:pt idx="155">
                  <c:v>3/22/2023</c:v>
                </c:pt>
                <c:pt idx="156">
                  <c:v>4/1/2023</c:v>
                </c:pt>
                <c:pt idx="157">
                  <c:v>4/5/2023</c:v>
                </c:pt>
                <c:pt idx="158">
                  <c:v>4/15/2023</c:v>
                </c:pt>
                <c:pt idx="159">
                  <c:v>4/19/2023</c:v>
                </c:pt>
                <c:pt idx="160">
                  <c:v>4/29/2023</c:v>
                </c:pt>
                <c:pt idx="161">
                  <c:v>5/3/2023</c:v>
                </c:pt>
                <c:pt idx="162">
                  <c:v>5/13/2023</c:v>
                </c:pt>
                <c:pt idx="163">
                  <c:v>5/17/2023</c:v>
                </c:pt>
                <c:pt idx="164">
                  <c:v>5/27/2023</c:v>
                </c:pt>
                <c:pt idx="165">
                  <c:v>5/31/2023</c:v>
                </c:pt>
                <c:pt idx="166">
                  <c:v>6/10/2023</c:v>
                </c:pt>
                <c:pt idx="167">
                  <c:v>6/14/2023</c:v>
                </c:pt>
                <c:pt idx="168">
                  <c:v>6/24/2023</c:v>
                </c:pt>
                <c:pt idx="169">
                  <c:v>6/28/2023</c:v>
                </c:pt>
                <c:pt idx="170">
                  <c:v>7/8/2023</c:v>
                </c:pt>
                <c:pt idx="171">
                  <c:v>7/12/2023</c:v>
                </c:pt>
                <c:pt idx="172">
                  <c:v>7/20/2023</c:v>
                </c:pt>
                <c:pt idx="173">
                  <c:v>7/22/2023</c:v>
                </c:pt>
                <c:pt idx="174">
                  <c:v>7/26/2023</c:v>
                </c:pt>
                <c:pt idx="175">
                  <c:v>8/5/2023</c:v>
                </c:pt>
                <c:pt idx="176">
                  <c:v>8/9/2023</c:v>
                </c:pt>
                <c:pt idx="177">
                  <c:v>8/19/2023</c:v>
                </c:pt>
                <c:pt idx="178">
                  <c:v>8/23/2023</c:v>
                </c:pt>
                <c:pt idx="179">
                  <c:v>9/2/2023</c:v>
                </c:pt>
                <c:pt idx="180">
                  <c:v>9/6/2023</c:v>
                </c:pt>
                <c:pt idx="181">
                  <c:v>9/16/2023</c:v>
                </c:pt>
                <c:pt idx="182">
                  <c:v>9/20/2023</c:v>
                </c:pt>
                <c:pt idx="183">
                  <c:v>9/30/2023</c:v>
                </c:pt>
                <c:pt idx="184">
                  <c:v>10/4/2023</c:v>
                </c:pt>
                <c:pt idx="185">
                  <c:v>10/14/2023</c:v>
                </c:pt>
                <c:pt idx="186">
                  <c:v>10/18/2023</c:v>
                </c:pt>
                <c:pt idx="187">
                  <c:v>10/28/2023</c:v>
                </c:pt>
                <c:pt idx="188">
                  <c:v>11/1/2023</c:v>
                </c:pt>
                <c:pt idx="189">
                  <c:v>11/11/2023</c:v>
                </c:pt>
                <c:pt idx="190">
                  <c:v>11/15/2023</c:v>
                </c:pt>
                <c:pt idx="191">
                  <c:v>11/25/2023</c:v>
                </c:pt>
                <c:pt idx="192">
                  <c:v>11/29/2023</c:v>
                </c:pt>
                <c:pt idx="193">
                  <c:v>12/9/2023</c:v>
                </c:pt>
                <c:pt idx="194">
                  <c:v>12/13/2023</c:v>
                </c:pt>
                <c:pt idx="195">
                  <c:v>12/14/2023</c:v>
                </c:pt>
                <c:pt idx="196">
                  <c:v>12/15/2023</c:v>
                </c:pt>
                <c:pt idx="197">
                  <c:v>12/23/2023</c:v>
                </c:pt>
                <c:pt idx="198">
                  <c:v>12/27/2023</c:v>
                </c:pt>
                <c:pt idx="199">
                  <c:v>12/31/2023</c:v>
                </c:pt>
                <c:pt idx="200">
                  <c:v>1/6/2024</c:v>
                </c:pt>
                <c:pt idx="201">
                  <c:v>1/10/2024</c:v>
                </c:pt>
                <c:pt idx="202">
                  <c:v>1/20/2024</c:v>
                </c:pt>
                <c:pt idx="203">
                  <c:v>1/24/2024</c:v>
                </c:pt>
                <c:pt idx="204">
                  <c:v>2/3/2024</c:v>
                </c:pt>
                <c:pt idx="205">
                  <c:v>2/7/2024</c:v>
                </c:pt>
                <c:pt idx="206">
                  <c:v>2/17/2024</c:v>
                </c:pt>
                <c:pt idx="207">
                  <c:v>2/21/2024</c:v>
                </c:pt>
                <c:pt idx="208">
                  <c:v>3/2/2024</c:v>
                </c:pt>
                <c:pt idx="209">
                  <c:v>3/6/2024</c:v>
                </c:pt>
                <c:pt idx="210">
                  <c:v>3/16/2024</c:v>
                </c:pt>
                <c:pt idx="211">
                  <c:v>3/20/2024</c:v>
                </c:pt>
                <c:pt idx="212">
                  <c:v>3/30/2024</c:v>
                </c:pt>
                <c:pt idx="213">
                  <c:v>4/3/2024</c:v>
                </c:pt>
                <c:pt idx="214">
                  <c:v>4/13/2024</c:v>
                </c:pt>
                <c:pt idx="215">
                  <c:v>4/17/2024</c:v>
                </c:pt>
                <c:pt idx="216">
                  <c:v>4/27/2024</c:v>
                </c:pt>
                <c:pt idx="217">
                  <c:v>5/1/2024</c:v>
                </c:pt>
                <c:pt idx="218">
                  <c:v>5/11/2024</c:v>
                </c:pt>
                <c:pt idx="219">
                  <c:v>5/15/2024</c:v>
                </c:pt>
                <c:pt idx="220">
                  <c:v>5/25/2024</c:v>
                </c:pt>
                <c:pt idx="221">
                  <c:v>5/29/2024</c:v>
                </c:pt>
                <c:pt idx="222">
                  <c:v>6/8/2024</c:v>
                </c:pt>
                <c:pt idx="223">
                  <c:v>6/12/2024</c:v>
                </c:pt>
                <c:pt idx="224">
                  <c:v>6/22/2024</c:v>
                </c:pt>
                <c:pt idx="225">
                  <c:v>6/26/2024</c:v>
                </c:pt>
                <c:pt idx="226">
                  <c:v>7/6/2024</c:v>
                </c:pt>
                <c:pt idx="227">
                  <c:v>7/10/2024</c:v>
                </c:pt>
                <c:pt idx="228">
                  <c:v>7/20/2024</c:v>
                </c:pt>
                <c:pt idx="229">
                  <c:v>7/24/2024</c:v>
                </c:pt>
                <c:pt idx="230">
                  <c:v>8/3/2024</c:v>
                </c:pt>
                <c:pt idx="231">
                  <c:v>8/7/2024</c:v>
                </c:pt>
                <c:pt idx="232">
                  <c:v>8/17/2024</c:v>
                </c:pt>
                <c:pt idx="233">
                  <c:v>8/21/2024</c:v>
                </c:pt>
                <c:pt idx="234">
                  <c:v>8/31/2024</c:v>
                </c:pt>
                <c:pt idx="235">
                  <c:v>9/4/2024</c:v>
                </c:pt>
                <c:pt idx="236">
                  <c:v>9/14/2024</c:v>
                </c:pt>
                <c:pt idx="237">
                  <c:v>9/18/2024</c:v>
                </c:pt>
                <c:pt idx="238">
                  <c:v>9/28/2024</c:v>
                </c:pt>
                <c:pt idx="239">
                  <c:v>10/2/2024</c:v>
                </c:pt>
                <c:pt idx="240">
                  <c:v>10/12/2024</c:v>
                </c:pt>
                <c:pt idx="241">
                  <c:v>10/16/2024</c:v>
                </c:pt>
                <c:pt idx="242">
                  <c:v>10/26/2024</c:v>
                </c:pt>
                <c:pt idx="243">
                  <c:v>10/30/2024</c:v>
                </c:pt>
                <c:pt idx="244">
                  <c:v>10/31/2024</c:v>
                </c:pt>
                <c:pt idx="245">
                  <c:v>11/9/2024</c:v>
                </c:pt>
                <c:pt idx="246">
                  <c:v>11/13/2024</c:v>
                </c:pt>
                <c:pt idx="247">
                  <c:v>11/23/2024</c:v>
                </c:pt>
                <c:pt idx="248">
                  <c:v>11/27/2024</c:v>
                </c:pt>
                <c:pt idx="249">
                  <c:v>12/7/2024</c:v>
                </c:pt>
                <c:pt idx="250">
                  <c:v>12/11/2024</c:v>
                </c:pt>
                <c:pt idx="251">
                  <c:v>12/21/2024</c:v>
                </c:pt>
                <c:pt idx="252">
                  <c:v>12/25/2024</c:v>
                </c:pt>
                <c:pt idx="253">
                  <c:v>1/4/2025</c:v>
                </c:pt>
                <c:pt idx="254">
                  <c:v>1/8/2025</c:v>
                </c:pt>
                <c:pt idx="255">
                  <c:v>1/18/2025</c:v>
                </c:pt>
                <c:pt idx="256">
                  <c:v>1/22/2025</c:v>
                </c:pt>
                <c:pt idx="257">
                  <c:v>2/1/2025</c:v>
                </c:pt>
                <c:pt idx="258">
                  <c:v>2/5/2025</c:v>
                </c:pt>
                <c:pt idx="259">
                  <c:v>2/15/2025</c:v>
                </c:pt>
                <c:pt idx="260">
                  <c:v>2/19/2025</c:v>
                </c:pt>
                <c:pt idx="261">
                  <c:v>3/1/2025</c:v>
                </c:pt>
                <c:pt idx="262">
                  <c:v>3/5/2025</c:v>
                </c:pt>
                <c:pt idx="263">
                  <c:v>3/15/2025</c:v>
                </c:pt>
                <c:pt idx="264">
                  <c:v>3/19/2025</c:v>
                </c:pt>
                <c:pt idx="265">
                  <c:v>3/29/2025</c:v>
                </c:pt>
                <c:pt idx="266">
                  <c:v>4/2/2025</c:v>
                </c:pt>
                <c:pt idx="267">
                  <c:v>4/12/2025</c:v>
                </c:pt>
                <c:pt idx="268">
                  <c:v>4/16/2025</c:v>
                </c:pt>
                <c:pt idx="269">
                  <c:v>4/26/2025</c:v>
                </c:pt>
                <c:pt idx="270">
                  <c:v>4/30/2025</c:v>
                </c:pt>
                <c:pt idx="271">
                  <c:v>5/10/2025</c:v>
                </c:pt>
                <c:pt idx="272">
                  <c:v>5/14/2025</c:v>
                </c:pt>
                <c:pt idx="273">
                  <c:v>5/24/2025</c:v>
                </c:pt>
                <c:pt idx="274">
                  <c:v>5/28/2025</c:v>
                </c:pt>
                <c:pt idx="275">
                  <c:v>6/7/2025</c:v>
                </c:pt>
                <c:pt idx="276">
                  <c:v>6/11/2025</c:v>
                </c:pt>
                <c:pt idx="277">
                  <c:v>6/21/2025</c:v>
                </c:pt>
                <c:pt idx="278">
                  <c:v>6/25/2025</c:v>
                </c:pt>
                <c:pt idx="279">
                  <c:v>7/5/2025</c:v>
                </c:pt>
                <c:pt idx="280">
                  <c:v>7/9/2025</c:v>
                </c:pt>
                <c:pt idx="281">
                  <c:v>7/19/2025</c:v>
                </c:pt>
                <c:pt idx="282">
                  <c:v>7/23/2025</c:v>
                </c:pt>
                <c:pt idx="283">
                  <c:v>8/2/2025</c:v>
                </c:pt>
                <c:pt idx="284">
                  <c:v>8/6/2025</c:v>
                </c:pt>
                <c:pt idx="285">
                  <c:v>8/16/2025</c:v>
                </c:pt>
                <c:pt idx="286">
                  <c:v>8/20/2025</c:v>
                </c:pt>
                <c:pt idx="287">
                  <c:v>8/30/2025</c:v>
                </c:pt>
                <c:pt idx="288">
                  <c:v>9/3/2025</c:v>
                </c:pt>
                <c:pt idx="289">
                  <c:v>9/13/2025</c:v>
                </c:pt>
                <c:pt idx="290">
                  <c:v>9/17/2025</c:v>
                </c:pt>
                <c:pt idx="291">
                  <c:v>9/27/2025</c:v>
                </c:pt>
                <c:pt idx="292">
                  <c:v>10/1/2025</c:v>
                </c:pt>
                <c:pt idx="293">
                  <c:v>10/11/2025</c:v>
                </c:pt>
                <c:pt idx="294">
                  <c:v>10/15/2025</c:v>
                </c:pt>
                <c:pt idx="295">
                  <c:v>10/25/2025</c:v>
                </c:pt>
                <c:pt idx="296">
                  <c:v>10/29/2025</c:v>
                </c:pt>
                <c:pt idx="297">
                  <c:v>11/8/2025</c:v>
                </c:pt>
                <c:pt idx="298">
                  <c:v>11/12/2025</c:v>
                </c:pt>
                <c:pt idx="299">
                  <c:v>11/22/2025</c:v>
                </c:pt>
                <c:pt idx="300">
                  <c:v>11/26/2025</c:v>
                </c:pt>
                <c:pt idx="301">
                  <c:v>12/6/2025</c:v>
                </c:pt>
                <c:pt idx="302">
                  <c:v>12/10/2025</c:v>
                </c:pt>
                <c:pt idx="303">
                  <c:v>12/20/2025</c:v>
                </c:pt>
                <c:pt idx="304">
                  <c:v>12/24/2025</c:v>
                </c:pt>
                <c:pt idx="305">
                  <c:v>1/3/2026</c:v>
                </c:pt>
                <c:pt idx="306">
                  <c:v>1/7/2026</c:v>
                </c:pt>
                <c:pt idx="307">
                  <c:v>1/17/2026</c:v>
                </c:pt>
                <c:pt idx="308">
                  <c:v>1/21/2026</c:v>
                </c:pt>
                <c:pt idx="309">
                  <c:v>1/31/2026</c:v>
                </c:pt>
                <c:pt idx="310">
                  <c:v>2/4/2026</c:v>
                </c:pt>
                <c:pt idx="311">
                  <c:v>2/14/2026</c:v>
                </c:pt>
                <c:pt idx="312">
                  <c:v>2/18/2026</c:v>
                </c:pt>
              </c:strCache>
            </c:strRef>
          </c:cat>
          <c:val>
            <c:numRef>
              <c:f>'Data Comparison'!$B$3:$B$315</c:f>
              <c:numCache>
                <c:formatCode>General</c:formatCode>
                <c:ptCount val="313"/>
                <c:pt idx="0">
                  <c:v>1</c:v>
                </c:pt>
                <c:pt idx="1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2">
                  <c:v>1</c:v>
                </c:pt>
                <c:pt idx="14">
                  <c:v>1</c:v>
                </c:pt>
                <c:pt idx="16">
                  <c:v>1</c:v>
                </c:pt>
                <c:pt idx="18">
                  <c:v>1</c:v>
                </c:pt>
                <c:pt idx="20">
                  <c:v>1</c:v>
                </c:pt>
                <c:pt idx="22">
                  <c:v>1</c:v>
                </c:pt>
                <c:pt idx="24">
                  <c:v>1</c:v>
                </c:pt>
                <c:pt idx="26">
                  <c:v>1</c:v>
                </c:pt>
                <c:pt idx="28">
                  <c:v>1</c:v>
                </c:pt>
                <c:pt idx="30">
                  <c:v>1</c:v>
                </c:pt>
                <c:pt idx="32">
                  <c:v>1</c:v>
                </c:pt>
                <c:pt idx="34">
                  <c:v>1</c:v>
                </c:pt>
                <c:pt idx="36">
                  <c:v>1</c:v>
                </c:pt>
                <c:pt idx="38">
                  <c:v>1</c:v>
                </c:pt>
                <c:pt idx="40">
                  <c:v>27</c:v>
                </c:pt>
                <c:pt idx="42">
                  <c:v>34</c:v>
                </c:pt>
                <c:pt idx="44">
                  <c:v>34</c:v>
                </c:pt>
                <c:pt idx="46">
                  <c:v>35</c:v>
                </c:pt>
                <c:pt idx="48">
                  <c:v>36</c:v>
                </c:pt>
                <c:pt idx="50">
                  <c:v>36</c:v>
                </c:pt>
                <c:pt idx="52">
                  <c:v>38</c:v>
                </c:pt>
                <c:pt idx="54">
                  <c:v>38</c:v>
                </c:pt>
                <c:pt idx="56">
                  <c:v>39</c:v>
                </c:pt>
                <c:pt idx="58">
                  <c:v>42</c:v>
                </c:pt>
                <c:pt idx="60">
                  <c:v>43</c:v>
                </c:pt>
                <c:pt idx="62">
                  <c:v>42</c:v>
                </c:pt>
                <c:pt idx="64">
                  <c:v>37</c:v>
                </c:pt>
                <c:pt idx="66">
                  <c:v>39</c:v>
                </c:pt>
                <c:pt idx="68">
                  <c:v>43</c:v>
                </c:pt>
                <c:pt idx="70">
                  <c:v>46</c:v>
                </c:pt>
                <c:pt idx="72">
                  <c:v>46</c:v>
                </c:pt>
                <c:pt idx="74">
                  <c:v>43</c:v>
                </c:pt>
                <c:pt idx="76">
                  <c:v>47</c:v>
                </c:pt>
                <c:pt idx="78">
                  <c:v>49</c:v>
                </c:pt>
                <c:pt idx="80">
                  <c:v>50</c:v>
                </c:pt>
                <c:pt idx="82">
                  <c:v>51</c:v>
                </c:pt>
                <c:pt idx="84">
                  <c:v>52</c:v>
                </c:pt>
                <c:pt idx="86">
                  <c:v>53</c:v>
                </c:pt>
                <c:pt idx="88">
                  <c:v>55</c:v>
                </c:pt>
                <c:pt idx="90">
                  <c:v>57</c:v>
                </c:pt>
                <c:pt idx="92">
                  <c:v>56</c:v>
                </c:pt>
                <c:pt idx="94">
                  <c:v>59</c:v>
                </c:pt>
                <c:pt idx="96">
                  <c:v>60</c:v>
                </c:pt>
                <c:pt idx="98">
                  <c:v>62</c:v>
                </c:pt>
                <c:pt idx="100">
                  <c:v>61</c:v>
                </c:pt>
                <c:pt idx="102">
                  <c:v>58</c:v>
                </c:pt>
                <c:pt idx="104">
                  <c:v>60</c:v>
                </c:pt>
                <c:pt idx="106">
                  <c:v>60</c:v>
                </c:pt>
                <c:pt idx="108">
                  <c:v>61</c:v>
                </c:pt>
                <c:pt idx="110">
                  <c:v>65</c:v>
                </c:pt>
                <c:pt idx="112">
                  <c:v>64</c:v>
                </c:pt>
                <c:pt idx="114">
                  <c:v>66</c:v>
                </c:pt>
                <c:pt idx="116">
                  <c:v>60</c:v>
                </c:pt>
                <c:pt idx="118">
                  <c:v>60</c:v>
                </c:pt>
                <c:pt idx="120">
                  <c:v>58</c:v>
                </c:pt>
                <c:pt idx="122">
                  <c:v>57</c:v>
                </c:pt>
                <c:pt idx="124">
                  <c:v>55</c:v>
                </c:pt>
                <c:pt idx="126">
                  <c:v>54</c:v>
                </c:pt>
                <c:pt idx="128">
                  <c:v>56</c:v>
                </c:pt>
                <c:pt idx="130">
                  <c:v>53</c:v>
                </c:pt>
                <c:pt idx="132">
                  <c:v>51</c:v>
                </c:pt>
                <c:pt idx="134">
                  <c:v>54</c:v>
                </c:pt>
                <c:pt idx="136">
                  <c:v>54</c:v>
                </c:pt>
                <c:pt idx="138">
                  <c:v>57</c:v>
                </c:pt>
                <c:pt idx="140">
                  <c:v>55</c:v>
                </c:pt>
                <c:pt idx="142">
                  <c:v>54</c:v>
                </c:pt>
                <c:pt idx="144">
                  <c:v>57</c:v>
                </c:pt>
                <c:pt idx="146">
                  <c:v>56</c:v>
                </c:pt>
                <c:pt idx="148">
                  <c:v>55</c:v>
                </c:pt>
                <c:pt idx="150">
                  <c:v>54</c:v>
                </c:pt>
                <c:pt idx="152">
                  <c:v>51</c:v>
                </c:pt>
                <c:pt idx="154">
                  <c:v>51</c:v>
                </c:pt>
                <c:pt idx="156">
                  <c:v>53</c:v>
                </c:pt>
                <c:pt idx="158">
                  <c:v>53</c:v>
                </c:pt>
                <c:pt idx="160">
                  <c:v>52</c:v>
                </c:pt>
                <c:pt idx="162">
                  <c:v>52</c:v>
                </c:pt>
                <c:pt idx="164">
                  <c:v>51</c:v>
                </c:pt>
                <c:pt idx="166">
                  <c:v>53</c:v>
                </c:pt>
                <c:pt idx="168">
                  <c:v>51</c:v>
                </c:pt>
                <c:pt idx="170">
                  <c:v>52</c:v>
                </c:pt>
                <c:pt idx="172">
                  <c:v>1</c:v>
                </c:pt>
                <c:pt idx="173">
                  <c:v>49</c:v>
                </c:pt>
                <c:pt idx="175">
                  <c:v>49</c:v>
                </c:pt>
                <c:pt idx="177">
                  <c:v>46</c:v>
                </c:pt>
                <c:pt idx="179">
                  <c:v>46</c:v>
                </c:pt>
                <c:pt idx="181">
                  <c:v>50</c:v>
                </c:pt>
                <c:pt idx="183">
                  <c:v>50</c:v>
                </c:pt>
                <c:pt idx="185">
                  <c:v>48</c:v>
                </c:pt>
                <c:pt idx="187">
                  <c:v>48</c:v>
                </c:pt>
                <c:pt idx="189">
                  <c:v>48</c:v>
                </c:pt>
                <c:pt idx="191">
                  <c:v>47</c:v>
                </c:pt>
                <c:pt idx="193">
                  <c:v>46</c:v>
                </c:pt>
                <c:pt idx="195">
                  <c:v>1</c:v>
                </c:pt>
                <c:pt idx="196">
                  <c:v>1</c:v>
                </c:pt>
                <c:pt idx="197">
                  <c:v>45</c:v>
                </c:pt>
                <c:pt idx="199">
                  <c:v>2</c:v>
                </c:pt>
                <c:pt idx="200">
                  <c:v>45</c:v>
                </c:pt>
                <c:pt idx="202">
                  <c:v>47</c:v>
                </c:pt>
                <c:pt idx="204">
                  <c:v>41</c:v>
                </c:pt>
                <c:pt idx="206">
                  <c:v>41</c:v>
                </c:pt>
                <c:pt idx="208">
                  <c:v>41</c:v>
                </c:pt>
                <c:pt idx="210">
                  <c:v>41</c:v>
                </c:pt>
                <c:pt idx="212">
                  <c:v>40</c:v>
                </c:pt>
                <c:pt idx="214">
                  <c:v>40</c:v>
                </c:pt>
                <c:pt idx="216">
                  <c:v>38</c:v>
                </c:pt>
                <c:pt idx="218">
                  <c:v>38</c:v>
                </c:pt>
                <c:pt idx="220">
                  <c:v>39</c:v>
                </c:pt>
                <c:pt idx="222">
                  <c:v>39</c:v>
                </c:pt>
                <c:pt idx="224">
                  <c:v>39</c:v>
                </c:pt>
                <c:pt idx="226">
                  <c:v>39</c:v>
                </c:pt>
                <c:pt idx="228">
                  <c:v>40</c:v>
                </c:pt>
                <c:pt idx="230">
                  <c:v>40</c:v>
                </c:pt>
                <c:pt idx="232">
                  <c:v>40</c:v>
                </c:pt>
                <c:pt idx="234">
                  <c:v>40</c:v>
                </c:pt>
                <c:pt idx="236">
                  <c:v>40</c:v>
                </c:pt>
                <c:pt idx="238">
                  <c:v>41</c:v>
                </c:pt>
                <c:pt idx="240">
                  <c:v>39</c:v>
                </c:pt>
                <c:pt idx="242">
                  <c:v>41</c:v>
                </c:pt>
                <c:pt idx="244">
                  <c:v>1</c:v>
                </c:pt>
                <c:pt idx="245">
                  <c:v>42</c:v>
                </c:pt>
                <c:pt idx="247">
                  <c:v>40</c:v>
                </c:pt>
                <c:pt idx="249">
                  <c:v>40</c:v>
                </c:pt>
                <c:pt idx="251">
                  <c:v>40</c:v>
                </c:pt>
                <c:pt idx="253">
                  <c:v>38</c:v>
                </c:pt>
                <c:pt idx="255">
                  <c:v>45</c:v>
                </c:pt>
                <c:pt idx="257">
                  <c:v>45</c:v>
                </c:pt>
                <c:pt idx="259">
                  <c:v>45</c:v>
                </c:pt>
                <c:pt idx="261">
                  <c:v>44</c:v>
                </c:pt>
                <c:pt idx="263">
                  <c:v>46</c:v>
                </c:pt>
                <c:pt idx="265">
                  <c:v>47</c:v>
                </c:pt>
                <c:pt idx="267">
                  <c:v>47</c:v>
                </c:pt>
                <c:pt idx="269">
                  <c:v>47</c:v>
                </c:pt>
                <c:pt idx="271">
                  <c:v>48</c:v>
                </c:pt>
                <c:pt idx="273">
                  <c:v>49</c:v>
                </c:pt>
                <c:pt idx="275">
                  <c:v>48</c:v>
                </c:pt>
                <c:pt idx="277">
                  <c:v>48</c:v>
                </c:pt>
                <c:pt idx="279">
                  <c:v>46</c:v>
                </c:pt>
                <c:pt idx="281">
                  <c:v>45</c:v>
                </c:pt>
                <c:pt idx="283">
                  <c:v>45</c:v>
                </c:pt>
                <c:pt idx="285">
                  <c:v>44</c:v>
                </c:pt>
                <c:pt idx="287">
                  <c:v>48</c:v>
                </c:pt>
                <c:pt idx="289">
                  <c:v>51</c:v>
                </c:pt>
                <c:pt idx="291">
                  <c:v>51</c:v>
                </c:pt>
                <c:pt idx="293">
                  <c:v>51</c:v>
                </c:pt>
                <c:pt idx="295">
                  <c:v>49</c:v>
                </c:pt>
                <c:pt idx="297">
                  <c:v>52</c:v>
                </c:pt>
                <c:pt idx="299">
                  <c:v>53</c:v>
                </c:pt>
                <c:pt idx="301">
                  <c:v>51</c:v>
                </c:pt>
                <c:pt idx="303">
                  <c:v>53</c:v>
                </c:pt>
                <c:pt idx="305">
                  <c:v>46</c:v>
                </c:pt>
                <c:pt idx="307">
                  <c:v>36</c:v>
                </c:pt>
                <c:pt idx="309">
                  <c:v>32</c:v>
                </c:pt>
                <c:pt idx="311">
                  <c:v>33</c:v>
                </c:pt>
                <c:pt idx="3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7B-40FC-B284-A38400CEB96B}"/>
            </c:ext>
          </c:extLst>
        </c:ser>
        <c:ser>
          <c:idx val="1"/>
          <c:order val="1"/>
          <c:tx>
            <c:strRef>
              <c:f>'Data Comparison'!$C$1:$C$2</c:f>
              <c:strCache>
                <c:ptCount val="1"/>
                <c:pt idx="0">
                  <c:v>Time Data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strRef>
              <c:f>'Data Comparison'!$A$3:$A$315</c:f>
              <c:strCache>
                <c:ptCount val="313"/>
                <c:pt idx="0">
                  <c:v>1/11/2020</c:v>
                </c:pt>
                <c:pt idx="1">
                  <c:v>1/25/2020</c:v>
                </c:pt>
                <c:pt idx="2">
                  <c:v>1/29/2020</c:v>
                </c:pt>
                <c:pt idx="3">
                  <c:v>2/8/2020</c:v>
                </c:pt>
                <c:pt idx="4">
                  <c:v>2/12/2020</c:v>
                </c:pt>
                <c:pt idx="5">
                  <c:v>2/22/2020</c:v>
                </c:pt>
                <c:pt idx="6">
                  <c:v>2/26/2020</c:v>
                </c:pt>
                <c:pt idx="7">
                  <c:v>3/7/2020</c:v>
                </c:pt>
                <c:pt idx="8">
                  <c:v>3/11/2020</c:v>
                </c:pt>
                <c:pt idx="9">
                  <c:v>3/21/2020</c:v>
                </c:pt>
                <c:pt idx="10">
                  <c:v>3/25/2020</c:v>
                </c:pt>
                <c:pt idx="11">
                  <c:v>6/17/2020</c:v>
                </c:pt>
                <c:pt idx="12">
                  <c:v>6/27/2020</c:v>
                </c:pt>
                <c:pt idx="13">
                  <c:v>7/1/2020</c:v>
                </c:pt>
                <c:pt idx="14">
                  <c:v>7/11/2020</c:v>
                </c:pt>
                <c:pt idx="15">
                  <c:v>7/15/2020</c:v>
                </c:pt>
                <c:pt idx="16">
                  <c:v>7/25/2020</c:v>
                </c:pt>
                <c:pt idx="17">
                  <c:v>7/29/2020</c:v>
                </c:pt>
                <c:pt idx="18">
                  <c:v>8/8/2020</c:v>
                </c:pt>
                <c:pt idx="19">
                  <c:v>8/12/2020</c:v>
                </c:pt>
                <c:pt idx="20">
                  <c:v>8/22/2020</c:v>
                </c:pt>
                <c:pt idx="21">
                  <c:v>8/26/2020</c:v>
                </c:pt>
                <c:pt idx="22">
                  <c:v>9/5/2020</c:v>
                </c:pt>
                <c:pt idx="23">
                  <c:v>9/9/2020</c:v>
                </c:pt>
                <c:pt idx="24">
                  <c:v>9/19/2020</c:v>
                </c:pt>
                <c:pt idx="25">
                  <c:v>9/23/2020</c:v>
                </c:pt>
                <c:pt idx="26">
                  <c:v>10/3/2020</c:v>
                </c:pt>
                <c:pt idx="27">
                  <c:v>10/7/2020</c:v>
                </c:pt>
                <c:pt idx="28">
                  <c:v>10/17/2020</c:v>
                </c:pt>
                <c:pt idx="29">
                  <c:v>10/21/2020</c:v>
                </c:pt>
                <c:pt idx="30">
                  <c:v>10/31/2020</c:v>
                </c:pt>
                <c:pt idx="31">
                  <c:v>11/4/2020</c:v>
                </c:pt>
                <c:pt idx="32">
                  <c:v>11/14/2020</c:v>
                </c:pt>
                <c:pt idx="33">
                  <c:v>11/18/2020</c:v>
                </c:pt>
                <c:pt idx="34">
                  <c:v>11/28/2020</c:v>
                </c:pt>
                <c:pt idx="35">
                  <c:v>12/2/2020</c:v>
                </c:pt>
                <c:pt idx="36">
                  <c:v>12/12/2020</c:v>
                </c:pt>
                <c:pt idx="37">
                  <c:v>12/16/2020</c:v>
                </c:pt>
                <c:pt idx="38">
                  <c:v>12/26/2020</c:v>
                </c:pt>
                <c:pt idx="39">
                  <c:v>12/30/2020</c:v>
                </c:pt>
                <c:pt idx="40">
                  <c:v>1/9/2021</c:v>
                </c:pt>
                <c:pt idx="41">
                  <c:v>1/13/2021</c:v>
                </c:pt>
                <c:pt idx="42">
                  <c:v>1/23/2021</c:v>
                </c:pt>
                <c:pt idx="43">
                  <c:v>1/27/2021</c:v>
                </c:pt>
                <c:pt idx="44">
                  <c:v>2/6/2021</c:v>
                </c:pt>
                <c:pt idx="45">
                  <c:v>2/10/2021</c:v>
                </c:pt>
                <c:pt idx="46">
                  <c:v>2/20/2021</c:v>
                </c:pt>
                <c:pt idx="47">
                  <c:v>2/24/2021</c:v>
                </c:pt>
                <c:pt idx="48">
                  <c:v>3/6/2021</c:v>
                </c:pt>
                <c:pt idx="49">
                  <c:v>3/10/2021</c:v>
                </c:pt>
                <c:pt idx="50">
                  <c:v>3/20/2021</c:v>
                </c:pt>
                <c:pt idx="51">
                  <c:v>3/24/2021</c:v>
                </c:pt>
                <c:pt idx="52">
                  <c:v>4/3/2021</c:v>
                </c:pt>
                <c:pt idx="53">
                  <c:v>4/7/2021</c:v>
                </c:pt>
                <c:pt idx="54">
                  <c:v>4/17/2021</c:v>
                </c:pt>
                <c:pt idx="55">
                  <c:v>4/21/2021</c:v>
                </c:pt>
                <c:pt idx="56">
                  <c:v>5/1/2021</c:v>
                </c:pt>
                <c:pt idx="57">
                  <c:v>5/5/2021</c:v>
                </c:pt>
                <c:pt idx="58">
                  <c:v>5/15/2021</c:v>
                </c:pt>
                <c:pt idx="59">
                  <c:v>5/19/2021</c:v>
                </c:pt>
                <c:pt idx="60">
                  <c:v>5/29/2021</c:v>
                </c:pt>
                <c:pt idx="61">
                  <c:v>6/2/2021</c:v>
                </c:pt>
                <c:pt idx="62">
                  <c:v>6/12/2021</c:v>
                </c:pt>
                <c:pt idx="63">
                  <c:v>6/16/2021</c:v>
                </c:pt>
                <c:pt idx="64">
                  <c:v>6/26/2021</c:v>
                </c:pt>
                <c:pt idx="65">
                  <c:v>6/30/2021</c:v>
                </c:pt>
                <c:pt idx="66">
                  <c:v>7/10/2021</c:v>
                </c:pt>
                <c:pt idx="67">
                  <c:v>7/14/2021</c:v>
                </c:pt>
                <c:pt idx="68">
                  <c:v>7/24/2021</c:v>
                </c:pt>
                <c:pt idx="69">
                  <c:v>7/28/2021</c:v>
                </c:pt>
                <c:pt idx="70">
                  <c:v>8/7/2021</c:v>
                </c:pt>
                <c:pt idx="71">
                  <c:v>8/11/2021</c:v>
                </c:pt>
                <c:pt idx="72">
                  <c:v>8/21/2021</c:v>
                </c:pt>
                <c:pt idx="73">
                  <c:v>8/25/2021</c:v>
                </c:pt>
                <c:pt idx="74">
                  <c:v>9/4/2021</c:v>
                </c:pt>
                <c:pt idx="75">
                  <c:v>9/8/2021</c:v>
                </c:pt>
                <c:pt idx="76">
                  <c:v>9/18/2021</c:v>
                </c:pt>
                <c:pt idx="77">
                  <c:v>9/22/2021</c:v>
                </c:pt>
                <c:pt idx="78">
                  <c:v>10/2/2021</c:v>
                </c:pt>
                <c:pt idx="79">
                  <c:v>10/6/2021</c:v>
                </c:pt>
                <c:pt idx="80">
                  <c:v>10/16/2021</c:v>
                </c:pt>
                <c:pt idx="81">
                  <c:v>10/20/2021</c:v>
                </c:pt>
                <c:pt idx="82">
                  <c:v>10/30/2021</c:v>
                </c:pt>
                <c:pt idx="83">
                  <c:v>11/3/2021</c:v>
                </c:pt>
                <c:pt idx="84">
                  <c:v>11/13/2021</c:v>
                </c:pt>
                <c:pt idx="85">
                  <c:v>11/17/2021</c:v>
                </c:pt>
                <c:pt idx="86">
                  <c:v>11/27/2021</c:v>
                </c:pt>
                <c:pt idx="87">
                  <c:v>12/1/2021</c:v>
                </c:pt>
                <c:pt idx="88">
                  <c:v>12/11/2021</c:v>
                </c:pt>
                <c:pt idx="89">
                  <c:v>12/15/2021</c:v>
                </c:pt>
                <c:pt idx="90">
                  <c:v>12/25/2021</c:v>
                </c:pt>
                <c:pt idx="91">
                  <c:v>12/29/2021</c:v>
                </c:pt>
                <c:pt idx="92">
                  <c:v>1/8/2022</c:v>
                </c:pt>
                <c:pt idx="93">
                  <c:v>1/12/2022</c:v>
                </c:pt>
                <c:pt idx="94">
                  <c:v>1/22/2022</c:v>
                </c:pt>
                <c:pt idx="95">
                  <c:v>1/26/2022</c:v>
                </c:pt>
                <c:pt idx="96">
                  <c:v>2/5/2022</c:v>
                </c:pt>
                <c:pt idx="97">
                  <c:v>2/9/2022</c:v>
                </c:pt>
                <c:pt idx="98">
                  <c:v>2/19/2022</c:v>
                </c:pt>
                <c:pt idx="99">
                  <c:v>2/23/2022</c:v>
                </c:pt>
                <c:pt idx="100">
                  <c:v>3/5/2022</c:v>
                </c:pt>
                <c:pt idx="101">
                  <c:v>3/9/2022</c:v>
                </c:pt>
                <c:pt idx="102">
                  <c:v>3/19/2022</c:v>
                </c:pt>
                <c:pt idx="103">
                  <c:v>3/23/2022</c:v>
                </c:pt>
                <c:pt idx="104">
                  <c:v>4/2/2022</c:v>
                </c:pt>
                <c:pt idx="105">
                  <c:v>4/6/2022</c:v>
                </c:pt>
                <c:pt idx="106">
                  <c:v>4/16/2022</c:v>
                </c:pt>
                <c:pt idx="107">
                  <c:v>4/20/2022</c:v>
                </c:pt>
                <c:pt idx="108">
                  <c:v>4/30/2022</c:v>
                </c:pt>
                <c:pt idx="109">
                  <c:v>5/4/2022</c:v>
                </c:pt>
                <c:pt idx="110">
                  <c:v>5/14/2022</c:v>
                </c:pt>
                <c:pt idx="111">
                  <c:v>5/18/2022</c:v>
                </c:pt>
                <c:pt idx="112">
                  <c:v>5/28/2022</c:v>
                </c:pt>
                <c:pt idx="113">
                  <c:v>6/1/2022</c:v>
                </c:pt>
                <c:pt idx="114">
                  <c:v>6/11/2022</c:v>
                </c:pt>
                <c:pt idx="115">
                  <c:v>6/15/2022</c:v>
                </c:pt>
                <c:pt idx="116">
                  <c:v>6/25/2022</c:v>
                </c:pt>
                <c:pt idx="117">
                  <c:v>6/29/2022</c:v>
                </c:pt>
                <c:pt idx="118">
                  <c:v>7/9/2022</c:v>
                </c:pt>
                <c:pt idx="119">
                  <c:v>7/13/2022</c:v>
                </c:pt>
                <c:pt idx="120">
                  <c:v>7/23/2022</c:v>
                </c:pt>
                <c:pt idx="121">
                  <c:v>7/27/2022</c:v>
                </c:pt>
                <c:pt idx="122">
                  <c:v>8/6/2022</c:v>
                </c:pt>
                <c:pt idx="123">
                  <c:v>8/10/2022</c:v>
                </c:pt>
                <c:pt idx="124">
                  <c:v>8/20/2022</c:v>
                </c:pt>
                <c:pt idx="125">
                  <c:v>8/24/2022</c:v>
                </c:pt>
                <c:pt idx="126">
                  <c:v>9/3/2022</c:v>
                </c:pt>
                <c:pt idx="127">
                  <c:v>9/7/2022</c:v>
                </c:pt>
                <c:pt idx="128">
                  <c:v>9/17/2022</c:v>
                </c:pt>
                <c:pt idx="129">
                  <c:v>9/21/2022</c:v>
                </c:pt>
                <c:pt idx="130">
                  <c:v>10/1/2022</c:v>
                </c:pt>
                <c:pt idx="131">
                  <c:v>10/5/2022</c:v>
                </c:pt>
                <c:pt idx="132">
                  <c:v>10/15/2022</c:v>
                </c:pt>
                <c:pt idx="133">
                  <c:v>10/19/2022</c:v>
                </c:pt>
                <c:pt idx="134">
                  <c:v>10/29/2022</c:v>
                </c:pt>
                <c:pt idx="135">
                  <c:v>11/2/2022</c:v>
                </c:pt>
                <c:pt idx="136">
                  <c:v>11/12/2022</c:v>
                </c:pt>
                <c:pt idx="137">
                  <c:v>11/16/2022</c:v>
                </c:pt>
                <c:pt idx="138">
                  <c:v>11/26/2022</c:v>
                </c:pt>
                <c:pt idx="139">
                  <c:v>11/30/2022</c:v>
                </c:pt>
                <c:pt idx="140">
                  <c:v>12/10/2022</c:v>
                </c:pt>
                <c:pt idx="141">
                  <c:v>12/14/2022</c:v>
                </c:pt>
                <c:pt idx="142">
                  <c:v>12/24/2022</c:v>
                </c:pt>
                <c:pt idx="143">
                  <c:v>12/28/2022</c:v>
                </c:pt>
                <c:pt idx="144">
                  <c:v>1/7/2023</c:v>
                </c:pt>
                <c:pt idx="145">
                  <c:v>1/11/2023</c:v>
                </c:pt>
                <c:pt idx="146">
                  <c:v>1/21/2023</c:v>
                </c:pt>
                <c:pt idx="147">
                  <c:v>1/25/2023</c:v>
                </c:pt>
                <c:pt idx="148">
                  <c:v>2/4/2023</c:v>
                </c:pt>
                <c:pt idx="149">
                  <c:v>2/8/2023</c:v>
                </c:pt>
                <c:pt idx="150">
                  <c:v>2/18/2023</c:v>
                </c:pt>
                <c:pt idx="151">
                  <c:v>2/22/2023</c:v>
                </c:pt>
                <c:pt idx="152">
                  <c:v>3/4/2023</c:v>
                </c:pt>
                <c:pt idx="153">
                  <c:v>3/8/2023</c:v>
                </c:pt>
                <c:pt idx="154">
                  <c:v>3/18/2023</c:v>
                </c:pt>
                <c:pt idx="155">
                  <c:v>3/22/2023</c:v>
                </c:pt>
                <c:pt idx="156">
                  <c:v>4/1/2023</c:v>
                </c:pt>
                <c:pt idx="157">
                  <c:v>4/5/2023</c:v>
                </c:pt>
                <c:pt idx="158">
                  <c:v>4/15/2023</c:v>
                </c:pt>
                <c:pt idx="159">
                  <c:v>4/19/2023</c:v>
                </c:pt>
                <c:pt idx="160">
                  <c:v>4/29/2023</c:v>
                </c:pt>
                <c:pt idx="161">
                  <c:v>5/3/2023</c:v>
                </c:pt>
                <c:pt idx="162">
                  <c:v>5/13/2023</c:v>
                </c:pt>
                <c:pt idx="163">
                  <c:v>5/17/2023</c:v>
                </c:pt>
                <c:pt idx="164">
                  <c:v>5/27/2023</c:v>
                </c:pt>
                <c:pt idx="165">
                  <c:v>5/31/2023</c:v>
                </c:pt>
                <c:pt idx="166">
                  <c:v>6/10/2023</c:v>
                </c:pt>
                <c:pt idx="167">
                  <c:v>6/14/2023</c:v>
                </c:pt>
                <c:pt idx="168">
                  <c:v>6/24/2023</c:v>
                </c:pt>
                <c:pt idx="169">
                  <c:v>6/28/2023</c:v>
                </c:pt>
                <c:pt idx="170">
                  <c:v>7/8/2023</c:v>
                </c:pt>
                <c:pt idx="171">
                  <c:v>7/12/2023</c:v>
                </c:pt>
                <c:pt idx="172">
                  <c:v>7/20/2023</c:v>
                </c:pt>
                <c:pt idx="173">
                  <c:v>7/22/2023</c:v>
                </c:pt>
                <c:pt idx="174">
                  <c:v>7/26/2023</c:v>
                </c:pt>
                <c:pt idx="175">
                  <c:v>8/5/2023</c:v>
                </c:pt>
                <c:pt idx="176">
                  <c:v>8/9/2023</c:v>
                </c:pt>
                <c:pt idx="177">
                  <c:v>8/19/2023</c:v>
                </c:pt>
                <c:pt idx="178">
                  <c:v>8/23/2023</c:v>
                </c:pt>
                <c:pt idx="179">
                  <c:v>9/2/2023</c:v>
                </c:pt>
                <c:pt idx="180">
                  <c:v>9/6/2023</c:v>
                </c:pt>
                <c:pt idx="181">
                  <c:v>9/16/2023</c:v>
                </c:pt>
                <c:pt idx="182">
                  <c:v>9/20/2023</c:v>
                </c:pt>
                <c:pt idx="183">
                  <c:v>9/30/2023</c:v>
                </c:pt>
                <c:pt idx="184">
                  <c:v>10/4/2023</c:v>
                </c:pt>
                <c:pt idx="185">
                  <c:v>10/14/2023</c:v>
                </c:pt>
                <c:pt idx="186">
                  <c:v>10/18/2023</c:v>
                </c:pt>
                <c:pt idx="187">
                  <c:v>10/28/2023</c:v>
                </c:pt>
                <c:pt idx="188">
                  <c:v>11/1/2023</c:v>
                </c:pt>
                <c:pt idx="189">
                  <c:v>11/11/2023</c:v>
                </c:pt>
                <c:pt idx="190">
                  <c:v>11/15/2023</c:v>
                </c:pt>
                <c:pt idx="191">
                  <c:v>11/25/2023</c:v>
                </c:pt>
                <c:pt idx="192">
                  <c:v>11/29/2023</c:v>
                </c:pt>
                <c:pt idx="193">
                  <c:v>12/9/2023</c:v>
                </c:pt>
                <c:pt idx="194">
                  <c:v>12/13/2023</c:v>
                </c:pt>
                <c:pt idx="195">
                  <c:v>12/14/2023</c:v>
                </c:pt>
                <c:pt idx="196">
                  <c:v>12/15/2023</c:v>
                </c:pt>
                <c:pt idx="197">
                  <c:v>12/23/2023</c:v>
                </c:pt>
                <c:pt idx="198">
                  <c:v>12/27/2023</c:v>
                </c:pt>
                <c:pt idx="199">
                  <c:v>12/31/2023</c:v>
                </c:pt>
                <c:pt idx="200">
                  <c:v>1/6/2024</c:v>
                </c:pt>
                <c:pt idx="201">
                  <c:v>1/10/2024</c:v>
                </c:pt>
                <c:pt idx="202">
                  <c:v>1/20/2024</c:v>
                </c:pt>
                <c:pt idx="203">
                  <c:v>1/24/2024</c:v>
                </c:pt>
                <c:pt idx="204">
                  <c:v>2/3/2024</c:v>
                </c:pt>
                <c:pt idx="205">
                  <c:v>2/7/2024</c:v>
                </c:pt>
                <c:pt idx="206">
                  <c:v>2/17/2024</c:v>
                </c:pt>
                <c:pt idx="207">
                  <c:v>2/21/2024</c:v>
                </c:pt>
                <c:pt idx="208">
                  <c:v>3/2/2024</c:v>
                </c:pt>
                <c:pt idx="209">
                  <c:v>3/6/2024</c:v>
                </c:pt>
                <c:pt idx="210">
                  <c:v>3/16/2024</c:v>
                </c:pt>
                <c:pt idx="211">
                  <c:v>3/20/2024</c:v>
                </c:pt>
                <c:pt idx="212">
                  <c:v>3/30/2024</c:v>
                </c:pt>
                <c:pt idx="213">
                  <c:v>4/3/2024</c:v>
                </c:pt>
                <c:pt idx="214">
                  <c:v>4/13/2024</c:v>
                </c:pt>
                <c:pt idx="215">
                  <c:v>4/17/2024</c:v>
                </c:pt>
                <c:pt idx="216">
                  <c:v>4/27/2024</c:v>
                </c:pt>
                <c:pt idx="217">
                  <c:v>5/1/2024</c:v>
                </c:pt>
                <c:pt idx="218">
                  <c:v>5/11/2024</c:v>
                </c:pt>
                <c:pt idx="219">
                  <c:v>5/15/2024</c:v>
                </c:pt>
                <c:pt idx="220">
                  <c:v>5/25/2024</c:v>
                </c:pt>
                <c:pt idx="221">
                  <c:v>5/29/2024</c:v>
                </c:pt>
                <c:pt idx="222">
                  <c:v>6/8/2024</c:v>
                </c:pt>
                <c:pt idx="223">
                  <c:v>6/12/2024</c:v>
                </c:pt>
                <c:pt idx="224">
                  <c:v>6/22/2024</c:v>
                </c:pt>
                <c:pt idx="225">
                  <c:v>6/26/2024</c:v>
                </c:pt>
                <c:pt idx="226">
                  <c:v>7/6/2024</c:v>
                </c:pt>
                <c:pt idx="227">
                  <c:v>7/10/2024</c:v>
                </c:pt>
                <c:pt idx="228">
                  <c:v>7/20/2024</c:v>
                </c:pt>
                <c:pt idx="229">
                  <c:v>7/24/2024</c:v>
                </c:pt>
                <c:pt idx="230">
                  <c:v>8/3/2024</c:v>
                </c:pt>
                <c:pt idx="231">
                  <c:v>8/7/2024</c:v>
                </c:pt>
                <c:pt idx="232">
                  <c:v>8/17/2024</c:v>
                </c:pt>
                <c:pt idx="233">
                  <c:v>8/21/2024</c:v>
                </c:pt>
                <c:pt idx="234">
                  <c:v>8/31/2024</c:v>
                </c:pt>
                <c:pt idx="235">
                  <c:v>9/4/2024</c:v>
                </c:pt>
                <c:pt idx="236">
                  <c:v>9/14/2024</c:v>
                </c:pt>
                <c:pt idx="237">
                  <c:v>9/18/2024</c:v>
                </c:pt>
                <c:pt idx="238">
                  <c:v>9/28/2024</c:v>
                </c:pt>
                <c:pt idx="239">
                  <c:v>10/2/2024</c:v>
                </c:pt>
                <c:pt idx="240">
                  <c:v>10/12/2024</c:v>
                </c:pt>
                <c:pt idx="241">
                  <c:v>10/16/2024</c:v>
                </c:pt>
                <c:pt idx="242">
                  <c:v>10/26/2024</c:v>
                </c:pt>
                <c:pt idx="243">
                  <c:v>10/30/2024</c:v>
                </c:pt>
                <c:pt idx="244">
                  <c:v>10/31/2024</c:v>
                </c:pt>
                <c:pt idx="245">
                  <c:v>11/9/2024</c:v>
                </c:pt>
                <c:pt idx="246">
                  <c:v>11/13/2024</c:v>
                </c:pt>
                <c:pt idx="247">
                  <c:v>11/23/2024</c:v>
                </c:pt>
                <c:pt idx="248">
                  <c:v>11/27/2024</c:v>
                </c:pt>
                <c:pt idx="249">
                  <c:v>12/7/2024</c:v>
                </c:pt>
                <c:pt idx="250">
                  <c:v>12/11/2024</c:v>
                </c:pt>
                <c:pt idx="251">
                  <c:v>12/21/2024</c:v>
                </c:pt>
                <c:pt idx="252">
                  <c:v>12/25/2024</c:v>
                </c:pt>
                <c:pt idx="253">
                  <c:v>1/4/2025</c:v>
                </c:pt>
                <c:pt idx="254">
                  <c:v>1/8/2025</c:v>
                </c:pt>
                <c:pt idx="255">
                  <c:v>1/18/2025</c:v>
                </c:pt>
                <c:pt idx="256">
                  <c:v>1/22/2025</c:v>
                </c:pt>
                <c:pt idx="257">
                  <c:v>2/1/2025</c:v>
                </c:pt>
                <c:pt idx="258">
                  <c:v>2/5/2025</c:v>
                </c:pt>
                <c:pt idx="259">
                  <c:v>2/15/2025</c:v>
                </c:pt>
                <c:pt idx="260">
                  <c:v>2/19/2025</c:v>
                </c:pt>
                <c:pt idx="261">
                  <c:v>3/1/2025</c:v>
                </c:pt>
                <c:pt idx="262">
                  <c:v>3/5/2025</c:v>
                </c:pt>
                <c:pt idx="263">
                  <c:v>3/15/2025</c:v>
                </c:pt>
                <c:pt idx="264">
                  <c:v>3/19/2025</c:v>
                </c:pt>
                <c:pt idx="265">
                  <c:v>3/29/2025</c:v>
                </c:pt>
                <c:pt idx="266">
                  <c:v>4/2/2025</c:v>
                </c:pt>
                <c:pt idx="267">
                  <c:v>4/12/2025</c:v>
                </c:pt>
                <c:pt idx="268">
                  <c:v>4/16/2025</c:v>
                </c:pt>
                <c:pt idx="269">
                  <c:v>4/26/2025</c:v>
                </c:pt>
                <c:pt idx="270">
                  <c:v>4/30/2025</c:v>
                </c:pt>
                <c:pt idx="271">
                  <c:v>5/10/2025</c:v>
                </c:pt>
                <c:pt idx="272">
                  <c:v>5/14/2025</c:v>
                </c:pt>
                <c:pt idx="273">
                  <c:v>5/24/2025</c:v>
                </c:pt>
                <c:pt idx="274">
                  <c:v>5/28/2025</c:v>
                </c:pt>
                <c:pt idx="275">
                  <c:v>6/7/2025</c:v>
                </c:pt>
                <c:pt idx="276">
                  <c:v>6/11/2025</c:v>
                </c:pt>
                <c:pt idx="277">
                  <c:v>6/21/2025</c:v>
                </c:pt>
                <c:pt idx="278">
                  <c:v>6/25/2025</c:v>
                </c:pt>
                <c:pt idx="279">
                  <c:v>7/5/2025</c:v>
                </c:pt>
                <c:pt idx="280">
                  <c:v>7/9/2025</c:v>
                </c:pt>
                <c:pt idx="281">
                  <c:v>7/19/2025</c:v>
                </c:pt>
                <c:pt idx="282">
                  <c:v>7/23/2025</c:v>
                </c:pt>
                <c:pt idx="283">
                  <c:v>8/2/2025</c:v>
                </c:pt>
                <c:pt idx="284">
                  <c:v>8/6/2025</c:v>
                </c:pt>
                <c:pt idx="285">
                  <c:v>8/16/2025</c:v>
                </c:pt>
                <c:pt idx="286">
                  <c:v>8/20/2025</c:v>
                </c:pt>
                <c:pt idx="287">
                  <c:v>8/30/2025</c:v>
                </c:pt>
                <c:pt idx="288">
                  <c:v>9/3/2025</c:v>
                </c:pt>
                <c:pt idx="289">
                  <c:v>9/13/2025</c:v>
                </c:pt>
                <c:pt idx="290">
                  <c:v>9/17/2025</c:v>
                </c:pt>
                <c:pt idx="291">
                  <c:v>9/27/2025</c:v>
                </c:pt>
                <c:pt idx="292">
                  <c:v>10/1/2025</c:v>
                </c:pt>
                <c:pt idx="293">
                  <c:v>10/11/2025</c:v>
                </c:pt>
                <c:pt idx="294">
                  <c:v>10/15/2025</c:v>
                </c:pt>
                <c:pt idx="295">
                  <c:v>10/25/2025</c:v>
                </c:pt>
                <c:pt idx="296">
                  <c:v>10/29/2025</c:v>
                </c:pt>
                <c:pt idx="297">
                  <c:v>11/8/2025</c:v>
                </c:pt>
                <c:pt idx="298">
                  <c:v>11/12/2025</c:v>
                </c:pt>
                <c:pt idx="299">
                  <c:v>11/22/2025</c:v>
                </c:pt>
                <c:pt idx="300">
                  <c:v>11/26/2025</c:v>
                </c:pt>
                <c:pt idx="301">
                  <c:v>12/6/2025</c:v>
                </c:pt>
                <c:pt idx="302">
                  <c:v>12/10/2025</c:v>
                </c:pt>
                <c:pt idx="303">
                  <c:v>12/20/2025</c:v>
                </c:pt>
                <c:pt idx="304">
                  <c:v>12/24/2025</c:v>
                </c:pt>
                <c:pt idx="305">
                  <c:v>1/3/2026</c:v>
                </c:pt>
                <c:pt idx="306">
                  <c:v>1/7/2026</c:v>
                </c:pt>
                <c:pt idx="307">
                  <c:v>1/17/2026</c:v>
                </c:pt>
                <c:pt idx="308">
                  <c:v>1/21/2026</c:v>
                </c:pt>
                <c:pt idx="309">
                  <c:v>1/31/2026</c:v>
                </c:pt>
                <c:pt idx="310">
                  <c:v>2/4/2026</c:v>
                </c:pt>
                <c:pt idx="311">
                  <c:v>2/14/2026</c:v>
                </c:pt>
                <c:pt idx="312">
                  <c:v>2/18/2026</c:v>
                </c:pt>
              </c:strCache>
            </c:strRef>
          </c:cat>
          <c:val>
            <c:numRef>
              <c:f>'Data Comparison'!$C$3:$C$315</c:f>
              <c:numCache>
                <c:formatCode>General</c:formatCode>
                <c:ptCount val="313"/>
                <c:pt idx="2">
                  <c:v>1</c:v>
                </c:pt>
                <c:pt idx="4">
                  <c:v>1</c:v>
                </c:pt>
                <c:pt idx="6">
                  <c:v>1</c:v>
                </c:pt>
                <c:pt idx="8">
                  <c:v>1</c:v>
                </c:pt>
                <c:pt idx="10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1</c:v>
                </c:pt>
                <c:pt idx="25">
                  <c:v>1</c:v>
                </c:pt>
                <c:pt idx="27">
                  <c:v>1</c:v>
                </c:pt>
                <c:pt idx="29">
                  <c:v>1</c:v>
                </c:pt>
                <c:pt idx="31">
                  <c:v>1</c:v>
                </c:pt>
                <c:pt idx="33">
                  <c:v>1</c:v>
                </c:pt>
                <c:pt idx="35">
                  <c:v>1</c:v>
                </c:pt>
                <c:pt idx="37">
                  <c:v>1</c:v>
                </c:pt>
                <c:pt idx="39">
                  <c:v>1</c:v>
                </c:pt>
                <c:pt idx="41">
                  <c:v>1</c:v>
                </c:pt>
                <c:pt idx="43">
                  <c:v>1</c:v>
                </c:pt>
                <c:pt idx="45">
                  <c:v>1</c:v>
                </c:pt>
                <c:pt idx="47">
                  <c:v>1</c:v>
                </c:pt>
                <c:pt idx="49">
                  <c:v>1</c:v>
                </c:pt>
                <c:pt idx="51">
                  <c:v>1</c:v>
                </c:pt>
                <c:pt idx="53">
                  <c:v>1</c:v>
                </c:pt>
                <c:pt idx="55">
                  <c:v>1</c:v>
                </c:pt>
                <c:pt idx="57">
                  <c:v>1</c:v>
                </c:pt>
                <c:pt idx="59">
                  <c:v>7</c:v>
                </c:pt>
                <c:pt idx="61">
                  <c:v>8</c:v>
                </c:pt>
                <c:pt idx="63">
                  <c:v>9</c:v>
                </c:pt>
                <c:pt idx="65">
                  <c:v>10</c:v>
                </c:pt>
                <c:pt idx="67">
                  <c:v>11</c:v>
                </c:pt>
                <c:pt idx="69">
                  <c:v>9</c:v>
                </c:pt>
                <c:pt idx="71">
                  <c:v>10</c:v>
                </c:pt>
                <c:pt idx="73">
                  <c:v>12</c:v>
                </c:pt>
                <c:pt idx="75">
                  <c:v>12</c:v>
                </c:pt>
                <c:pt idx="77">
                  <c:v>15</c:v>
                </c:pt>
                <c:pt idx="79">
                  <c:v>18</c:v>
                </c:pt>
                <c:pt idx="81">
                  <c:v>17</c:v>
                </c:pt>
                <c:pt idx="83">
                  <c:v>16</c:v>
                </c:pt>
                <c:pt idx="85">
                  <c:v>17</c:v>
                </c:pt>
                <c:pt idx="87">
                  <c:v>16</c:v>
                </c:pt>
                <c:pt idx="89">
                  <c:v>18</c:v>
                </c:pt>
                <c:pt idx="91">
                  <c:v>19</c:v>
                </c:pt>
                <c:pt idx="93">
                  <c:v>31</c:v>
                </c:pt>
                <c:pt idx="95">
                  <c:v>38</c:v>
                </c:pt>
                <c:pt idx="97">
                  <c:v>40</c:v>
                </c:pt>
                <c:pt idx="99">
                  <c:v>40</c:v>
                </c:pt>
                <c:pt idx="101">
                  <c:v>41</c:v>
                </c:pt>
                <c:pt idx="103">
                  <c:v>34</c:v>
                </c:pt>
                <c:pt idx="105">
                  <c:v>34</c:v>
                </c:pt>
                <c:pt idx="107">
                  <c:v>33</c:v>
                </c:pt>
                <c:pt idx="109">
                  <c:v>33</c:v>
                </c:pt>
                <c:pt idx="111">
                  <c:v>66</c:v>
                </c:pt>
                <c:pt idx="113">
                  <c:v>53</c:v>
                </c:pt>
                <c:pt idx="115">
                  <c:v>48</c:v>
                </c:pt>
                <c:pt idx="117">
                  <c:v>49</c:v>
                </c:pt>
                <c:pt idx="119">
                  <c:v>51</c:v>
                </c:pt>
                <c:pt idx="121">
                  <c:v>49</c:v>
                </c:pt>
                <c:pt idx="123">
                  <c:v>50</c:v>
                </c:pt>
                <c:pt idx="125">
                  <c:v>49</c:v>
                </c:pt>
                <c:pt idx="127">
                  <c:v>51</c:v>
                </c:pt>
                <c:pt idx="129">
                  <c:v>48</c:v>
                </c:pt>
                <c:pt idx="131">
                  <c:v>50</c:v>
                </c:pt>
                <c:pt idx="133">
                  <c:v>50</c:v>
                </c:pt>
                <c:pt idx="135">
                  <c:v>50</c:v>
                </c:pt>
                <c:pt idx="137">
                  <c:v>50</c:v>
                </c:pt>
                <c:pt idx="139">
                  <c:v>51</c:v>
                </c:pt>
                <c:pt idx="141">
                  <c:v>50</c:v>
                </c:pt>
                <c:pt idx="143">
                  <c:v>52</c:v>
                </c:pt>
                <c:pt idx="145">
                  <c:v>52</c:v>
                </c:pt>
                <c:pt idx="147">
                  <c:v>52</c:v>
                </c:pt>
                <c:pt idx="149">
                  <c:v>49</c:v>
                </c:pt>
                <c:pt idx="151">
                  <c:v>49</c:v>
                </c:pt>
                <c:pt idx="153">
                  <c:v>47</c:v>
                </c:pt>
                <c:pt idx="155">
                  <c:v>48</c:v>
                </c:pt>
                <c:pt idx="157">
                  <c:v>48</c:v>
                </c:pt>
                <c:pt idx="159">
                  <c:v>48</c:v>
                </c:pt>
                <c:pt idx="161">
                  <c:v>48</c:v>
                </c:pt>
                <c:pt idx="163">
                  <c:v>51</c:v>
                </c:pt>
                <c:pt idx="165">
                  <c:v>50</c:v>
                </c:pt>
                <c:pt idx="167">
                  <c:v>51</c:v>
                </c:pt>
                <c:pt idx="169">
                  <c:v>49</c:v>
                </c:pt>
                <c:pt idx="171">
                  <c:v>50</c:v>
                </c:pt>
                <c:pt idx="174">
                  <c:v>47</c:v>
                </c:pt>
                <c:pt idx="176">
                  <c:v>52</c:v>
                </c:pt>
                <c:pt idx="178">
                  <c:v>49</c:v>
                </c:pt>
                <c:pt idx="180">
                  <c:v>50</c:v>
                </c:pt>
                <c:pt idx="182">
                  <c:v>51</c:v>
                </c:pt>
                <c:pt idx="184">
                  <c:v>48</c:v>
                </c:pt>
                <c:pt idx="186">
                  <c:v>50</c:v>
                </c:pt>
                <c:pt idx="188">
                  <c:v>50</c:v>
                </c:pt>
                <c:pt idx="190">
                  <c:v>49</c:v>
                </c:pt>
                <c:pt idx="192">
                  <c:v>49</c:v>
                </c:pt>
                <c:pt idx="194">
                  <c:v>49</c:v>
                </c:pt>
                <c:pt idx="198">
                  <c:v>51</c:v>
                </c:pt>
                <c:pt idx="201">
                  <c:v>50</c:v>
                </c:pt>
                <c:pt idx="203">
                  <c:v>47</c:v>
                </c:pt>
                <c:pt idx="205">
                  <c:v>46</c:v>
                </c:pt>
                <c:pt idx="207">
                  <c:v>45</c:v>
                </c:pt>
                <c:pt idx="209">
                  <c:v>46</c:v>
                </c:pt>
                <c:pt idx="211">
                  <c:v>45</c:v>
                </c:pt>
                <c:pt idx="213">
                  <c:v>45</c:v>
                </c:pt>
                <c:pt idx="215">
                  <c:v>45</c:v>
                </c:pt>
                <c:pt idx="217">
                  <c:v>45</c:v>
                </c:pt>
                <c:pt idx="219">
                  <c:v>44</c:v>
                </c:pt>
                <c:pt idx="221">
                  <c:v>44</c:v>
                </c:pt>
                <c:pt idx="223">
                  <c:v>44</c:v>
                </c:pt>
                <c:pt idx="225">
                  <c:v>43</c:v>
                </c:pt>
                <c:pt idx="227">
                  <c:v>44</c:v>
                </c:pt>
                <c:pt idx="229">
                  <c:v>44</c:v>
                </c:pt>
                <c:pt idx="231">
                  <c:v>44</c:v>
                </c:pt>
                <c:pt idx="233">
                  <c:v>44</c:v>
                </c:pt>
                <c:pt idx="235">
                  <c:v>46</c:v>
                </c:pt>
                <c:pt idx="237">
                  <c:v>44</c:v>
                </c:pt>
                <c:pt idx="239">
                  <c:v>44</c:v>
                </c:pt>
                <c:pt idx="241">
                  <c:v>44</c:v>
                </c:pt>
                <c:pt idx="243">
                  <c:v>45</c:v>
                </c:pt>
                <c:pt idx="246">
                  <c:v>44</c:v>
                </c:pt>
                <c:pt idx="248">
                  <c:v>44</c:v>
                </c:pt>
                <c:pt idx="250">
                  <c:v>44</c:v>
                </c:pt>
                <c:pt idx="252">
                  <c:v>44</c:v>
                </c:pt>
                <c:pt idx="254">
                  <c:v>44</c:v>
                </c:pt>
                <c:pt idx="256">
                  <c:v>44</c:v>
                </c:pt>
                <c:pt idx="258">
                  <c:v>45</c:v>
                </c:pt>
                <c:pt idx="260">
                  <c:v>42</c:v>
                </c:pt>
                <c:pt idx="262">
                  <c:v>43</c:v>
                </c:pt>
                <c:pt idx="264">
                  <c:v>44</c:v>
                </c:pt>
                <c:pt idx="266">
                  <c:v>44</c:v>
                </c:pt>
                <c:pt idx="268">
                  <c:v>46</c:v>
                </c:pt>
                <c:pt idx="270">
                  <c:v>45</c:v>
                </c:pt>
                <c:pt idx="272">
                  <c:v>45</c:v>
                </c:pt>
                <c:pt idx="274">
                  <c:v>45</c:v>
                </c:pt>
                <c:pt idx="276">
                  <c:v>45</c:v>
                </c:pt>
                <c:pt idx="278">
                  <c:v>44</c:v>
                </c:pt>
                <c:pt idx="280">
                  <c:v>44</c:v>
                </c:pt>
                <c:pt idx="282">
                  <c:v>44</c:v>
                </c:pt>
                <c:pt idx="284">
                  <c:v>44</c:v>
                </c:pt>
                <c:pt idx="286">
                  <c:v>44</c:v>
                </c:pt>
                <c:pt idx="288">
                  <c:v>45</c:v>
                </c:pt>
                <c:pt idx="290">
                  <c:v>45</c:v>
                </c:pt>
                <c:pt idx="292">
                  <c:v>45</c:v>
                </c:pt>
                <c:pt idx="294">
                  <c:v>46</c:v>
                </c:pt>
                <c:pt idx="296">
                  <c:v>46</c:v>
                </c:pt>
                <c:pt idx="298">
                  <c:v>44</c:v>
                </c:pt>
                <c:pt idx="300">
                  <c:v>44</c:v>
                </c:pt>
                <c:pt idx="302">
                  <c:v>46</c:v>
                </c:pt>
                <c:pt idx="304">
                  <c:v>47</c:v>
                </c:pt>
                <c:pt idx="306">
                  <c:v>45</c:v>
                </c:pt>
                <c:pt idx="308">
                  <c:v>47</c:v>
                </c:pt>
                <c:pt idx="310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1F-4A1D-AAA8-B98CEC00C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9380111"/>
        <c:axId val="1289381551"/>
      </c:lineChart>
      <c:catAx>
        <c:axId val="1289380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381551"/>
        <c:crosses val="autoZero"/>
        <c:auto val="1"/>
        <c:lblAlgn val="ctr"/>
        <c:lblOffset val="100"/>
        <c:noMultiLvlLbl val="0"/>
      </c:catAx>
      <c:valAx>
        <c:axId val="128938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380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0</xdr:row>
      <xdr:rowOff>38100</xdr:rowOff>
    </xdr:from>
    <xdr:to>
      <xdr:col>20</xdr:col>
      <xdr:colOff>561975</xdr:colOff>
      <xdr:row>24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12EEA9-A1B9-BDFB-2E7B-C45BC78093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083.469538194448" backgroundQuery="1" createdVersion="8" refreshedVersion="8" minRefreshableVersion="3" recordCount="313" xr:uid="{5AC16C7C-3F83-4749-8C18-DFCBBCFD8191}">
  <cacheSource type="external" connectionId="5"/>
  <cacheFields count="4">
    <cacheField name="Period_End" numFmtId="0">
      <sharedItems containsSemiMixedTypes="0" containsNonDate="0" containsDate="1" containsString="0" minDate="2017-01-15T00:00:00" maxDate="2026-02-19T00:00:00" count="1120">
        <d v="2020-01-11T00:00:00"/>
        <d v="2020-01-25T00:00:00"/>
        <d v="2020-01-29T00:00:00"/>
        <d v="2020-02-08T00:00:00"/>
        <d v="2020-02-12T00:00:00"/>
        <d v="2020-02-22T00:00:00"/>
        <d v="2020-02-26T00:00:00"/>
        <d v="2020-03-07T00:00:00"/>
        <d v="2020-03-11T00:00:00"/>
        <d v="2020-03-21T00:00:00"/>
        <d v="2020-03-25T00:00:00"/>
        <d v="2020-06-17T00:00:00"/>
        <d v="2020-06-27T00:00:00"/>
        <d v="2020-07-01T00:00:00"/>
        <d v="2020-07-11T00:00:00"/>
        <d v="2020-07-15T00:00:00"/>
        <d v="2020-07-25T00:00:00"/>
        <d v="2020-07-29T00:00:00"/>
        <d v="2020-08-08T00:00:00"/>
        <d v="2020-08-12T00:00:00"/>
        <d v="2020-08-22T00:00:00"/>
        <d v="2020-08-26T00:00:00"/>
        <d v="2020-09-05T00:00:00"/>
        <d v="2020-09-09T00:00:00"/>
        <d v="2020-09-19T00:00:00"/>
        <d v="2020-09-23T00:00:00"/>
        <d v="2020-10-03T00:00:00"/>
        <d v="2020-10-07T00:00:00"/>
        <d v="2020-10-17T00:00:00"/>
        <d v="2020-10-21T00:00:00"/>
        <d v="2020-10-31T00:00:00"/>
        <d v="2020-11-04T00:00:00"/>
        <d v="2020-11-14T00:00:00"/>
        <d v="2020-11-18T00:00:00"/>
        <d v="2020-11-28T00:00:00"/>
        <d v="2020-12-02T00:00:00"/>
        <d v="2020-12-12T00:00:00"/>
        <d v="2020-12-16T00:00:00"/>
        <d v="2020-12-26T00:00:00"/>
        <d v="2020-12-30T00:00:00"/>
        <d v="2021-01-09T00:00:00"/>
        <d v="2021-01-13T00:00:00"/>
        <d v="2021-01-23T00:00:00"/>
        <d v="2021-01-27T00:00:00"/>
        <d v="2021-02-06T00:00:00"/>
        <d v="2021-02-10T00:00:00"/>
        <d v="2021-02-20T00:00:00"/>
        <d v="2021-02-24T00:00:00"/>
        <d v="2021-03-06T00:00:00"/>
        <d v="2021-03-10T00:00:00"/>
        <d v="2021-03-20T00:00:00"/>
        <d v="2021-03-24T00:00:00"/>
        <d v="2021-04-03T00:00:00"/>
        <d v="2021-04-07T00:00:00"/>
        <d v="2021-04-17T00:00:00"/>
        <d v="2021-04-21T00:00:00"/>
        <d v="2021-05-01T00:00:00"/>
        <d v="2021-05-05T00:00:00"/>
        <d v="2021-05-15T00:00:00"/>
        <d v="2021-05-19T00:00:00"/>
        <d v="2021-05-29T00:00:00"/>
        <d v="2021-06-02T00:00:00"/>
        <d v="2021-06-12T00:00:00"/>
        <d v="2021-06-16T00:00:00"/>
        <d v="2021-06-26T00:00:00"/>
        <d v="2021-06-30T00:00:00"/>
        <d v="2021-07-10T00:00:00"/>
        <d v="2021-07-14T00:00:00"/>
        <d v="2021-07-24T00:00:00"/>
        <d v="2021-07-28T00:00:00"/>
        <d v="2021-08-07T00:00:00"/>
        <d v="2021-08-11T00:00:00"/>
        <d v="2021-08-21T00:00:00"/>
        <d v="2021-08-25T00:00:00"/>
        <d v="2021-09-04T00:00:00"/>
        <d v="2021-09-08T00:00:00"/>
        <d v="2021-09-18T00:00:00"/>
        <d v="2021-09-22T00:00:00"/>
        <d v="2021-10-02T00:00:00"/>
        <d v="2021-10-06T00:00:00"/>
        <d v="2021-10-16T00:00:00"/>
        <d v="2021-10-20T00:00:00"/>
        <d v="2021-10-30T00:00:00"/>
        <d v="2021-11-03T00:00:00"/>
        <d v="2021-11-13T00:00:00"/>
        <d v="2021-11-17T00:00:00"/>
        <d v="2021-11-27T00:00:00"/>
        <d v="2021-12-01T00:00:00"/>
        <d v="2021-12-11T00:00:00"/>
        <d v="2021-12-15T00:00:00"/>
        <d v="2021-12-25T00:00:00"/>
        <d v="2021-12-29T00:00:00"/>
        <d v="2022-01-08T00:00:00"/>
        <d v="2022-01-12T00:00:00"/>
        <d v="2022-01-22T00:00:00"/>
        <d v="2022-01-26T00:00:00"/>
        <d v="2022-02-05T00:00:00"/>
        <d v="2022-02-09T00:00:00"/>
        <d v="2022-02-19T00:00:00"/>
        <d v="2022-02-23T00:00:00"/>
        <d v="2022-03-05T00:00:00"/>
        <d v="2022-03-09T00:00:00"/>
        <d v="2022-03-19T00:00:00"/>
        <d v="2022-03-23T00:00:00"/>
        <d v="2022-04-02T00:00:00"/>
        <d v="2022-04-06T00:00:00"/>
        <d v="2022-04-16T00:00:00"/>
        <d v="2022-04-20T00:00:00"/>
        <d v="2022-04-30T00:00:00"/>
        <d v="2022-05-04T00:00:00"/>
        <d v="2022-05-14T00:00:00"/>
        <d v="2022-05-18T00:00:00"/>
        <d v="2022-05-28T00:00:00"/>
        <d v="2022-06-01T00:00:00"/>
        <d v="2022-06-11T00:00:00"/>
        <d v="2022-06-15T00:00:00"/>
        <d v="2022-06-25T00:00:00"/>
        <d v="2022-06-29T00:00:00"/>
        <d v="2022-07-09T00:00:00"/>
        <d v="2022-07-13T00:00:00"/>
        <d v="2022-07-23T00:00:00"/>
        <d v="2022-07-27T00:00:00"/>
        <d v="2022-08-06T00:00:00"/>
        <d v="2022-08-10T00:00:00"/>
        <d v="2022-08-20T00:00:00"/>
        <d v="2022-08-24T00:00:00"/>
        <d v="2022-09-03T00:00:00"/>
        <d v="2022-09-07T00:00:00"/>
        <d v="2022-09-17T00:00:00"/>
        <d v="2022-09-21T00:00:00"/>
        <d v="2022-10-01T00:00:00"/>
        <d v="2022-10-05T00:00:00"/>
        <d v="2022-10-15T00:00:00"/>
        <d v="2022-10-19T00:00:00"/>
        <d v="2022-10-29T00:00:00"/>
        <d v="2022-11-02T00:00:00"/>
        <d v="2022-11-12T00:00:00"/>
        <d v="2022-11-16T00:00:00"/>
        <d v="2022-11-26T00:00:00"/>
        <d v="2022-11-30T00:00:00"/>
        <d v="2022-12-10T00:00:00"/>
        <d v="2022-12-14T00:00:00"/>
        <d v="2022-12-24T00:00:00"/>
        <d v="2022-12-28T00:00:00"/>
        <d v="2023-01-07T00:00:00"/>
        <d v="2023-01-11T00:00:00"/>
        <d v="2023-01-21T00:00:00"/>
        <d v="2023-01-25T00:00:00"/>
        <d v="2023-02-04T00:00:00"/>
        <d v="2023-02-08T00:00:00"/>
        <d v="2023-02-18T00:00:00"/>
        <d v="2023-02-22T00:00:00"/>
        <d v="2023-03-04T00:00:00"/>
        <d v="2023-03-08T00:00:00"/>
        <d v="2023-03-18T00:00:00"/>
        <d v="2023-03-22T00:00:00"/>
        <d v="2023-04-01T00:00:00"/>
        <d v="2023-04-05T00:00:00"/>
        <d v="2023-04-15T00:00:00"/>
        <d v="2023-04-19T00:00:00"/>
        <d v="2023-04-29T00:00:00"/>
        <d v="2023-05-03T00:00:00"/>
        <d v="2023-05-13T00:00:00"/>
        <d v="2023-05-17T00:00:00"/>
        <d v="2023-05-27T00:00:00"/>
        <d v="2023-05-31T00:00:00"/>
        <d v="2023-06-10T00:00:00"/>
        <d v="2023-06-14T00:00:00"/>
        <d v="2023-06-24T00:00:00"/>
        <d v="2023-06-28T00:00:00"/>
        <d v="2023-07-08T00:00:00"/>
        <d v="2023-07-12T00:00:00"/>
        <d v="2023-07-20T00:00:00"/>
        <d v="2023-07-22T00:00:00"/>
        <d v="2023-07-26T00:00:00"/>
        <d v="2023-08-05T00:00:00"/>
        <d v="2023-08-09T00:00:00"/>
        <d v="2023-08-19T00:00:00"/>
        <d v="2023-08-23T00:00:00"/>
        <d v="2023-09-02T00:00:00"/>
        <d v="2023-09-06T00:00:00"/>
        <d v="2023-09-16T00:00:00"/>
        <d v="2023-09-20T00:00:00"/>
        <d v="2023-09-30T00:00:00"/>
        <d v="2023-10-04T00:00:00"/>
        <d v="2023-10-14T00:00:00"/>
        <d v="2023-10-18T00:00:00"/>
        <d v="2023-10-28T00:00:00"/>
        <d v="2023-11-01T00:00:00"/>
        <d v="2023-11-11T00:00:00"/>
        <d v="2023-11-15T00:00:00"/>
        <d v="2023-11-25T00:00:00"/>
        <d v="2023-11-29T00:00:00"/>
        <d v="2023-12-09T00:00:00"/>
        <d v="2023-12-13T00:00:00"/>
        <d v="2023-12-14T00:00:00"/>
        <d v="2023-12-15T00:00:00"/>
        <d v="2023-12-23T00:00:00"/>
        <d v="2023-12-27T00:00:00"/>
        <d v="2023-12-31T00:00:00"/>
        <d v="2024-01-06T00:00:00"/>
        <d v="2024-01-10T00:00:00"/>
        <d v="2024-01-20T00:00:00"/>
        <d v="2024-01-24T00:00:00"/>
        <d v="2024-02-03T00:00:00"/>
        <d v="2024-02-07T00:00:00"/>
        <d v="2024-02-17T00:00:00"/>
        <d v="2024-02-21T00:00:00"/>
        <d v="2024-03-02T00:00:00"/>
        <d v="2024-03-06T00:00:00"/>
        <d v="2024-03-16T00:00:00"/>
        <d v="2024-03-20T00:00:00"/>
        <d v="2024-03-30T00:00:00"/>
        <d v="2024-04-03T00:00:00"/>
        <d v="2024-04-13T00:00:00"/>
        <d v="2024-04-17T00:00:00"/>
        <d v="2024-04-27T00:00:00"/>
        <d v="2024-05-01T00:00:00"/>
        <d v="2024-05-11T00:00:00"/>
        <d v="2024-05-15T00:00:00"/>
        <d v="2024-05-25T00:00:00"/>
        <d v="2024-05-29T00:00:00"/>
        <d v="2024-06-08T00:00:00"/>
        <d v="2024-06-12T00:00:00"/>
        <d v="2024-06-22T00:00:00"/>
        <d v="2024-06-26T00:00:00"/>
        <d v="2024-07-06T00:00:00"/>
        <d v="2024-07-10T00:00:00"/>
        <d v="2024-07-20T00:00:00"/>
        <d v="2024-07-24T00:00:00"/>
        <d v="2024-08-03T00:00:00"/>
        <d v="2024-08-07T00:00:00"/>
        <d v="2024-08-17T00:00:00"/>
        <d v="2024-08-21T00:00:00"/>
        <d v="2024-08-31T00:00:00"/>
        <d v="2024-09-04T00:00:00"/>
        <d v="2024-09-14T00:00:00"/>
        <d v="2024-09-18T00:00:00"/>
        <d v="2024-09-28T00:00:00"/>
        <d v="2024-10-02T00:00:00"/>
        <d v="2024-10-12T00:00:00"/>
        <d v="2024-10-16T00:00:00"/>
        <d v="2024-10-26T00:00:00"/>
        <d v="2024-10-30T00:00:00"/>
        <d v="2024-10-31T00:00:00"/>
        <d v="2024-11-09T00:00:00"/>
        <d v="2024-11-13T00:00:00"/>
        <d v="2024-11-23T00:00:00"/>
        <d v="2024-11-27T00:00:00"/>
        <d v="2024-12-07T00:00:00"/>
        <d v="2024-12-11T00:00:00"/>
        <d v="2024-12-21T00:00:00"/>
        <d v="2024-12-25T00:00:00"/>
        <d v="2025-01-04T00:00:00"/>
        <d v="2025-01-08T00:00:00"/>
        <d v="2025-01-18T00:00:00"/>
        <d v="2025-01-22T00:00:00"/>
        <d v="2025-02-01T00:00:00"/>
        <d v="2025-02-05T00:00:00"/>
        <d v="2025-02-15T00:00:00"/>
        <d v="2025-02-19T00:00:00"/>
        <d v="2025-03-01T00:00:00"/>
        <d v="2025-03-05T00:00:00"/>
        <d v="2025-03-15T00:00:00"/>
        <d v="2025-03-19T00:00:00"/>
        <d v="2025-03-29T00:00:00"/>
        <d v="2025-04-02T00:00:00"/>
        <d v="2025-04-12T00:00:00"/>
        <d v="2025-04-16T00:00:00"/>
        <d v="2025-04-26T00:00:00"/>
        <d v="2025-04-30T00:00:00"/>
        <d v="2025-05-10T00:00:00"/>
        <d v="2025-05-14T00:00:00"/>
        <d v="2025-05-24T00:00:00"/>
        <d v="2025-05-28T00:00:00"/>
        <d v="2025-06-07T00:00:00"/>
        <d v="2025-06-11T00:00:00"/>
        <d v="2025-06-21T00:00:00"/>
        <d v="2025-06-25T00:00:00"/>
        <d v="2025-07-05T00:00:00"/>
        <d v="2025-07-09T00:00:00"/>
        <d v="2025-07-19T00:00:00"/>
        <d v="2025-07-23T00:00:00"/>
        <d v="2025-08-02T00:00:00"/>
        <d v="2025-08-06T00:00:00"/>
        <d v="2025-08-16T00:00:00"/>
        <d v="2025-08-20T00:00:00"/>
        <d v="2025-08-30T00:00:00"/>
        <d v="2025-09-03T00:00:00"/>
        <d v="2025-09-13T00:00:00"/>
        <d v="2025-09-17T00:00:00"/>
        <d v="2025-09-27T00:00:00"/>
        <d v="2025-10-01T00:00:00"/>
        <d v="2025-10-11T00:00:00"/>
        <d v="2025-10-15T00:00:00"/>
        <d v="2025-10-25T00:00:00"/>
        <d v="2025-10-29T00:00:00"/>
        <d v="2025-11-08T00:00:00"/>
        <d v="2025-11-12T00:00:00"/>
        <d v="2025-11-22T00:00:00"/>
        <d v="2025-11-26T00:00:00"/>
        <d v="2025-12-06T00:00:00"/>
        <d v="2025-12-10T00:00:00"/>
        <d v="2025-12-20T00:00:00"/>
        <d v="2025-12-24T00:00:00"/>
        <d v="2026-01-03T00:00:00"/>
        <d v="2026-01-07T00:00:00"/>
        <d v="2026-01-17T00:00:00"/>
        <d v="2026-01-21T00:00:00"/>
        <d v="2026-01-31T00:00:00"/>
        <d v="2026-02-04T00:00:00"/>
        <d v="2026-02-14T00:00:00"/>
        <d v="2026-02-18T00:00:00"/>
        <d v="2021-04-02T00:00:00" u="1"/>
        <d v="2021-04-16T00:00:00" u="1"/>
        <d v="2021-04-30T00:00:00" u="1"/>
        <d v="2021-05-14T00:00:00" u="1"/>
        <d v="2021-05-28T00:00:00" u="1"/>
        <d v="2021-06-11T00:00:00" u="1"/>
        <d v="2021-06-25T00:00:00" u="1"/>
        <d v="2021-07-09T00:00:00" u="1"/>
        <d v="2021-07-23T00:00:00" u="1"/>
        <d v="2021-08-06T00:00:00" u="1"/>
        <d v="2021-08-20T00:00:00" u="1"/>
        <d v="2021-09-03T00:00:00" u="1"/>
        <d v="2021-09-17T00:00:00" u="1"/>
        <d v="2021-10-01T00:00:00" u="1"/>
        <d v="2021-10-15T00:00:00" u="1"/>
        <d v="2021-10-29T00:00:00" u="1"/>
        <d v="2021-11-12T00:00:00" u="1"/>
        <d v="2021-11-26T00:00:00" u="1"/>
        <d v="2021-12-10T00:00:00" u="1"/>
        <d v="2021-12-24T00:00:00" u="1"/>
        <d v="2022-01-07T00:00:00" u="1"/>
        <d v="2022-01-21T00:00:00" u="1"/>
        <d v="2022-02-04T00:00:00" u="1"/>
        <d v="2022-02-18T00:00:00" u="1"/>
        <d v="2022-03-04T00:00:00" u="1"/>
        <d v="2022-03-18T00:00:00" u="1"/>
        <d v="2022-04-01T00:00:00" u="1"/>
        <d v="2022-04-15T00:00:00" u="1"/>
        <d v="2022-04-29T00:00:00" u="1"/>
        <d v="2022-05-13T00:00:00" u="1"/>
        <d v="2022-05-27T00:00:00" u="1"/>
        <d v="2022-06-10T00:00:00" u="1"/>
        <d v="2022-06-24T00:00:00" u="1"/>
        <d v="2022-07-08T00:00:00" u="1"/>
        <d v="2022-07-22T00:00:00" u="1"/>
        <d v="2022-08-05T00:00:00" u="1"/>
        <d v="2022-08-19T00:00:00" u="1"/>
        <d v="2022-09-02T00:00:00" u="1"/>
        <d v="2022-09-16T00:00:00" u="1"/>
        <d v="2022-09-30T00:00:00" u="1"/>
        <d v="2022-10-14T00:00:00" u="1"/>
        <d v="2022-10-28T00:00:00" u="1"/>
        <d v="2022-11-11T00:00:00" u="1"/>
        <d v="2022-11-25T00:00:00" u="1"/>
        <d v="2022-12-09T00:00:00" u="1"/>
        <d v="2022-12-23T00:00:00" u="1"/>
        <d v="2023-01-06T00:00:00" u="1"/>
        <d v="2023-01-20T00:00:00" u="1"/>
        <d v="2023-02-03T00:00:00" u="1"/>
        <d v="2023-02-17T00:00:00" u="1"/>
        <d v="2023-03-03T00:00:00" u="1"/>
        <d v="2023-03-17T00:00:00" u="1"/>
        <d v="2023-03-31T00:00:00" u="1"/>
        <d v="2023-04-14T00:00:00" u="1"/>
        <d v="2023-04-28T00:00:00" u="1"/>
        <d v="2023-05-12T00:00:00" u="1"/>
        <d v="2023-05-26T00:00:00" u="1"/>
        <d v="2023-06-09T00:00:00" u="1"/>
        <d v="2023-06-23T00:00:00" u="1"/>
        <d v="2023-07-07T00:00:00" u="1"/>
        <d v="2023-07-21T00:00:00" u="1"/>
        <d v="2023-08-04T00:00:00" u="1"/>
        <d v="2023-08-18T00:00:00" u="1"/>
        <d v="2023-09-01T00:00:00" u="1"/>
        <d v="2023-09-15T00:00:00" u="1"/>
        <d v="2023-09-29T00:00:00" u="1"/>
        <d v="2023-10-13T00:00:00" u="1"/>
        <d v="2023-10-27T00:00:00" u="1"/>
        <d v="2023-11-10T00:00:00" u="1"/>
        <d v="2023-11-24T00:00:00" u="1"/>
        <d v="2023-12-08T00:00:00" u="1"/>
        <d v="2023-12-22T00:00:00" u="1"/>
        <d v="2023-12-29T00:00:00" u="1"/>
        <d v="2024-01-05T00:00:00" u="1"/>
        <d v="2024-01-19T00:00:00" u="1"/>
        <d v="2024-02-02T00:00:00" u="1"/>
        <d v="2024-02-16T00:00:00" u="1"/>
        <d v="2024-03-01T00:00:00" u="1"/>
        <d v="2024-03-15T00:00:00" u="1"/>
        <d v="2024-03-29T00:00:00" u="1"/>
        <d v="2024-04-12T00:00:00" u="1"/>
        <d v="2024-04-26T00:00:00" u="1"/>
        <d v="2024-05-10T00:00:00" u="1"/>
        <d v="2024-05-24T00:00:00" u="1"/>
        <d v="2024-06-07T00:00:00" u="1"/>
        <d v="2024-06-21T00:00:00" u="1"/>
        <d v="2024-07-05T00:00:00" u="1"/>
        <d v="2024-07-19T00:00:00" u="1"/>
        <d v="2024-08-02T00:00:00" u="1"/>
        <d v="2024-08-16T00:00:00" u="1"/>
        <d v="2024-08-30T00:00:00" u="1"/>
        <d v="2024-09-13T00:00:00" u="1"/>
        <d v="2024-09-27T00:00:00" u="1"/>
        <d v="2024-10-11T00:00:00" u="1"/>
        <d v="2024-10-25T00:00:00" u="1"/>
        <d v="2024-11-08T00:00:00" u="1"/>
        <d v="2024-11-22T00:00:00" u="1"/>
        <d v="2024-12-06T00:00:00" u="1"/>
        <d v="2024-12-20T00:00:00" u="1"/>
        <d v="2025-01-03T00:00:00" u="1"/>
        <d v="2025-01-17T00:00:00" u="1"/>
        <d v="2025-01-31T00:00:00" u="1"/>
        <d v="2025-02-14T00:00:00" u="1"/>
        <d v="2025-02-28T00:00:00" u="1"/>
        <d v="2025-03-14T00:00:00" u="1"/>
        <d v="2025-03-28T00:00:00" u="1"/>
        <d v="2025-04-11T00:00:00" u="1"/>
        <d v="2025-04-25T00:00:00" u="1"/>
        <d v="2025-05-09T00:00:00" u="1"/>
        <d v="2025-05-23T00:00:00" u="1"/>
        <d v="2025-06-06T00:00:00" u="1"/>
        <d v="2025-06-20T00:00:00" u="1"/>
        <d v="2025-07-04T00:00:00" u="1"/>
        <d v="2025-07-18T00:00:00" u="1"/>
        <d v="2025-08-01T00:00:00" u="1"/>
        <d v="2025-08-15T00:00:00" u="1"/>
        <d v="2025-08-29T00:00:00" u="1"/>
        <d v="2025-09-12T00:00:00" u="1"/>
        <d v="2025-09-26T00:00:00" u="1"/>
        <d v="2025-10-10T00:00:00" u="1"/>
        <d v="2020-11-26T00:00:00" u="1"/>
        <d v="2020-12-04T00:00:00" u="1"/>
        <d v="2020-12-10T00:00:00" u="1"/>
        <d v="2020-12-18T00:00:00" u="1"/>
        <d v="2020-12-23T00:00:00" u="1"/>
        <d v="2021-01-01T00:00:00" u="1"/>
        <d v="2021-01-07T00:00:00" u="1"/>
        <d v="2021-01-15T00:00:00" u="1"/>
        <d v="2021-01-21T00:00:00" u="1"/>
        <d v="2021-01-24T00:00:00" u="1"/>
        <d v="2021-01-29T00:00:00" u="1"/>
        <d v="2021-02-04T00:00:00" u="1"/>
        <d v="2021-02-12T00:00:00" u="1"/>
        <d v="2021-02-18T00:00:00" u="1"/>
        <d v="2021-02-23T00:00:00" u="1"/>
        <d v="2021-02-26T00:00:00" u="1"/>
        <d v="2021-03-04T00:00:00" u="1"/>
        <d v="2021-03-08T00:00:00" u="1"/>
        <d v="2021-03-12T00:00:00" u="1"/>
        <d v="2021-03-18T00:00:00" u="1"/>
        <d v="2021-03-26T00:00:00" u="1"/>
        <d v="2021-03-30T00:00:00" u="1"/>
        <d v="2021-04-01T00:00:00" u="1"/>
        <d v="2021-04-09T00:00:00" u="1"/>
        <d v="2021-04-15T00:00:00" u="1"/>
        <d v="2021-04-23T00:00:00" u="1"/>
        <d v="2021-04-29T00:00:00" u="1"/>
        <d v="2021-05-07T00:00:00" u="1"/>
        <d v="2021-05-13T00:00:00" u="1"/>
        <d v="2021-05-21T00:00:00" u="1"/>
        <d v="2021-05-27T00:00:00" u="1"/>
        <d v="2021-06-01T00:00:00" u="1"/>
        <d v="2021-06-04T00:00:00" u="1"/>
        <d v="2021-06-10T00:00:00" u="1"/>
        <d v="2021-06-18T00:00:00" u="1"/>
        <d v="2021-06-24T00:00:00" u="1"/>
        <d v="2021-07-02T00:00:00" u="1"/>
        <d v="2021-07-08T00:00:00" u="1"/>
        <d v="2021-07-16T00:00:00" u="1"/>
        <d v="2021-07-22T00:00:00" u="1"/>
        <d v="2021-07-30T00:00:00" u="1"/>
        <d v="2021-08-05T00:00:00" u="1"/>
        <d v="2021-08-09T00:00:00" u="1"/>
        <d v="2021-08-13T00:00:00" u="1"/>
        <d v="2021-08-19T00:00:00" u="1"/>
        <d v="2021-08-27T00:00:00" u="1"/>
        <d v="2021-09-02T00:00:00" u="1"/>
        <d v="2021-09-10T00:00:00" u="1"/>
        <d v="2021-09-16T00:00:00" u="1"/>
        <d v="2021-09-24T00:00:00" u="1"/>
        <d v="2021-09-30T00:00:00" u="1"/>
        <d v="2021-10-08T00:00:00" u="1"/>
        <d v="2021-10-14T00:00:00" u="1"/>
        <d v="2021-10-22T00:00:00" u="1"/>
        <d v="2021-10-28T00:00:00" u="1"/>
        <d v="2021-11-05T00:00:00" u="1"/>
        <d v="2021-11-11T00:00:00" u="1"/>
        <d v="2021-11-19T00:00:00" u="1"/>
        <d v="2021-11-25T00:00:00" u="1"/>
        <d v="2021-12-03T00:00:00" u="1"/>
        <d v="2021-12-09T00:00:00" u="1"/>
        <d v="2021-12-17T00:00:00" u="1"/>
        <d v="2021-12-22T00:00:00" u="1"/>
        <d v="2021-12-30T00:00:00" u="1"/>
        <d v="2021-12-31T00:00:00" u="1"/>
        <d v="2022-01-06T00:00:00" u="1"/>
        <d v="2022-01-14T00:00:00" u="1"/>
        <d v="2022-01-20T00:00:00" u="1"/>
        <d v="2022-01-28T00:00:00" u="1"/>
        <d v="2022-02-03T00:00:00" u="1"/>
        <d v="2022-02-11T00:00:00" u="1"/>
        <d v="2022-02-17T00:00:00" u="1"/>
        <d v="2022-02-25T00:00:00" u="1"/>
        <d v="2022-03-03T00:00:00" u="1"/>
        <d v="2022-03-11T00:00:00" u="1"/>
        <d v="2022-03-17T00:00:00" u="1"/>
        <d v="2022-03-25T00:00:00" u="1"/>
        <d v="2022-03-31T00:00:00" u="1"/>
        <d v="2022-04-08T00:00:00" u="1"/>
        <d v="2022-04-14T00:00:00" u="1"/>
        <d v="2022-04-22T00:00:00" u="1"/>
        <d v="2022-04-28T00:00:00" u="1"/>
        <d v="2022-05-06T00:00:00" u="1"/>
        <d v="2022-05-12T00:00:00" u="1"/>
        <d v="2022-05-20T00:00:00" u="1"/>
        <d v="2022-05-26T00:00:00" u="1"/>
        <d v="2022-06-03T00:00:00" u="1"/>
        <d v="2022-06-09T00:00:00" u="1"/>
        <d v="2022-06-17T00:00:00" u="1"/>
        <d v="2022-06-23T00:00:00" u="1"/>
        <d v="2022-07-01T00:00:00" u="1"/>
        <d v="2022-07-07T00:00:00" u="1"/>
        <d v="2022-07-15T00:00:00" u="1"/>
        <d v="2022-07-21T00:00:00" u="1"/>
        <d v="2022-07-29T00:00:00" u="1"/>
        <d v="2022-08-04T00:00:00" u="1"/>
        <d v="2022-08-12T00:00:00" u="1"/>
        <d v="2022-08-18T00:00:00" u="1"/>
        <d v="2022-08-26T00:00:00" u="1"/>
        <d v="2022-09-01T00:00:00" u="1"/>
        <d v="2022-09-09T00:00:00" u="1"/>
        <d v="2022-09-15T00:00:00" u="1"/>
        <d v="2022-09-23T00:00:00" u="1"/>
        <d v="2022-09-29T00:00:00" u="1"/>
        <d v="2022-10-07T00:00:00" u="1"/>
        <d v="2022-10-13T00:00:00" u="1"/>
        <d v="2022-10-21T00:00:00" u="1"/>
        <d v="2022-10-27T00:00:00" u="1"/>
        <d v="2022-11-04T00:00:00" u="1"/>
        <d v="2022-11-09T00:00:00" u="1"/>
        <d v="2022-11-18T00:00:00" u="1"/>
        <d v="2022-11-24T00:00:00" u="1"/>
        <d v="2022-12-02T00:00:00" u="1"/>
        <d v="2022-12-08T00:00:00" u="1"/>
        <d v="2022-12-16T00:00:00" u="1"/>
        <d v="2022-12-22T00:00:00" u="1"/>
        <d v="2022-12-29T00:00:00" u="1"/>
        <d v="2022-12-30T00:00:00" u="1"/>
        <d v="2023-01-02T00:00:00" u="1"/>
        <d v="2023-01-03T00:00:00" u="1"/>
        <d v="2023-01-04T00:00:00" u="1"/>
        <d v="2023-01-09T00:00:00" u="1"/>
        <d v="2023-01-10T00:00:00" u="1"/>
        <d v="2023-01-12T00:00:00" u="1"/>
        <d v="2023-01-13T00:00:00" u="1"/>
        <d v="2023-01-15T00:00:00" u="1"/>
        <d v="2023-01-16T00:00:00" u="1"/>
        <d v="2023-01-18T00:00:00" u="1"/>
        <d v="2023-01-22T00:00:00" u="1"/>
        <d v="2023-01-23T00:00:00" u="1"/>
        <d v="2023-01-24T00:00:00" u="1"/>
        <d v="2023-01-26T00:00:00" u="1"/>
        <d v="2023-01-27T00:00:00" u="1"/>
        <d v="2023-01-28T00:00:00" u="1"/>
        <d v="2023-01-31T00:00:00" u="1"/>
        <d v="2023-02-01T00:00:00" u="1"/>
        <d v="2023-02-02T00:00:00" u="1"/>
        <d v="2023-02-06T00:00:00" u="1"/>
        <d v="2023-02-07T00:00:00" u="1"/>
        <d v="2023-02-09T00:00:00" u="1"/>
        <d v="2023-02-10T00:00:00" u="1"/>
        <d v="2023-02-14T00:00:00" u="1"/>
        <d v="2023-02-15T00:00:00" u="1"/>
        <d v="2023-02-16T00:00:00" u="1"/>
        <d v="2023-02-20T00:00:00" u="1"/>
        <d v="2023-02-21T00:00:00" u="1"/>
        <d v="2023-02-23T00:00:00" u="1"/>
        <d v="2023-02-24T00:00:00" u="1"/>
        <d v="2023-02-25T00:00:00" u="1"/>
        <d v="2023-02-27T00:00:00" u="1"/>
        <d v="2023-02-28T00:00:00" u="1"/>
        <d v="2023-03-02T00:00:00" u="1"/>
        <d v="2023-03-09T00:00:00" u="1"/>
        <d v="2023-03-10T00:00:00" u="1"/>
        <d v="2023-03-13T00:00:00" u="1"/>
        <d v="2023-03-14T00:00:00" u="1"/>
        <d v="2023-03-15T00:00:00" u="1"/>
        <d v="2023-03-16T00:00:00" u="1"/>
        <d v="2023-03-20T00:00:00" u="1"/>
        <d v="2023-03-21T00:00:00" u="1"/>
        <d v="2023-03-23T00:00:00" u="1"/>
        <d v="2023-03-24T00:00:00" u="1"/>
        <d v="2023-03-25T00:00:00" u="1"/>
        <d v="2023-03-29T00:00:00" u="1"/>
        <d v="2023-03-30T00:00:00" u="1"/>
        <d v="2023-04-03T00:00:00" u="1"/>
        <d v="2023-04-04T00:00:00" u="1"/>
        <d v="2023-04-06T00:00:00" u="1"/>
        <d v="2023-04-07T00:00:00" u="1"/>
        <d v="2023-04-09T00:00:00" u="1"/>
        <d v="2023-04-10T00:00:00" u="1"/>
        <d v="2023-04-12T00:00:00" u="1"/>
        <d v="2023-04-13T00:00:00" u="1"/>
        <d v="2023-04-17T00:00:00" u="1"/>
        <d v="2023-04-18T00:00:00" u="1"/>
        <d v="2023-04-20T00:00:00" u="1"/>
        <d v="2023-04-21T00:00:00" u="1"/>
        <d v="2023-04-22T00:00:00" u="1"/>
        <d v="2023-04-23T00:00:00" u="1"/>
        <d v="2023-04-25T00:00:00" u="1"/>
        <d v="2023-04-27T00:00:00" u="1"/>
        <d v="2023-04-30T00:00:00" u="1"/>
        <d v="2023-05-01T00:00:00" u="1"/>
        <d v="2023-05-02T00:00:00" u="1"/>
        <d v="2023-05-04T00:00:00" u="1"/>
        <d v="2023-05-05T00:00:00" u="1"/>
        <d v="2023-05-08T00:00:00" u="1"/>
        <d v="2023-05-09T00:00:00" u="1"/>
        <d v="2023-05-10T00:00:00" u="1"/>
        <d v="2023-05-15T00:00:00" u="1"/>
        <d v="2023-05-16T00:00:00" u="1"/>
        <d v="2023-05-18T00:00:00" u="1"/>
        <d v="2023-05-19T00:00:00" u="1"/>
        <d v="2023-05-21T00:00:00" u="1"/>
        <d v="2023-05-22T00:00:00" u="1"/>
        <d v="2023-05-23T00:00:00" u="1"/>
        <d v="2023-05-24T00:00:00" u="1"/>
        <d v="2023-05-29T00:00:00" u="1"/>
        <d v="2023-05-30T00:00:00" u="1"/>
        <d v="2023-06-01T00:00:00" u="1"/>
        <d v="2023-06-02T00:00:00" u="1"/>
        <d v="2023-06-03T00:00:00" u="1"/>
        <d v="2023-06-04T00:00:00" u="1"/>
        <d v="2023-06-05T00:00:00" u="1"/>
        <d v="2023-06-07T00:00:00" u="1"/>
        <d v="2023-06-08T00:00:00" u="1"/>
        <d v="2023-06-11T00:00:00" u="1"/>
        <d v="2023-06-12T00:00:00" u="1"/>
        <d v="2023-06-13T00:00:00" u="1"/>
        <d v="2023-06-15T00:00:00" u="1"/>
        <d v="2023-06-16T00:00:00" u="1"/>
        <d v="2023-06-17T00:00:00" u="1"/>
        <d v="2023-06-20T00:00:00" u="1"/>
        <d v="2023-06-25T00:00:00" u="1"/>
        <d v="2023-06-26T00:00:00" u="1"/>
        <d v="2023-06-27T00:00:00" u="1"/>
        <d v="2023-06-29T00:00:00" u="1"/>
        <d v="2023-06-30T00:00:00" u="1"/>
        <d v="2023-07-01T00:00:00" u="1"/>
        <d v="2023-07-02T00:00:00" u="1"/>
        <d v="2023-07-05T00:00:00" u="1"/>
        <d v="2023-07-10T00:00:00" u="1"/>
        <d v="2023-07-11T00:00:00" u="1"/>
        <d v="2023-07-13T00:00:00" u="1"/>
        <d v="2023-07-14T00:00:00" u="1"/>
        <d v="2023-07-15T00:00:00" u="1"/>
        <d v="2023-07-17T00:00:00" u="1"/>
        <d v="2023-07-19T00:00:00" u="1"/>
        <d v="2023-07-23T00:00:00" u="1"/>
        <d v="2023-07-25T00:00:00" u="1"/>
        <d v="2023-07-27T00:00:00" u="1"/>
        <d v="2023-07-28T00:00:00" u="1"/>
        <d v="2023-07-31T00:00:00" u="1"/>
        <d v="2023-08-01T00:00:00" u="1"/>
        <d v="2023-08-02T00:00:00" u="1"/>
        <d v="2023-08-03T00:00:00" u="1"/>
        <d v="2023-08-06T00:00:00" u="1"/>
        <d v="2023-08-07T00:00:00" u="1"/>
        <d v="2023-08-08T00:00:00" u="1"/>
        <d v="2023-08-11T00:00:00" u="1"/>
        <d v="2023-08-12T00:00:00" u="1"/>
        <d v="2023-08-13T00:00:00" u="1"/>
        <d v="2023-08-14T00:00:00" u="1"/>
        <d v="2023-08-15T00:00:00" u="1"/>
        <d v="2023-08-16T00:00:00" u="1"/>
        <d v="2023-08-17T00:00:00" u="1"/>
        <d v="2023-08-20T00:00:00" u="1"/>
        <d v="2023-08-21T00:00:00" u="1"/>
        <d v="2023-08-22T00:00:00" u="1"/>
        <d v="2023-08-24T00:00:00" u="1"/>
        <d v="2023-08-25T00:00:00" u="1"/>
        <d v="2023-08-27T00:00:00" u="1"/>
        <d v="2023-08-28T00:00:00" u="1"/>
        <d v="2023-08-29T00:00:00" u="1"/>
        <d v="2023-08-30T00:00:00" u="1"/>
        <d v="2023-08-31T00:00:00" u="1"/>
        <d v="2023-09-04T00:00:00" u="1"/>
        <d v="2023-09-07T00:00:00" u="1"/>
        <d v="2023-09-08T00:00:00" u="1"/>
        <d v="2023-09-09T00:00:00" u="1"/>
        <d v="2023-09-10T00:00:00" u="1"/>
        <d v="2023-09-11T00:00:00" u="1"/>
        <d v="2023-09-13T00:00:00" u="1"/>
        <d v="2023-09-14T00:00:00" u="1"/>
        <d v="2023-09-17T00:00:00" u="1"/>
        <d v="2023-09-18T00:00:00" u="1"/>
        <d v="2023-09-19T00:00:00" u="1"/>
        <d v="2023-09-22T00:00:00" u="1"/>
        <d v="2023-09-26T00:00:00" u="1"/>
        <d v="2023-09-27T00:00:00" u="1"/>
        <d v="2023-09-28T00:00:00" u="1"/>
        <d v="2023-10-01T00:00:00" u="1"/>
        <d v="2023-10-02T00:00:00" u="1"/>
        <d v="2023-10-03T00:00:00" u="1"/>
        <d v="2023-10-06T00:00:00" u="1"/>
        <d v="2023-10-08T00:00:00" u="1"/>
        <d v="2023-10-09T00:00:00" u="1"/>
        <d v="2023-10-10T00:00:00" u="1"/>
        <d v="2023-10-11T00:00:00" u="1"/>
        <d v="2023-10-16T00:00:00" u="1"/>
        <d v="2023-10-17T00:00:00" u="1"/>
        <d v="2023-10-19T00:00:00" u="1"/>
        <d v="2023-10-20T00:00:00" u="1"/>
        <d v="2023-10-26T00:00:00" u="1"/>
        <d v="2023-10-30T00:00:00" u="1"/>
        <d v="2023-10-31T00:00:00" u="1"/>
        <d v="2023-11-02T00:00:00" u="1"/>
        <d v="2023-11-03T00:00:00" u="1"/>
        <d v="2023-11-04T00:00:00" u="1"/>
        <d v="2023-11-06T00:00:00" u="1"/>
        <d v="2023-11-13T00:00:00" u="1"/>
        <d v="2023-11-14T00:00:00" u="1"/>
        <d v="2023-11-16T00:00:00" u="1"/>
        <d v="2023-11-17T00:00:00" u="1"/>
        <d v="2023-11-19T00:00:00" u="1"/>
        <d v="2023-11-20T00:00:00" u="1"/>
        <d v="2023-11-21T00:00:00" u="1"/>
        <d v="2023-11-22T00:00:00" u="1"/>
        <d v="2023-11-23T00:00:00" u="1"/>
        <d v="2023-11-26T00:00:00" u="1"/>
        <d v="2023-11-27T00:00:00" u="1"/>
        <d v="2023-11-30T00:00:00" u="1"/>
        <d v="2023-12-01T00:00:00" u="1"/>
        <d v="2023-12-03T00:00:00" u="1"/>
        <d v="2023-12-05T00:00:00" u="1"/>
        <d v="2023-12-12T00:00:00" u="1"/>
        <d v="2023-12-16T00:00:00" u="1"/>
        <d v="2023-12-20T00:00:00" u="1"/>
        <d v="2023-12-26T00:00:00" u="1"/>
        <d v="2023-12-28T00:00:00" u="1"/>
        <d v="2023-12-30T00:00:00" u="1"/>
        <d v="2024-01-01T00:00:00" u="1"/>
        <d v="2024-01-08T00:00:00" u="1"/>
        <d v="2024-01-12T00:00:00" u="1"/>
        <d v="2024-01-15T00:00:00" u="1"/>
        <d v="2024-01-17T00:00:00" u="1"/>
        <d v="2024-01-21T00:00:00" u="1"/>
        <d v="2024-01-22T00:00:00" u="1"/>
        <d v="2024-01-26T00:00:00" u="1"/>
        <d v="2024-01-27T00:00:00" u="1"/>
        <d v="2024-01-29T00:00:00" u="1"/>
        <d v="2024-01-30T00:00:00" u="1"/>
        <d v="2024-01-31T00:00:00" u="1"/>
        <d v="2024-02-01T00:00:00" u="1"/>
        <d v="2024-02-04T00:00:00" u="1"/>
        <d v="2024-02-05T00:00:00" u="1"/>
        <d v="2024-02-06T00:00:00" u="1"/>
        <d v="2024-02-09T00:00:00" u="1"/>
        <d v="2024-02-10T00:00:00" u="1"/>
        <d v="2024-02-14T00:00:00" u="1"/>
        <d v="2024-02-15T00:00:00" u="1"/>
        <d v="2024-02-19T00:00:00" u="1"/>
        <d v="2024-02-23T00:00:00" u="1"/>
        <d v="2024-02-27T00:00:00" u="1"/>
        <d v="2024-02-28T00:00:00" u="1"/>
        <d v="2024-03-04T00:00:00" u="1"/>
        <d v="2024-03-05T00:00:00" u="1"/>
        <d v="2024-03-07T00:00:00" u="1"/>
        <d v="2024-03-08T00:00:00" u="1"/>
        <d v="2024-03-10T00:00:00" u="1"/>
        <d v="2024-03-11T00:00:00" u="1"/>
        <d v="2024-03-13T00:00:00" u="1"/>
        <d v="2024-03-14T00:00:00" u="1"/>
        <d v="2024-03-18T00:00:00" u="1"/>
        <d v="2024-03-19T00:00:00" u="1"/>
        <d v="2024-03-22T00:00:00" u="1"/>
        <d v="2024-03-23T00:00:00" u="1"/>
        <d v="2024-03-25T00:00:00" u="1"/>
        <d v="2024-03-26T00:00:00" u="1"/>
        <d v="2024-03-27T00:00:00" u="1"/>
        <d v="2024-03-28T00:00:00" u="1"/>
        <d v="2024-03-31T00:00:00" u="1"/>
        <d v="2024-04-01T00:00:00" u="1"/>
        <d v="2024-04-02T00:00:00" u="1"/>
        <d v="2024-04-04T00:00:00" u="1"/>
        <d v="2024-04-05T00:00:00" u="1"/>
        <d v="2024-04-06T00:00:00" u="1"/>
        <d v="2024-04-07T00:00:00" u="1"/>
        <d v="2024-04-08T00:00:00" u="1"/>
        <d v="2024-04-09T00:00:00" u="1"/>
        <d v="2024-04-10T00:00:00" u="1"/>
        <d v="2024-04-14T00:00:00" u="1"/>
        <d v="2024-04-15T00:00:00" u="1"/>
        <d v="2024-04-16T00:00:00" u="1"/>
        <d v="2024-04-18T00:00:00" u="1"/>
        <d v="2024-04-19T00:00:00" u="1"/>
        <d v="2024-04-21T00:00:00" u="1"/>
        <d v="2024-04-24T00:00:00" u="1"/>
        <d v="2024-04-29T00:00:00" u="1"/>
        <d v="2024-04-30T00:00:00" u="1"/>
        <d v="2024-05-02T00:00:00" u="1"/>
        <d v="2024-05-03T00:00:00" u="1"/>
        <d v="2024-05-04T00:00:00" u="1"/>
        <d v="2024-05-05T00:00:00" u="1"/>
        <d v="2024-05-07T00:00:00" u="1"/>
        <d v="2024-05-09T00:00:00" u="1"/>
        <d v="2024-05-13T00:00:00" u="1"/>
        <d v="2024-05-14T00:00:00" u="1"/>
        <d v="2024-05-16T00:00:00" u="1"/>
        <d v="2024-05-17T00:00:00" u="1"/>
        <d v="2024-05-18T00:00:00" u="1"/>
        <d v="2024-05-20T00:00:00" u="1"/>
        <d v="2024-05-21T00:00:00" u="1"/>
        <d v="2024-05-22T00:00:00" u="1"/>
        <d v="2024-05-23T00:00:00" u="1"/>
        <d v="2024-05-28T00:00:00" u="1"/>
        <d v="2024-05-30T00:00:00" u="1"/>
        <d v="2024-05-31T00:00:00" u="1"/>
        <d v="2024-06-02T00:00:00" u="1"/>
        <d v="2024-06-03T00:00:00" u="1"/>
        <d v="2024-06-04T00:00:00" u="1"/>
        <d v="2024-06-05T00:00:00" u="1"/>
        <d v="2024-06-10T00:00:00" u="1"/>
        <d v="2024-06-11T00:00:00" u="1"/>
        <d v="2024-06-13T00:00:00" u="1"/>
        <d v="2024-06-14T00:00:00" u="1"/>
        <d v="2024-06-17T00:00:00" u="1"/>
        <d v="2024-06-18T00:00:00" u="1"/>
        <d v="2024-06-19T00:00:00" u="1"/>
        <d v="2024-06-20T00:00:00" u="1"/>
        <d v="2024-06-25T00:00:00" u="1"/>
        <d v="2024-06-27T00:00:00" u="1"/>
        <d v="2024-06-28T00:00:00" u="1"/>
        <d v="2024-07-01T00:00:00" u="1"/>
        <d v="2024-07-07T00:00:00" u="1"/>
        <d v="2024-07-08T00:00:00" u="1"/>
        <d v="2024-07-09T00:00:00" u="1"/>
        <d v="2024-07-11T00:00:00" u="1"/>
        <d v="2024-07-12T00:00:00" u="1"/>
        <d v="2024-07-13T00:00:00" u="1"/>
        <d v="2024-07-15T00:00:00" u="1"/>
        <d v="2024-07-16T00:00:00" u="1"/>
        <d v="2024-07-17T00:00:00" u="1"/>
        <d v="2024-07-22T00:00:00" u="1"/>
        <d v="2024-07-25T00:00:00" u="1"/>
        <d v="2024-07-26T00:00:00" u="1"/>
        <d v="2024-07-29T00:00:00" u="1"/>
        <d v="2024-07-31T00:00:00" u="1"/>
        <d v="2024-08-01T00:00:00" u="1"/>
        <d v="2024-08-08T00:00:00" u="1"/>
        <d v="2024-08-09T00:00:00" u="1"/>
        <d v="2024-08-10T00:00:00" u="1"/>
        <d v="2024-08-12T00:00:00" u="1"/>
        <d v="2024-08-13T00:00:00" u="1"/>
        <d v="2024-08-15T00:00:00" u="1"/>
        <d v="2024-08-19T00:00:00" u="1"/>
        <d v="2024-08-20T00:00:00" u="1"/>
        <d v="2024-08-22T00:00:00" u="1"/>
        <d v="2024-08-23T00:00:00" u="1"/>
        <d v="2024-08-27T00:00:00" u="1"/>
        <d v="2024-08-28T00:00:00" u="1"/>
        <d v="2024-08-29T00:00:00" u="1"/>
        <d v="2024-09-02T00:00:00" u="1"/>
        <d v="2024-09-03T00:00:00" u="1"/>
        <d v="2024-09-05T00:00:00" u="1"/>
        <d v="2024-09-06T00:00:00" u="1"/>
        <d v="2024-09-10T00:00:00" u="1"/>
        <d v="2024-09-12T00:00:00" u="1"/>
        <d v="2024-09-15T00:00:00" u="1"/>
        <d v="2024-09-16T00:00:00" u="1"/>
        <d v="2024-09-17T00:00:00" u="1"/>
        <d v="2024-09-19T00:00:00" u="1"/>
        <d v="2024-09-20T00:00:00" u="1"/>
        <d v="2024-09-21T00:00:00" u="1"/>
        <d v="2024-09-24T00:00:00" u="1"/>
        <d v="2024-09-29T00:00:00" u="1"/>
        <d v="2024-09-30T00:00:00" u="1"/>
        <d v="2024-10-01T00:00:00" u="1"/>
        <d v="2024-10-03T00:00:00" u="1"/>
        <d v="2024-10-04T00:00:00" u="1"/>
        <d v="2024-10-07T00:00:00" u="1"/>
        <d v="2024-10-10T00:00:00" u="1"/>
        <d v="2024-10-13T00:00:00" u="1"/>
        <d v="2024-10-15T00:00:00" u="1"/>
        <d v="2024-10-18T00:00:00" u="1"/>
        <d v="2024-10-19T00:00:00" u="1"/>
        <d v="2024-10-21T00:00:00" u="1"/>
        <d v="2024-10-23T00:00:00" u="1"/>
        <d v="2024-10-28T00:00:00" u="1"/>
        <d v="2024-11-01T00:00:00" u="1"/>
        <d v="2024-11-02T00:00:00" u="1"/>
        <d v="2024-11-04T00:00:00" u="1"/>
        <d v="2024-11-05T00:00:00" u="1"/>
        <d v="2024-11-06T00:00:00" u="1"/>
        <d v="2024-11-10T00:00:00" u="1"/>
        <d v="2024-11-11T00:00:00" u="1"/>
        <d v="2024-11-14T00:00:00" u="1"/>
        <d v="2024-11-15T00:00:00" u="1"/>
        <d v="2024-11-16T00:00:00" u="1"/>
        <d v="2024-11-17T00:00:00" u="1"/>
        <d v="2024-11-18T00:00:00" u="1"/>
        <d v="2024-11-19T00:00:00" u="1"/>
        <d v="2024-11-20T00:00:00" u="1"/>
        <d v="2024-11-21T00:00:00" u="1"/>
        <d v="2024-11-25T00:00:00" u="1"/>
        <d v="2024-11-26T00:00:00" u="1"/>
        <d v="2024-11-29T00:00:00" u="1"/>
        <d v="2024-12-01T00:00:00" u="1"/>
        <d v="2024-12-02T00:00:00" u="1"/>
        <d v="2024-12-04T00:00:00" u="1"/>
        <d v="2024-12-05T00:00:00" u="1"/>
        <d v="2024-12-09T00:00:00" u="1"/>
        <d v="2024-12-10T00:00:00" u="1"/>
        <d v="2024-12-12T00:00:00" u="1"/>
        <d v="2024-12-13T00:00:00" u="1"/>
        <d v="2024-12-27T00:00:00" u="1"/>
        <d v="2024-06-01T00:00:00" u="1"/>
        <d v="2024-06-15T00:00:00" u="1"/>
        <d v="2024-06-24T00:00:00" u="1"/>
        <d v="2024-06-29T00:00:00" u="1"/>
        <d v="2024-06-30T00:00:00" u="1"/>
        <d v="2024-07-27T00:00:00" u="1"/>
        <d v="2024-08-24T00:00:00" u="1"/>
        <d v="2024-09-07T00:00:00" u="1"/>
        <d v="2024-09-25T00:00:00" u="1"/>
        <d v="2024-10-05T00:00:00" u="1"/>
        <d v="2024-10-17T00:00:00" u="1"/>
        <d v="2024-11-30T00:00:00" u="1"/>
        <d v="2024-12-14T00:00:00" u="1"/>
        <d v="2024-12-26T00:00:00" u="1"/>
        <d v="2024-12-28T00:00:00" u="1"/>
        <d v="2024-12-30T00:00:00" u="1"/>
        <d v="2025-01-06T00:00:00" u="1"/>
        <d v="2025-01-11T00:00:00" u="1"/>
        <d v="2025-01-21T00:00:00" u="1"/>
        <d v="2025-01-25T00:00:00" u="1"/>
        <d v="2025-02-08T00:00:00" u="1"/>
        <d v="2025-02-18T00:00:00" u="1"/>
        <d v="2025-02-22T00:00:00" u="1"/>
        <d v="2025-03-08T00:00:00" u="1"/>
        <d v="2025-03-22T00:00:00" u="1"/>
        <d v="2025-03-26T00:00:00" u="1"/>
        <d v="2025-04-05T00:00:00" u="1"/>
        <d v="2025-04-15T00:00:00" u="1"/>
        <d v="2025-04-19T00:00:00" u="1"/>
        <d v="2025-04-29T00:00:00" u="1"/>
        <d v="2025-05-03T00:00:00" u="1"/>
        <d v="2025-05-17T00:00:00" u="1"/>
        <d v="2025-05-30T00:00:00" u="1"/>
        <d v="2025-05-31T00:00:00" u="1"/>
        <d v="2025-06-14T00:00:00" u="1"/>
        <d v="2025-06-27T00:00:00" u="1"/>
        <d v="2025-06-28T00:00:00" u="1"/>
        <d v="2025-07-12T00:00:00" u="1"/>
        <d v="2017-01-15T00:00:00" u="1"/>
        <d v="2017-01-29T00:00:00" u="1"/>
        <d v="2017-02-12T00:00:00" u="1"/>
        <d v="2017-02-26T00:00:00" u="1"/>
        <d v="2017-03-12T00:00:00" u="1"/>
        <d v="2017-03-26T00:00:00" u="1"/>
        <d v="2017-04-09T00:00:00" u="1"/>
        <d v="2017-04-23T00:00:00" u="1"/>
        <d v="2017-05-07T00:00:00" u="1"/>
        <d v="2017-05-21T00:00:00" u="1"/>
        <d v="2017-06-04T00:00:00" u="1"/>
        <d v="2017-06-18T00:00:00" u="1"/>
        <d v="2017-07-02T00:00:00" u="1"/>
        <d v="2018-05-20T00:00:00" u="1"/>
        <d v="2018-06-03T00:00:00" u="1"/>
        <d v="2018-06-17T00:00:00" u="1"/>
        <d v="2018-07-01T00:00:00" u="1"/>
        <d v="2018-07-15T00:00:00" u="1"/>
        <d v="2018-07-29T00:00:00" u="1"/>
        <d v="2018-08-12T00:00:00" u="1"/>
        <d v="2018-08-26T00:00:00" u="1"/>
        <d v="2018-09-09T00:00:00" u="1"/>
        <d v="2018-09-23T00:00:00" u="1"/>
        <d v="2018-10-07T00:00:00" u="1"/>
        <d v="2018-10-21T00:00:00" u="1"/>
        <d v="2018-11-04T00:00:00" u="1"/>
        <d v="2018-11-18T00:00:00" u="1"/>
        <d v="2018-12-02T00:00:00" u="1"/>
        <d v="2018-12-16T00:00:00" u="1"/>
        <d v="2018-12-30T00:00:00" u="1"/>
        <d v="2019-01-13T00:00:00" u="1"/>
        <d v="2019-01-27T00:00:00" u="1"/>
        <d v="2019-02-10T00:00:00" u="1"/>
        <d v="2019-02-24T00:00:00" u="1"/>
        <d v="2019-03-10T00:00:00" u="1"/>
        <d v="2019-03-24T00:00:00" u="1"/>
        <d v="2019-04-07T00:00:00" u="1"/>
        <d v="2019-04-21T00:00:00" u="1"/>
        <d v="2019-05-05T00:00:00" u="1"/>
        <d v="2019-05-19T00:00:00" u="1"/>
        <d v="2019-06-02T00:00:00" u="1"/>
        <d v="2019-06-16T00:00:00" u="1"/>
        <d v="2019-06-30T00:00:00" u="1"/>
        <d v="2019-07-14T00:00:00" u="1"/>
        <d v="2019-07-28T00:00:00" u="1"/>
        <d v="2019-08-11T00:00:00" u="1"/>
        <d v="2019-08-25T00:00:00" u="1"/>
        <d v="2019-09-08T00:00:00" u="1"/>
        <d v="2019-09-22T00:00:00" u="1"/>
        <d v="2019-10-06T00:00:00" u="1"/>
        <d v="2019-10-20T00:00:00" u="1"/>
        <d v="2019-11-03T00:00:00" u="1"/>
        <d v="2019-11-17T00:00:00" u="1"/>
        <d v="2019-12-01T00:00:00" u="1"/>
        <d v="2019-12-15T00:00:00" u="1"/>
        <d v="2019-12-29T00:00:00" u="1"/>
        <d v="2020-01-12T00:00:00" u="1"/>
        <d v="2020-01-26T00:00:00" u="1"/>
        <d v="2020-02-09T00:00:00" u="1"/>
        <d v="2020-02-23T00:00:00" u="1"/>
        <d v="2020-03-08T00:00:00" u="1"/>
        <d v="2020-03-22T00:00:00" u="1"/>
        <d v="2020-04-05T00:00:00" u="1"/>
        <d v="2020-04-19T00:00:00" u="1"/>
        <d v="2020-05-03T00:00:00" u="1"/>
        <d v="2020-05-17T00:00:00" u="1"/>
        <d v="2020-05-31T00:00:00" u="1"/>
        <d v="2020-06-14T00:00:00" u="1"/>
        <d v="2020-06-28T00:00:00" u="1"/>
        <d v="2020-07-12T00:00:00" u="1"/>
        <d v="2020-07-26T00:00:00" u="1"/>
        <d v="2020-08-09T00:00:00" u="1"/>
        <d v="2020-08-23T00:00:00" u="1"/>
        <d v="2020-09-06T00:00:00" u="1"/>
        <d v="2020-09-20T00:00:00" u="1"/>
        <d v="2020-10-04T00:00:00" u="1"/>
        <d v="2020-10-18T00:00:00" u="1"/>
        <d v="2020-11-01T00:00:00" u="1"/>
        <d v="2020-11-15T00:00:00" u="1"/>
        <d v="2020-11-29T00:00:00" u="1"/>
        <d v="2020-12-13T00:00:00" u="1"/>
        <d v="2020-12-27T00:00:00" u="1"/>
        <d v="2021-01-10T00:00:00" u="1"/>
        <d v="2021-02-07T00:00:00" u="1"/>
        <d v="2021-02-21T00:00:00" u="1"/>
        <d v="2021-03-07T00:00:00" u="1"/>
        <d v="2021-03-21T00:00:00" u="1"/>
        <d v="2021-04-04T00:00:00" u="1"/>
        <d v="2021-04-18T00:00:00" u="1"/>
        <d v="2021-05-02T00:00:00" u="1"/>
        <d v="2021-05-16T00:00:00" u="1"/>
        <d v="2021-05-30T00:00:00" u="1"/>
        <d v="2021-06-13T00:00:00" u="1"/>
        <d v="2021-06-27T00:00:00" u="1"/>
        <d v="2021-07-11T00:00:00" u="1"/>
        <d v="2021-07-25T00:00:00" u="1"/>
        <d v="2021-08-08T00:00:00" u="1"/>
        <d v="2021-08-22T00:00:00" u="1"/>
        <d v="2021-09-05T00:00:00" u="1"/>
        <d v="2021-09-19T00:00:00" u="1"/>
        <d v="2021-10-03T00:00:00" u="1"/>
        <d v="2021-10-17T00:00:00" u="1"/>
        <d v="2021-10-31T00:00:00" u="1"/>
        <d v="2021-11-14T00:00:00" u="1"/>
        <d v="2021-11-28T00:00:00" u="1"/>
        <d v="2021-12-12T00:00:00" u="1"/>
        <d v="2021-12-26T00:00:00" u="1"/>
        <d v="2022-01-09T00:00:00" u="1"/>
        <d v="2022-01-23T00:00:00" u="1"/>
        <d v="2022-02-06T00:00:00" u="1"/>
        <d v="2022-02-20T00:00:00" u="1"/>
        <d v="2022-03-06T00:00:00" u="1"/>
        <d v="2022-03-20T00:00:00" u="1"/>
        <d v="2022-04-03T00:00:00" u="1"/>
        <d v="2022-04-17T00:00:00" u="1"/>
        <d v="2022-05-01T00:00:00" u="1"/>
        <d v="2022-05-15T00:00:00" u="1"/>
        <d v="2022-05-29T00:00:00" u="1"/>
        <d v="2022-06-12T00:00:00" u="1"/>
        <d v="2022-06-26T00:00:00" u="1"/>
        <d v="2022-07-10T00:00:00" u="1"/>
        <d v="2022-07-24T00:00:00" u="1"/>
        <d v="2022-08-07T00:00:00" u="1"/>
        <d v="2022-08-21T00:00:00" u="1"/>
        <d v="2022-09-04T00:00:00" u="1"/>
        <d v="2022-09-18T00:00:00" u="1"/>
        <d v="2022-10-02T00:00:00" u="1"/>
        <d v="2022-10-16T00:00:00" u="1"/>
        <d v="2022-10-30T00:00:00" u="1"/>
        <d v="2022-11-13T00:00:00" u="1"/>
        <d v="2022-11-27T00:00:00" u="1"/>
        <d v="2022-12-11T00:00:00" u="1"/>
        <d v="2022-12-25T00:00:00" u="1"/>
        <d v="2023-01-08T00:00:00" u="1"/>
        <d v="2023-02-05T00:00:00" u="1"/>
        <d v="2023-02-19T00:00:00" u="1"/>
        <d v="2023-03-05T00:00:00" u="1"/>
        <d v="2023-03-19T00:00:00" u="1"/>
        <d v="2023-04-02T00:00:00" u="1"/>
        <d v="2023-04-16T00:00:00" u="1"/>
        <d v="2023-05-14T00:00:00" u="1"/>
        <d v="2023-05-28T00:00:00" u="1"/>
        <d v="2023-07-09T00:00:00" u="1"/>
        <d v="2023-09-03T00:00:00" u="1"/>
        <d v="2023-10-15T00:00:00" u="1"/>
        <d v="2023-10-29T00:00:00" u="1"/>
        <d v="2023-11-12T00:00:00" u="1"/>
        <d v="2023-12-10T00:00:00" u="1"/>
        <d v="2023-12-24T00:00:00" u="1"/>
        <d v="2024-01-07T00:00:00" u="1"/>
        <d v="2024-02-18T00:00:00" u="1"/>
        <d v="2024-03-03T00:00:00" u="1"/>
        <d v="2024-03-17T00:00:00" u="1"/>
        <d v="2024-04-28T00:00:00" u="1"/>
        <d v="2024-05-12T00:00:00" u="1"/>
        <d v="2024-05-26T00:00:00" u="1"/>
        <d v="2024-06-09T00:00:00" u="1"/>
        <d v="2024-06-23T00:00:00" u="1"/>
        <d v="2024-07-21T00:00:00" u="1"/>
        <d v="2024-08-04T00:00:00" u="1"/>
        <d v="2024-08-18T00:00:00" u="1"/>
        <d v="2024-09-01T00:00:00" u="1"/>
        <d v="2024-10-27T00:00:00" u="1"/>
      </sharedItems>
    </cacheField>
    <cacheField name="Employees" numFmtId="0">
      <sharedItems containsSemiMixedTypes="0" containsString="0" containsNumber="1" containsInteger="1" minValue="1" maxValue="66"/>
    </cacheField>
    <cacheField name="Records" numFmtId="0">
      <sharedItems containsSemiMixedTypes="0" containsString="0" containsNumber="1" containsInteger="1" minValue="1" maxValue="1132"/>
    </cacheField>
    <cacheField name="Data" numFmtId="0">
      <sharedItems count="2">
        <s v="Pay Data"/>
        <s v="Time Dat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3">
  <r>
    <x v="0"/>
    <n v="1"/>
    <n v="2"/>
    <x v="0"/>
  </r>
  <r>
    <x v="1"/>
    <n v="1"/>
    <n v="1"/>
    <x v="0"/>
  </r>
  <r>
    <x v="2"/>
    <n v="1"/>
    <n v="16"/>
    <x v="1"/>
  </r>
  <r>
    <x v="3"/>
    <n v="1"/>
    <n v="4"/>
    <x v="0"/>
  </r>
  <r>
    <x v="4"/>
    <n v="1"/>
    <n v="24"/>
    <x v="1"/>
  </r>
  <r>
    <x v="5"/>
    <n v="1"/>
    <n v="1"/>
    <x v="0"/>
  </r>
  <r>
    <x v="6"/>
    <n v="1"/>
    <n v="20"/>
    <x v="1"/>
  </r>
  <r>
    <x v="7"/>
    <n v="1"/>
    <n v="1"/>
    <x v="0"/>
  </r>
  <r>
    <x v="8"/>
    <n v="1"/>
    <n v="20"/>
    <x v="1"/>
  </r>
  <r>
    <x v="9"/>
    <n v="1"/>
    <n v="2"/>
    <x v="0"/>
  </r>
  <r>
    <x v="10"/>
    <n v="1"/>
    <n v="7"/>
    <x v="1"/>
  </r>
  <r>
    <x v="11"/>
    <n v="1"/>
    <n v="2"/>
    <x v="1"/>
  </r>
  <r>
    <x v="12"/>
    <n v="1"/>
    <n v="3"/>
    <x v="0"/>
  </r>
  <r>
    <x v="13"/>
    <n v="1"/>
    <n v="18"/>
    <x v="1"/>
  </r>
  <r>
    <x v="14"/>
    <n v="1"/>
    <n v="4"/>
    <x v="0"/>
  </r>
  <r>
    <x v="15"/>
    <n v="1"/>
    <n v="16"/>
    <x v="1"/>
  </r>
  <r>
    <x v="16"/>
    <n v="1"/>
    <n v="2"/>
    <x v="0"/>
  </r>
  <r>
    <x v="17"/>
    <n v="1"/>
    <n v="14"/>
    <x v="1"/>
  </r>
  <r>
    <x v="18"/>
    <n v="1"/>
    <n v="2"/>
    <x v="0"/>
  </r>
  <r>
    <x v="19"/>
    <n v="1"/>
    <n v="20"/>
    <x v="1"/>
  </r>
  <r>
    <x v="20"/>
    <n v="1"/>
    <n v="1"/>
    <x v="0"/>
  </r>
  <r>
    <x v="21"/>
    <n v="1"/>
    <n v="18"/>
    <x v="1"/>
  </r>
  <r>
    <x v="22"/>
    <n v="1"/>
    <n v="4"/>
    <x v="0"/>
  </r>
  <r>
    <x v="23"/>
    <n v="1"/>
    <n v="21"/>
    <x v="1"/>
  </r>
  <r>
    <x v="24"/>
    <n v="1"/>
    <n v="4"/>
    <x v="0"/>
  </r>
  <r>
    <x v="25"/>
    <n v="1"/>
    <n v="18"/>
    <x v="1"/>
  </r>
  <r>
    <x v="26"/>
    <n v="1"/>
    <n v="4"/>
    <x v="0"/>
  </r>
  <r>
    <x v="27"/>
    <n v="1"/>
    <n v="21"/>
    <x v="1"/>
  </r>
  <r>
    <x v="28"/>
    <n v="1"/>
    <n v="2"/>
    <x v="0"/>
  </r>
  <r>
    <x v="29"/>
    <n v="1"/>
    <n v="22"/>
    <x v="1"/>
  </r>
  <r>
    <x v="30"/>
    <n v="1"/>
    <n v="2"/>
    <x v="0"/>
  </r>
  <r>
    <x v="31"/>
    <n v="1"/>
    <n v="19"/>
    <x v="1"/>
  </r>
  <r>
    <x v="32"/>
    <n v="1"/>
    <n v="2"/>
    <x v="0"/>
  </r>
  <r>
    <x v="33"/>
    <n v="1"/>
    <n v="20"/>
    <x v="1"/>
  </r>
  <r>
    <x v="34"/>
    <n v="1"/>
    <n v="4"/>
    <x v="0"/>
  </r>
  <r>
    <x v="35"/>
    <n v="1"/>
    <n v="19"/>
    <x v="1"/>
  </r>
  <r>
    <x v="36"/>
    <n v="1"/>
    <n v="4"/>
    <x v="0"/>
  </r>
  <r>
    <x v="37"/>
    <n v="1"/>
    <n v="18"/>
    <x v="1"/>
  </r>
  <r>
    <x v="38"/>
    <n v="1"/>
    <n v="12"/>
    <x v="0"/>
  </r>
  <r>
    <x v="39"/>
    <n v="1"/>
    <n v="14"/>
    <x v="1"/>
  </r>
  <r>
    <x v="40"/>
    <n v="27"/>
    <n v="114"/>
    <x v="0"/>
  </r>
  <r>
    <x v="41"/>
    <n v="1"/>
    <n v="23"/>
    <x v="1"/>
  </r>
  <r>
    <x v="42"/>
    <n v="34"/>
    <n v="82"/>
    <x v="0"/>
  </r>
  <r>
    <x v="43"/>
    <n v="1"/>
    <n v="22"/>
    <x v="1"/>
  </r>
  <r>
    <x v="44"/>
    <n v="34"/>
    <n v="133"/>
    <x v="0"/>
  </r>
  <r>
    <x v="45"/>
    <n v="1"/>
    <n v="22"/>
    <x v="1"/>
  </r>
  <r>
    <x v="46"/>
    <n v="35"/>
    <n v="86"/>
    <x v="0"/>
  </r>
  <r>
    <x v="47"/>
    <n v="1"/>
    <n v="20"/>
    <x v="1"/>
  </r>
  <r>
    <x v="48"/>
    <n v="36"/>
    <n v="117"/>
    <x v="0"/>
  </r>
  <r>
    <x v="49"/>
    <n v="1"/>
    <n v="20"/>
    <x v="1"/>
  </r>
  <r>
    <x v="50"/>
    <n v="36"/>
    <n v="95"/>
    <x v="0"/>
  </r>
  <r>
    <x v="51"/>
    <n v="1"/>
    <n v="20"/>
    <x v="1"/>
  </r>
  <r>
    <x v="52"/>
    <n v="38"/>
    <n v="125"/>
    <x v="0"/>
  </r>
  <r>
    <x v="53"/>
    <n v="1"/>
    <n v="20"/>
    <x v="1"/>
  </r>
  <r>
    <x v="54"/>
    <n v="38"/>
    <n v="100"/>
    <x v="0"/>
  </r>
  <r>
    <x v="55"/>
    <n v="1"/>
    <n v="20"/>
    <x v="1"/>
  </r>
  <r>
    <x v="56"/>
    <n v="39"/>
    <n v="127"/>
    <x v="0"/>
  </r>
  <r>
    <x v="57"/>
    <n v="1"/>
    <n v="21"/>
    <x v="1"/>
  </r>
  <r>
    <x v="58"/>
    <n v="42"/>
    <n v="145"/>
    <x v="0"/>
  </r>
  <r>
    <x v="59"/>
    <n v="7"/>
    <n v="108"/>
    <x v="1"/>
  </r>
  <r>
    <x v="60"/>
    <n v="43"/>
    <n v="135"/>
    <x v="0"/>
  </r>
  <r>
    <x v="61"/>
    <n v="8"/>
    <n v="138"/>
    <x v="1"/>
  </r>
  <r>
    <x v="62"/>
    <n v="42"/>
    <n v="195"/>
    <x v="0"/>
  </r>
  <r>
    <x v="63"/>
    <n v="9"/>
    <n v="179"/>
    <x v="1"/>
  </r>
  <r>
    <x v="64"/>
    <n v="37"/>
    <n v="86"/>
    <x v="0"/>
  </r>
  <r>
    <x v="65"/>
    <n v="10"/>
    <n v="176"/>
    <x v="1"/>
  </r>
  <r>
    <x v="66"/>
    <n v="39"/>
    <n v="151"/>
    <x v="0"/>
  </r>
  <r>
    <x v="67"/>
    <n v="11"/>
    <n v="204"/>
    <x v="1"/>
  </r>
  <r>
    <x v="68"/>
    <n v="43"/>
    <n v="107"/>
    <x v="0"/>
  </r>
  <r>
    <x v="69"/>
    <n v="9"/>
    <n v="188"/>
    <x v="1"/>
  </r>
  <r>
    <x v="70"/>
    <n v="46"/>
    <n v="149"/>
    <x v="0"/>
  </r>
  <r>
    <x v="71"/>
    <n v="10"/>
    <n v="197"/>
    <x v="1"/>
  </r>
  <r>
    <x v="72"/>
    <n v="46"/>
    <n v="156"/>
    <x v="0"/>
  </r>
  <r>
    <x v="73"/>
    <n v="12"/>
    <n v="224"/>
    <x v="1"/>
  </r>
  <r>
    <x v="74"/>
    <n v="43"/>
    <n v="138"/>
    <x v="0"/>
  </r>
  <r>
    <x v="75"/>
    <n v="12"/>
    <n v="235"/>
    <x v="1"/>
  </r>
  <r>
    <x v="76"/>
    <n v="47"/>
    <n v="148"/>
    <x v="0"/>
  </r>
  <r>
    <x v="77"/>
    <n v="15"/>
    <n v="260"/>
    <x v="1"/>
  </r>
  <r>
    <x v="78"/>
    <n v="49"/>
    <n v="161"/>
    <x v="0"/>
  </r>
  <r>
    <x v="79"/>
    <n v="18"/>
    <n v="271"/>
    <x v="1"/>
  </r>
  <r>
    <x v="80"/>
    <n v="50"/>
    <n v="153"/>
    <x v="0"/>
  </r>
  <r>
    <x v="81"/>
    <n v="17"/>
    <n v="291"/>
    <x v="1"/>
  </r>
  <r>
    <x v="82"/>
    <n v="51"/>
    <n v="165"/>
    <x v="0"/>
  </r>
  <r>
    <x v="83"/>
    <n v="16"/>
    <n v="319"/>
    <x v="1"/>
  </r>
  <r>
    <x v="84"/>
    <n v="52"/>
    <n v="199"/>
    <x v="0"/>
  </r>
  <r>
    <x v="85"/>
    <n v="17"/>
    <n v="330"/>
    <x v="1"/>
  </r>
  <r>
    <x v="86"/>
    <n v="53"/>
    <n v="158"/>
    <x v="0"/>
  </r>
  <r>
    <x v="87"/>
    <n v="16"/>
    <n v="324"/>
    <x v="1"/>
  </r>
  <r>
    <x v="88"/>
    <n v="55"/>
    <n v="186"/>
    <x v="0"/>
  </r>
  <r>
    <x v="89"/>
    <n v="18"/>
    <n v="342"/>
    <x v="1"/>
  </r>
  <r>
    <x v="90"/>
    <n v="57"/>
    <n v="178"/>
    <x v="0"/>
  </r>
  <r>
    <x v="91"/>
    <n v="19"/>
    <n v="379"/>
    <x v="1"/>
  </r>
  <r>
    <x v="92"/>
    <n v="56"/>
    <n v="220"/>
    <x v="0"/>
  </r>
  <r>
    <x v="93"/>
    <n v="31"/>
    <n v="405"/>
    <x v="1"/>
  </r>
  <r>
    <x v="94"/>
    <n v="59"/>
    <n v="153"/>
    <x v="0"/>
  </r>
  <r>
    <x v="95"/>
    <n v="38"/>
    <n v="669"/>
    <x v="1"/>
  </r>
  <r>
    <x v="96"/>
    <n v="60"/>
    <n v="182"/>
    <x v="0"/>
  </r>
  <r>
    <x v="97"/>
    <n v="40"/>
    <n v="722"/>
    <x v="1"/>
  </r>
  <r>
    <x v="98"/>
    <n v="62"/>
    <n v="137"/>
    <x v="0"/>
  </r>
  <r>
    <x v="99"/>
    <n v="40"/>
    <n v="778"/>
    <x v="1"/>
  </r>
  <r>
    <x v="100"/>
    <n v="61"/>
    <n v="179"/>
    <x v="0"/>
  </r>
  <r>
    <x v="101"/>
    <n v="41"/>
    <n v="709"/>
    <x v="1"/>
  </r>
  <r>
    <x v="102"/>
    <n v="58"/>
    <n v="138"/>
    <x v="0"/>
  </r>
  <r>
    <x v="103"/>
    <n v="34"/>
    <n v="685"/>
    <x v="1"/>
  </r>
  <r>
    <x v="104"/>
    <n v="60"/>
    <n v="194"/>
    <x v="0"/>
  </r>
  <r>
    <x v="105"/>
    <n v="34"/>
    <n v="711"/>
    <x v="1"/>
  </r>
  <r>
    <x v="106"/>
    <n v="60"/>
    <n v="182"/>
    <x v="0"/>
  </r>
  <r>
    <x v="107"/>
    <n v="33"/>
    <n v="659"/>
    <x v="1"/>
  </r>
  <r>
    <x v="108"/>
    <n v="61"/>
    <n v="196"/>
    <x v="0"/>
  </r>
  <r>
    <x v="109"/>
    <n v="33"/>
    <n v="698"/>
    <x v="1"/>
  </r>
  <r>
    <x v="110"/>
    <n v="65"/>
    <n v="189"/>
    <x v="0"/>
  </r>
  <r>
    <x v="111"/>
    <n v="66"/>
    <n v="933"/>
    <x v="1"/>
  </r>
  <r>
    <x v="112"/>
    <n v="64"/>
    <n v="183"/>
    <x v="0"/>
  </r>
  <r>
    <x v="113"/>
    <n v="53"/>
    <n v="1121"/>
    <x v="1"/>
  </r>
  <r>
    <x v="114"/>
    <n v="66"/>
    <n v="227"/>
    <x v="0"/>
  </r>
  <r>
    <x v="115"/>
    <n v="48"/>
    <n v="1041"/>
    <x v="1"/>
  </r>
  <r>
    <x v="116"/>
    <n v="60"/>
    <n v="118"/>
    <x v="0"/>
  </r>
  <r>
    <x v="117"/>
    <n v="49"/>
    <n v="1069"/>
    <x v="1"/>
  </r>
  <r>
    <x v="118"/>
    <n v="60"/>
    <n v="218"/>
    <x v="0"/>
  </r>
  <r>
    <x v="119"/>
    <n v="51"/>
    <n v="1094"/>
    <x v="1"/>
  </r>
  <r>
    <x v="120"/>
    <n v="58"/>
    <n v="166"/>
    <x v="0"/>
  </r>
  <r>
    <x v="121"/>
    <n v="49"/>
    <n v="1072"/>
    <x v="1"/>
  </r>
  <r>
    <x v="122"/>
    <n v="57"/>
    <n v="200"/>
    <x v="0"/>
  </r>
  <r>
    <x v="123"/>
    <n v="50"/>
    <n v="1105"/>
    <x v="1"/>
  </r>
  <r>
    <x v="124"/>
    <n v="55"/>
    <n v="150"/>
    <x v="0"/>
  </r>
  <r>
    <x v="125"/>
    <n v="49"/>
    <n v="1091"/>
    <x v="1"/>
  </r>
  <r>
    <x v="126"/>
    <n v="54"/>
    <n v="176"/>
    <x v="0"/>
  </r>
  <r>
    <x v="127"/>
    <n v="51"/>
    <n v="1026"/>
    <x v="1"/>
  </r>
  <r>
    <x v="128"/>
    <n v="56"/>
    <n v="216"/>
    <x v="0"/>
  </r>
  <r>
    <x v="129"/>
    <n v="48"/>
    <n v="1031"/>
    <x v="1"/>
  </r>
  <r>
    <x v="130"/>
    <n v="53"/>
    <n v="178"/>
    <x v="0"/>
  </r>
  <r>
    <x v="131"/>
    <n v="50"/>
    <n v="1092"/>
    <x v="1"/>
  </r>
  <r>
    <x v="132"/>
    <n v="51"/>
    <n v="173"/>
    <x v="0"/>
  </r>
  <r>
    <x v="133"/>
    <n v="50"/>
    <n v="1089"/>
    <x v="1"/>
  </r>
  <r>
    <x v="134"/>
    <n v="54"/>
    <n v="197"/>
    <x v="0"/>
  </r>
  <r>
    <x v="135"/>
    <n v="50"/>
    <n v="1078"/>
    <x v="1"/>
  </r>
  <r>
    <x v="136"/>
    <n v="54"/>
    <n v="208"/>
    <x v="0"/>
  </r>
  <r>
    <x v="137"/>
    <n v="50"/>
    <n v="1060"/>
    <x v="1"/>
  </r>
  <r>
    <x v="138"/>
    <n v="57"/>
    <n v="164"/>
    <x v="0"/>
  </r>
  <r>
    <x v="139"/>
    <n v="51"/>
    <n v="1086"/>
    <x v="1"/>
  </r>
  <r>
    <x v="140"/>
    <n v="55"/>
    <n v="189"/>
    <x v="0"/>
  </r>
  <r>
    <x v="141"/>
    <n v="50"/>
    <n v="1074"/>
    <x v="1"/>
  </r>
  <r>
    <x v="142"/>
    <n v="54"/>
    <n v="148"/>
    <x v="0"/>
  </r>
  <r>
    <x v="143"/>
    <n v="52"/>
    <n v="1075"/>
    <x v="1"/>
  </r>
  <r>
    <x v="144"/>
    <n v="57"/>
    <n v="235"/>
    <x v="0"/>
  </r>
  <r>
    <x v="145"/>
    <n v="52"/>
    <n v="1132"/>
    <x v="1"/>
  </r>
  <r>
    <x v="146"/>
    <n v="56"/>
    <n v="132"/>
    <x v="0"/>
  </r>
  <r>
    <x v="147"/>
    <n v="52"/>
    <n v="1062"/>
    <x v="1"/>
  </r>
  <r>
    <x v="148"/>
    <n v="55"/>
    <n v="189"/>
    <x v="0"/>
  </r>
  <r>
    <x v="149"/>
    <n v="49"/>
    <n v="1058"/>
    <x v="1"/>
  </r>
  <r>
    <x v="150"/>
    <n v="54"/>
    <n v="172"/>
    <x v="0"/>
  </r>
  <r>
    <x v="151"/>
    <n v="49"/>
    <n v="1044"/>
    <x v="1"/>
  </r>
  <r>
    <x v="152"/>
    <n v="51"/>
    <n v="162"/>
    <x v="0"/>
  </r>
  <r>
    <x v="153"/>
    <n v="47"/>
    <n v="1031"/>
    <x v="1"/>
  </r>
  <r>
    <x v="154"/>
    <n v="51"/>
    <n v="130"/>
    <x v="0"/>
  </r>
  <r>
    <x v="155"/>
    <n v="48"/>
    <n v="1032"/>
    <x v="1"/>
  </r>
  <r>
    <x v="156"/>
    <n v="53"/>
    <n v="174"/>
    <x v="0"/>
  </r>
  <r>
    <x v="157"/>
    <n v="48"/>
    <n v="1067"/>
    <x v="1"/>
  </r>
  <r>
    <x v="158"/>
    <n v="53"/>
    <n v="195"/>
    <x v="0"/>
  </r>
  <r>
    <x v="159"/>
    <n v="48"/>
    <n v="1037"/>
    <x v="1"/>
  </r>
  <r>
    <x v="160"/>
    <n v="52"/>
    <n v="177"/>
    <x v="0"/>
  </r>
  <r>
    <x v="161"/>
    <n v="48"/>
    <n v="1106"/>
    <x v="1"/>
  </r>
  <r>
    <x v="162"/>
    <n v="52"/>
    <n v="179"/>
    <x v="0"/>
  </r>
  <r>
    <x v="163"/>
    <n v="51"/>
    <n v="1078"/>
    <x v="1"/>
  </r>
  <r>
    <x v="164"/>
    <n v="51"/>
    <n v="121"/>
    <x v="0"/>
  </r>
  <r>
    <x v="165"/>
    <n v="50"/>
    <n v="1062"/>
    <x v="1"/>
  </r>
  <r>
    <x v="166"/>
    <n v="53"/>
    <n v="227"/>
    <x v="0"/>
  </r>
  <r>
    <x v="167"/>
    <n v="51"/>
    <n v="1029"/>
    <x v="1"/>
  </r>
  <r>
    <x v="168"/>
    <n v="51"/>
    <n v="141"/>
    <x v="0"/>
  </r>
  <r>
    <x v="169"/>
    <n v="49"/>
    <n v="1029"/>
    <x v="1"/>
  </r>
  <r>
    <x v="170"/>
    <n v="52"/>
    <n v="232"/>
    <x v="0"/>
  </r>
  <r>
    <x v="171"/>
    <n v="50"/>
    <n v="1040"/>
    <x v="1"/>
  </r>
  <r>
    <x v="172"/>
    <n v="1"/>
    <n v="3"/>
    <x v="0"/>
  </r>
  <r>
    <x v="173"/>
    <n v="49"/>
    <n v="126"/>
    <x v="0"/>
  </r>
  <r>
    <x v="174"/>
    <n v="47"/>
    <n v="1012"/>
    <x v="1"/>
  </r>
  <r>
    <x v="175"/>
    <n v="49"/>
    <n v="168"/>
    <x v="0"/>
  </r>
  <r>
    <x v="176"/>
    <n v="52"/>
    <n v="1000"/>
    <x v="1"/>
  </r>
  <r>
    <x v="177"/>
    <n v="46"/>
    <n v="130"/>
    <x v="0"/>
  </r>
  <r>
    <x v="178"/>
    <n v="49"/>
    <n v="1036"/>
    <x v="1"/>
  </r>
  <r>
    <x v="179"/>
    <n v="46"/>
    <n v="151"/>
    <x v="0"/>
  </r>
  <r>
    <x v="180"/>
    <n v="50"/>
    <n v="1012"/>
    <x v="1"/>
  </r>
  <r>
    <x v="181"/>
    <n v="50"/>
    <n v="207"/>
    <x v="0"/>
  </r>
  <r>
    <x v="182"/>
    <n v="51"/>
    <n v="964"/>
    <x v="1"/>
  </r>
  <r>
    <x v="183"/>
    <n v="50"/>
    <n v="157"/>
    <x v="0"/>
  </r>
  <r>
    <x v="184"/>
    <n v="48"/>
    <n v="996"/>
    <x v="1"/>
  </r>
  <r>
    <x v="185"/>
    <n v="48"/>
    <n v="136"/>
    <x v="0"/>
  </r>
  <r>
    <x v="186"/>
    <n v="50"/>
    <n v="950"/>
    <x v="1"/>
  </r>
  <r>
    <x v="187"/>
    <n v="48"/>
    <n v="158"/>
    <x v="0"/>
  </r>
  <r>
    <x v="188"/>
    <n v="50"/>
    <n v="944"/>
    <x v="1"/>
  </r>
  <r>
    <x v="189"/>
    <n v="48"/>
    <n v="169"/>
    <x v="0"/>
  </r>
  <r>
    <x v="190"/>
    <n v="49"/>
    <n v="1011"/>
    <x v="1"/>
  </r>
  <r>
    <x v="191"/>
    <n v="47"/>
    <n v="136"/>
    <x v="0"/>
  </r>
  <r>
    <x v="192"/>
    <n v="49"/>
    <n v="991"/>
    <x v="1"/>
  </r>
  <r>
    <x v="193"/>
    <n v="46"/>
    <n v="136"/>
    <x v="0"/>
  </r>
  <r>
    <x v="194"/>
    <n v="49"/>
    <n v="968"/>
    <x v="1"/>
  </r>
  <r>
    <x v="195"/>
    <n v="1"/>
    <n v="1"/>
    <x v="0"/>
  </r>
  <r>
    <x v="196"/>
    <n v="1"/>
    <n v="2"/>
    <x v="0"/>
  </r>
  <r>
    <x v="197"/>
    <n v="45"/>
    <n v="106"/>
    <x v="0"/>
  </r>
  <r>
    <x v="198"/>
    <n v="51"/>
    <n v="946"/>
    <x v="1"/>
  </r>
  <r>
    <x v="199"/>
    <n v="2"/>
    <n v="4"/>
    <x v="0"/>
  </r>
  <r>
    <x v="200"/>
    <n v="45"/>
    <n v="162"/>
    <x v="0"/>
  </r>
  <r>
    <x v="201"/>
    <n v="50"/>
    <n v="950"/>
    <x v="1"/>
  </r>
  <r>
    <x v="202"/>
    <n v="47"/>
    <n v="125"/>
    <x v="0"/>
  </r>
  <r>
    <x v="203"/>
    <n v="47"/>
    <n v="929"/>
    <x v="1"/>
  </r>
  <r>
    <x v="204"/>
    <n v="41"/>
    <n v="133"/>
    <x v="0"/>
  </r>
  <r>
    <x v="205"/>
    <n v="46"/>
    <n v="919"/>
    <x v="1"/>
  </r>
  <r>
    <x v="206"/>
    <n v="41"/>
    <n v="114"/>
    <x v="0"/>
  </r>
  <r>
    <x v="207"/>
    <n v="45"/>
    <n v="913"/>
    <x v="1"/>
  </r>
  <r>
    <x v="208"/>
    <n v="41"/>
    <n v="144"/>
    <x v="0"/>
  </r>
  <r>
    <x v="209"/>
    <n v="46"/>
    <n v="883"/>
    <x v="1"/>
  </r>
  <r>
    <x v="210"/>
    <n v="41"/>
    <n v="100"/>
    <x v="0"/>
  </r>
  <r>
    <x v="211"/>
    <n v="45"/>
    <n v="896"/>
    <x v="1"/>
  </r>
  <r>
    <x v="212"/>
    <n v="40"/>
    <n v="99"/>
    <x v="0"/>
  </r>
  <r>
    <x v="213"/>
    <n v="45"/>
    <n v="919"/>
    <x v="1"/>
  </r>
  <r>
    <x v="214"/>
    <n v="40"/>
    <n v="143"/>
    <x v="0"/>
  </r>
  <r>
    <x v="215"/>
    <n v="45"/>
    <n v="909"/>
    <x v="1"/>
  </r>
  <r>
    <x v="216"/>
    <n v="38"/>
    <n v="104"/>
    <x v="0"/>
  </r>
  <r>
    <x v="217"/>
    <n v="45"/>
    <n v="888"/>
    <x v="1"/>
  </r>
  <r>
    <x v="218"/>
    <n v="38"/>
    <n v="137"/>
    <x v="0"/>
  </r>
  <r>
    <x v="219"/>
    <n v="44"/>
    <n v="854"/>
    <x v="1"/>
  </r>
  <r>
    <x v="220"/>
    <n v="39"/>
    <n v="88"/>
    <x v="0"/>
  </r>
  <r>
    <x v="221"/>
    <n v="44"/>
    <n v="879"/>
    <x v="1"/>
  </r>
  <r>
    <x v="222"/>
    <n v="39"/>
    <n v="121"/>
    <x v="0"/>
  </r>
  <r>
    <x v="223"/>
    <n v="44"/>
    <n v="869"/>
    <x v="1"/>
  </r>
  <r>
    <x v="224"/>
    <n v="39"/>
    <n v="139"/>
    <x v="0"/>
  </r>
  <r>
    <x v="225"/>
    <n v="43"/>
    <n v="873"/>
    <x v="1"/>
  </r>
  <r>
    <x v="226"/>
    <n v="39"/>
    <n v="124"/>
    <x v="0"/>
  </r>
  <r>
    <x v="227"/>
    <n v="44"/>
    <n v="884"/>
    <x v="1"/>
  </r>
  <r>
    <x v="228"/>
    <n v="40"/>
    <n v="152"/>
    <x v="0"/>
  </r>
  <r>
    <x v="229"/>
    <n v="44"/>
    <n v="890"/>
    <x v="1"/>
  </r>
  <r>
    <x v="230"/>
    <n v="40"/>
    <n v="81"/>
    <x v="0"/>
  </r>
  <r>
    <x v="231"/>
    <n v="44"/>
    <n v="845"/>
    <x v="1"/>
  </r>
  <r>
    <x v="232"/>
    <n v="40"/>
    <n v="141"/>
    <x v="0"/>
  </r>
  <r>
    <x v="233"/>
    <n v="44"/>
    <n v="869"/>
    <x v="1"/>
  </r>
  <r>
    <x v="234"/>
    <n v="40"/>
    <n v="92"/>
    <x v="0"/>
  </r>
  <r>
    <x v="235"/>
    <n v="46"/>
    <n v="880"/>
    <x v="1"/>
  </r>
  <r>
    <x v="236"/>
    <n v="40"/>
    <n v="187"/>
    <x v="0"/>
  </r>
  <r>
    <x v="237"/>
    <n v="44"/>
    <n v="864"/>
    <x v="1"/>
  </r>
  <r>
    <x v="238"/>
    <n v="41"/>
    <n v="86"/>
    <x v="0"/>
  </r>
  <r>
    <x v="239"/>
    <n v="44"/>
    <n v="865"/>
    <x v="1"/>
  </r>
  <r>
    <x v="240"/>
    <n v="39"/>
    <n v="138"/>
    <x v="0"/>
  </r>
  <r>
    <x v="241"/>
    <n v="44"/>
    <n v="838"/>
    <x v="1"/>
  </r>
  <r>
    <x v="242"/>
    <n v="41"/>
    <n v="88"/>
    <x v="0"/>
  </r>
  <r>
    <x v="243"/>
    <n v="45"/>
    <n v="814"/>
    <x v="1"/>
  </r>
  <r>
    <x v="244"/>
    <n v="1"/>
    <n v="1"/>
    <x v="0"/>
  </r>
  <r>
    <x v="245"/>
    <n v="42"/>
    <n v="164"/>
    <x v="0"/>
  </r>
  <r>
    <x v="246"/>
    <n v="44"/>
    <n v="873"/>
    <x v="1"/>
  </r>
  <r>
    <x v="247"/>
    <n v="40"/>
    <n v="90"/>
    <x v="0"/>
  </r>
  <r>
    <x v="248"/>
    <n v="44"/>
    <n v="858"/>
    <x v="1"/>
  </r>
  <r>
    <x v="249"/>
    <n v="40"/>
    <n v="131"/>
    <x v="0"/>
  </r>
  <r>
    <x v="250"/>
    <n v="44"/>
    <n v="840"/>
    <x v="1"/>
  </r>
  <r>
    <x v="251"/>
    <n v="40"/>
    <n v="153"/>
    <x v="0"/>
  </r>
  <r>
    <x v="252"/>
    <n v="44"/>
    <n v="846"/>
    <x v="1"/>
  </r>
  <r>
    <x v="253"/>
    <n v="38"/>
    <n v="126"/>
    <x v="0"/>
  </r>
  <r>
    <x v="254"/>
    <n v="44"/>
    <n v="864"/>
    <x v="1"/>
  </r>
  <r>
    <x v="255"/>
    <n v="45"/>
    <n v="168"/>
    <x v="0"/>
  </r>
  <r>
    <x v="256"/>
    <n v="44"/>
    <n v="882"/>
    <x v="1"/>
  </r>
  <r>
    <x v="257"/>
    <n v="45"/>
    <n v="99"/>
    <x v="0"/>
  </r>
  <r>
    <x v="258"/>
    <n v="45"/>
    <n v="897"/>
    <x v="1"/>
  </r>
  <r>
    <x v="259"/>
    <n v="45"/>
    <n v="165"/>
    <x v="0"/>
  </r>
  <r>
    <x v="260"/>
    <n v="42"/>
    <n v="881"/>
    <x v="1"/>
  </r>
  <r>
    <x v="261"/>
    <n v="44"/>
    <n v="106"/>
    <x v="0"/>
  </r>
  <r>
    <x v="262"/>
    <n v="43"/>
    <n v="903"/>
    <x v="1"/>
  </r>
  <r>
    <x v="263"/>
    <n v="46"/>
    <n v="178"/>
    <x v="0"/>
  </r>
  <r>
    <x v="264"/>
    <n v="44"/>
    <n v="945"/>
    <x v="1"/>
  </r>
  <r>
    <x v="265"/>
    <n v="47"/>
    <n v="115"/>
    <x v="0"/>
  </r>
  <r>
    <x v="266"/>
    <n v="44"/>
    <n v="954"/>
    <x v="1"/>
  </r>
  <r>
    <x v="267"/>
    <n v="47"/>
    <n v="188"/>
    <x v="0"/>
  </r>
  <r>
    <x v="268"/>
    <n v="46"/>
    <n v="921"/>
    <x v="1"/>
  </r>
  <r>
    <x v="269"/>
    <n v="47"/>
    <n v="121"/>
    <x v="0"/>
  </r>
  <r>
    <x v="270"/>
    <n v="45"/>
    <n v="913"/>
    <x v="1"/>
  </r>
  <r>
    <x v="271"/>
    <n v="48"/>
    <n v="189"/>
    <x v="0"/>
  </r>
  <r>
    <x v="272"/>
    <n v="45"/>
    <n v="997"/>
    <x v="1"/>
  </r>
  <r>
    <x v="273"/>
    <n v="49"/>
    <n v="133"/>
    <x v="0"/>
  </r>
  <r>
    <x v="274"/>
    <n v="45"/>
    <n v="949"/>
    <x v="1"/>
  </r>
  <r>
    <x v="275"/>
    <n v="48"/>
    <n v="153"/>
    <x v="0"/>
  </r>
  <r>
    <x v="276"/>
    <n v="45"/>
    <n v="996"/>
    <x v="1"/>
  </r>
  <r>
    <x v="277"/>
    <n v="48"/>
    <n v="174"/>
    <x v="0"/>
  </r>
  <r>
    <x v="278"/>
    <n v="44"/>
    <n v="943"/>
    <x v="1"/>
  </r>
  <r>
    <x v="279"/>
    <n v="46"/>
    <n v="154"/>
    <x v="0"/>
  </r>
  <r>
    <x v="280"/>
    <n v="44"/>
    <n v="1003"/>
    <x v="1"/>
  </r>
  <r>
    <x v="281"/>
    <n v="45"/>
    <n v="168"/>
    <x v="0"/>
  </r>
  <r>
    <x v="282"/>
    <n v="44"/>
    <n v="945"/>
    <x v="1"/>
  </r>
  <r>
    <x v="283"/>
    <n v="45"/>
    <n v="143"/>
    <x v="0"/>
  </r>
  <r>
    <x v="284"/>
    <n v="44"/>
    <n v="934"/>
    <x v="1"/>
  </r>
  <r>
    <x v="285"/>
    <n v="44"/>
    <n v="176"/>
    <x v="0"/>
  </r>
  <r>
    <x v="286"/>
    <n v="44"/>
    <n v="959"/>
    <x v="1"/>
  </r>
  <r>
    <x v="287"/>
    <n v="48"/>
    <n v="126"/>
    <x v="0"/>
  </r>
  <r>
    <x v="288"/>
    <n v="45"/>
    <n v="1020"/>
    <x v="1"/>
  </r>
  <r>
    <x v="289"/>
    <n v="51"/>
    <n v="251"/>
    <x v="0"/>
  </r>
  <r>
    <x v="290"/>
    <n v="45"/>
    <n v="1023"/>
    <x v="1"/>
  </r>
  <r>
    <x v="291"/>
    <n v="51"/>
    <n v="134"/>
    <x v="0"/>
  </r>
  <r>
    <x v="292"/>
    <n v="45"/>
    <n v="1038"/>
    <x v="1"/>
  </r>
  <r>
    <x v="293"/>
    <n v="51"/>
    <n v="187"/>
    <x v="0"/>
  </r>
  <r>
    <x v="294"/>
    <n v="46"/>
    <n v="1065"/>
    <x v="1"/>
  </r>
  <r>
    <x v="295"/>
    <n v="49"/>
    <n v="143"/>
    <x v="0"/>
  </r>
  <r>
    <x v="296"/>
    <n v="46"/>
    <n v="1080"/>
    <x v="1"/>
  </r>
  <r>
    <x v="297"/>
    <n v="52"/>
    <n v="147"/>
    <x v="0"/>
  </r>
  <r>
    <x v="298"/>
    <n v="44"/>
    <n v="1046"/>
    <x v="1"/>
  </r>
  <r>
    <x v="299"/>
    <n v="53"/>
    <n v="200"/>
    <x v="0"/>
  </r>
  <r>
    <x v="300"/>
    <n v="44"/>
    <n v="1081"/>
    <x v="1"/>
  </r>
  <r>
    <x v="301"/>
    <n v="51"/>
    <n v="159"/>
    <x v="0"/>
  </r>
  <r>
    <x v="302"/>
    <n v="46"/>
    <n v="1011"/>
    <x v="1"/>
  </r>
  <r>
    <x v="303"/>
    <n v="53"/>
    <n v="213"/>
    <x v="0"/>
  </r>
  <r>
    <x v="304"/>
    <n v="47"/>
    <n v="1007"/>
    <x v="1"/>
  </r>
  <r>
    <x v="305"/>
    <n v="46"/>
    <n v="149"/>
    <x v="0"/>
  </r>
  <r>
    <x v="306"/>
    <n v="45"/>
    <n v="993"/>
    <x v="1"/>
  </r>
  <r>
    <x v="307"/>
    <n v="36"/>
    <n v="143"/>
    <x v="0"/>
  </r>
  <r>
    <x v="308"/>
    <n v="47"/>
    <n v="1050"/>
    <x v="1"/>
  </r>
  <r>
    <x v="309"/>
    <n v="32"/>
    <n v="76"/>
    <x v="0"/>
  </r>
  <r>
    <x v="310"/>
    <n v="46"/>
    <n v="809"/>
    <x v="1"/>
  </r>
  <r>
    <x v="311"/>
    <n v="33"/>
    <n v="130"/>
    <x v="0"/>
  </r>
  <r>
    <x v="312"/>
    <n v="1"/>
    <n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735B6-7BB6-4766-8A8D-8C6182814984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outline="1" outlineData="1" compactData="0" multipleFieldFilters="0" chartFormat="5" fieldListSortAscending="1">
  <location ref="A1:C315" firstHeaderRow="1" firstDataRow="2" firstDataCol="1"/>
  <pivotFields count="4">
    <pivotField axis="axisRow" compact="0" showAll="0" sortType="ascending">
      <items count="1121"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x="0"/>
        <item m="1" x="1013"/>
        <item x="1"/>
        <item m="1" x="1014"/>
        <item x="2"/>
        <item x="3"/>
        <item m="1" x="1015"/>
        <item x="4"/>
        <item x="5"/>
        <item m="1" x="1016"/>
        <item x="6"/>
        <item x="7"/>
        <item m="1" x="1017"/>
        <item x="8"/>
        <item x="9"/>
        <item m="1" x="1018"/>
        <item x="10"/>
        <item m="1" x="1019"/>
        <item m="1" x="1020"/>
        <item m="1" x="1021"/>
        <item m="1" x="1022"/>
        <item m="1" x="1023"/>
        <item m="1" x="1024"/>
        <item x="11"/>
        <item x="12"/>
        <item m="1" x="1025"/>
        <item x="13"/>
        <item x="14"/>
        <item m="1" x="1026"/>
        <item x="15"/>
        <item x="16"/>
        <item m="1" x="1027"/>
        <item x="17"/>
        <item x="18"/>
        <item m="1" x="1028"/>
        <item x="19"/>
        <item x="20"/>
        <item m="1" x="1029"/>
        <item x="21"/>
        <item x="22"/>
        <item m="1" x="1030"/>
        <item x="23"/>
        <item x="24"/>
        <item m="1" x="1031"/>
        <item x="25"/>
        <item x="26"/>
        <item m="1" x="1032"/>
        <item x="27"/>
        <item x="28"/>
        <item m="1" x="1033"/>
        <item x="29"/>
        <item x="30"/>
        <item m="1" x="1034"/>
        <item x="31"/>
        <item x="32"/>
        <item m="1" x="1035"/>
        <item x="33"/>
        <item m="1" x="433"/>
        <item x="34"/>
        <item m="1" x="1036"/>
        <item x="35"/>
        <item m="1" x="434"/>
        <item m="1" x="435"/>
        <item x="36"/>
        <item m="1" x="1037"/>
        <item x="37"/>
        <item m="1" x="436"/>
        <item m="1" x="437"/>
        <item x="38"/>
        <item m="1" x="1038"/>
        <item x="39"/>
        <item m="1" x="438"/>
        <item m="1" x="439"/>
        <item x="40"/>
        <item m="1" x="1039"/>
        <item x="41"/>
        <item m="1" x="440"/>
        <item m="1" x="441"/>
        <item x="42"/>
        <item m="1" x="442"/>
        <item x="43"/>
        <item m="1" x="443"/>
        <item m="1" x="444"/>
        <item x="44"/>
        <item m="1" x="1040"/>
        <item x="45"/>
        <item m="1" x="445"/>
        <item m="1" x="446"/>
        <item x="46"/>
        <item m="1" x="1041"/>
        <item m="1" x="447"/>
        <item x="47"/>
        <item m="1" x="448"/>
        <item m="1" x="449"/>
        <item x="48"/>
        <item m="1" x="1042"/>
        <item m="1" x="450"/>
        <item x="49"/>
        <item m="1" x="451"/>
        <item m="1" x="452"/>
        <item x="50"/>
        <item m="1" x="1043"/>
        <item x="51"/>
        <item m="1" x="453"/>
        <item m="1" x="454"/>
        <item m="1" x="455"/>
        <item m="1" x="313"/>
        <item x="52"/>
        <item m="1" x="1044"/>
        <item x="53"/>
        <item m="1" x="456"/>
        <item m="1" x="457"/>
        <item m="1" x="314"/>
        <item x="54"/>
        <item m="1" x="1045"/>
        <item x="55"/>
        <item m="1" x="458"/>
        <item m="1" x="459"/>
        <item m="1" x="315"/>
        <item x="56"/>
        <item m="1" x="1046"/>
        <item x="57"/>
        <item m="1" x="460"/>
        <item m="1" x="461"/>
        <item m="1" x="316"/>
        <item x="58"/>
        <item m="1" x="1047"/>
        <item x="59"/>
        <item m="1" x="462"/>
        <item m="1" x="463"/>
        <item m="1" x="317"/>
        <item x="60"/>
        <item m="1" x="1048"/>
        <item m="1" x="464"/>
        <item x="61"/>
        <item m="1" x="465"/>
        <item m="1" x="466"/>
        <item m="1" x="318"/>
        <item x="62"/>
        <item m="1" x="1049"/>
        <item x="63"/>
        <item m="1" x="467"/>
        <item m="1" x="468"/>
        <item m="1" x="319"/>
        <item x="64"/>
        <item m="1" x="1050"/>
        <item x="65"/>
        <item m="1" x="469"/>
        <item m="1" x="470"/>
        <item m="1" x="320"/>
        <item x="66"/>
        <item m="1" x="1051"/>
        <item x="67"/>
        <item m="1" x="471"/>
        <item m="1" x="472"/>
        <item m="1" x="321"/>
        <item x="68"/>
        <item m="1" x="1052"/>
        <item x="69"/>
        <item m="1" x="473"/>
        <item m="1" x="474"/>
        <item m="1" x="322"/>
        <item x="70"/>
        <item m="1" x="1053"/>
        <item m="1" x="475"/>
        <item x="71"/>
        <item m="1" x="476"/>
        <item m="1" x="477"/>
        <item m="1" x="323"/>
        <item x="72"/>
        <item m="1" x="1054"/>
        <item x="73"/>
        <item m="1" x="478"/>
        <item m="1" x="479"/>
        <item m="1" x="324"/>
        <item x="74"/>
        <item m="1" x="1055"/>
        <item x="75"/>
        <item m="1" x="480"/>
        <item m="1" x="481"/>
        <item m="1" x="325"/>
        <item x="76"/>
        <item m="1" x="1056"/>
        <item x="77"/>
        <item m="1" x="482"/>
        <item m="1" x="483"/>
        <item m="1" x="326"/>
        <item x="78"/>
        <item m="1" x="1057"/>
        <item x="79"/>
        <item m="1" x="484"/>
        <item m="1" x="485"/>
        <item m="1" x="327"/>
        <item x="80"/>
        <item m="1" x="1058"/>
        <item x="81"/>
        <item m="1" x="486"/>
        <item m="1" x="487"/>
        <item m="1" x="328"/>
        <item x="82"/>
        <item m="1" x="1059"/>
        <item x="83"/>
        <item m="1" x="488"/>
        <item m="1" x="489"/>
        <item m="1" x="329"/>
        <item x="84"/>
        <item m="1" x="1060"/>
        <item x="85"/>
        <item m="1" x="490"/>
        <item m="1" x="491"/>
        <item m="1" x="330"/>
        <item x="86"/>
        <item m="1" x="1061"/>
        <item x="87"/>
        <item m="1" x="492"/>
        <item m="1" x="493"/>
        <item m="1" x="331"/>
        <item x="88"/>
        <item m="1" x="1062"/>
        <item x="89"/>
        <item m="1" x="494"/>
        <item m="1" x="495"/>
        <item m="1" x="332"/>
        <item x="90"/>
        <item m="1" x="1063"/>
        <item x="91"/>
        <item m="1" x="496"/>
        <item m="1" x="497"/>
        <item m="1" x="498"/>
        <item m="1" x="333"/>
        <item x="92"/>
        <item m="1" x="1064"/>
        <item x="93"/>
        <item m="1" x="499"/>
        <item m="1" x="500"/>
        <item m="1" x="334"/>
        <item x="94"/>
        <item m="1" x="1065"/>
        <item x="95"/>
        <item m="1" x="501"/>
        <item m="1" x="502"/>
        <item m="1" x="335"/>
        <item x="96"/>
        <item m="1" x="1066"/>
        <item x="97"/>
        <item m="1" x="503"/>
        <item m="1" x="504"/>
        <item m="1" x="336"/>
        <item x="98"/>
        <item m="1" x="1067"/>
        <item x="99"/>
        <item m="1" x="505"/>
        <item m="1" x="506"/>
        <item m="1" x="337"/>
        <item x="100"/>
        <item m="1" x="1068"/>
        <item x="101"/>
        <item m="1" x="507"/>
        <item m="1" x="508"/>
        <item m="1" x="338"/>
        <item x="102"/>
        <item m="1" x="1069"/>
        <item x="103"/>
        <item m="1" x="509"/>
        <item m="1" x="510"/>
        <item m="1" x="339"/>
        <item x="104"/>
        <item m="1" x="1070"/>
        <item x="105"/>
        <item m="1" x="511"/>
        <item m="1" x="512"/>
        <item m="1" x="340"/>
        <item x="106"/>
        <item m="1" x="1071"/>
        <item x="107"/>
        <item m="1" x="513"/>
        <item m="1" x="514"/>
        <item m="1" x="341"/>
        <item x="108"/>
        <item m="1" x="1072"/>
        <item x="109"/>
        <item m="1" x="515"/>
        <item m="1" x="516"/>
        <item m="1" x="342"/>
        <item x="110"/>
        <item m="1" x="1073"/>
        <item x="111"/>
        <item m="1" x="517"/>
        <item m="1" x="518"/>
        <item m="1" x="343"/>
        <item x="112"/>
        <item m="1" x="1074"/>
        <item x="113"/>
        <item m="1" x="519"/>
        <item m="1" x="520"/>
        <item m="1" x="344"/>
        <item x="114"/>
        <item m="1" x="1075"/>
        <item x="115"/>
        <item m="1" x="521"/>
        <item m="1" x="522"/>
        <item m="1" x="345"/>
        <item x="116"/>
        <item m="1" x="1076"/>
        <item x="117"/>
        <item m="1" x="523"/>
        <item m="1" x="524"/>
        <item m="1" x="346"/>
        <item x="118"/>
        <item m="1" x="1077"/>
        <item x="119"/>
        <item m="1" x="525"/>
        <item m="1" x="526"/>
        <item m="1" x="347"/>
        <item x="120"/>
        <item m="1" x="1078"/>
        <item x="121"/>
        <item m="1" x="527"/>
        <item m="1" x="528"/>
        <item m="1" x="348"/>
        <item x="122"/>
        <item m="1" x="1079"/>
        <item x="123"/>
        <item m="1" x="529"/>
        <item m="1" x="530"/>
        <item m="1" x="349"/>
        <item x="124"/>
        <item m="1" x="1080"/>
        <item x="125"/>
        <item m="1" x="531"/>
        <item m="1" x="532"/>
        <item m="1" x="350"/>
        <item x="126"/>
        <item m="1" x="1081"/>
        <item x="127"/>
        <item m="1" x="533"/>
        <item m="1" x="534"/>
        <item m="1" x="351"/>
        <item x="128"/>
        <item m="1" x="1082"/>
        <item x="129"/>
        <item m="1" x="535"/>
        <item m="1" x="536"/>
        <item m="1" x="352"/>
        <item x="130"/>
        <item m="1" x="1083"/>
        <item x="131"/>
        <item m="1" x="537"/>
        <item m="1" x="538"/>
        <item m="1" x="353"/>
        <item x="132"/>
        <item m="1" x="1084"/>
        <item x="133"/>
        <item m="1" x="539"/>
        <item m="1" x="540"/>
        <item m="1" x="354"/>
        <item x="134"/>
        <item m="1" x="1085"/>
        <item x="135"/>
        <item m="1" x="541"/>
        <item m="1" x="542"/>
        <item m="1" x="355"/>
        <item x="136"/>
        <item m="1" x="1086"/>
        <item x="137"/>
        <item m="1" x="543"/>
        <item m="1" x="544"/>
        <item m="1" x="356"/>
        <item x="138"/>
        <item m="1" x="1087"/>
        <item x="139"/>
        <item m="1" x="545"/>
        <item m="1" x="546"/>
        <item m="1" x="357"/>
        <item x="140"/>
        <item m="1" x="1088"/>
        <item x="141"/>
        <item m="1" x="547"/>
        <item m="1" x="548"/>
        <item m="1" x="358"/>
        <item x="142"/>
        <item m="1" x="1089"/>
        <item x="143"/>
        <item m="1" x="549"/>
        <item m="1" x="550"/>
        <item m="1" x="551"/>
        <item m="1" x="552"/>
        <item m="1" x="553"/>
        <item m="1" x="359"/>
        <item x="144"/>
        <item m="1" x="1090"/>
        <item m="1" x="554"/>
        <item m="1" x="555"/>
        <item x="145"/>
        <item m="1" x="556"/>
        <item m="1" x="557"/>
        <item m="1" x="558"/>
        <item m="1" x="559"/>
        <item m="1" x="560"/>
        <item m="1" x="360"/>
        <item x="146"/>
        <item m="1" x="561"/>
        <item m="1" x="562"/>
        <item m="1" x="563"/>
        <item x="147"/>
        <item m="1" x="564"/>
        <item m="1" x="565"/>
        <item m="1" x="566"/>
        <item m="1" x="567"/>
        <item m="1" x="568"/>
        <item m="1" x="569"/>
        <item m="1" x="361"/>
        <item x="148"/>
        <item m="1" x="1091"/>
        <item m="1" x="570"/>
        <item m="1" x="571"/>
        <item x="149"/>
        <item m="1" x="572"/>
        <item m="1" x="573"/>
        <item m="1" x="574"/>
        <item m="1" x="575"/>
        <item m="1" x="576"/>
        <item m="1" x="362"/>
        <item x="150"/>
        <item m="1" x="1092"/>
        <item m="1" x="577"/>
        <item m="1" x="578"/>
        <item x="151"/>
        <item m="1" x="579"/>
        <item m="1" x="580"/>
        <item m="1" x="581"/>
        <item m="1" x="582"/>
        <item m="1" x="583"/>
        <item m="1" x="584"/>
        <item m="1" x="363"/>
        <item x="152"/>
        <item m="1" x="1093"/>
        <item x="153"/>
        <item m="1" x="585"/>
        <item m="1" x="586"/>
        <item m="1" x="587"/>
        <item m="1" x="588"/>
        <item m="1" x="589"/>
        <item m="1" x="590"/>
        <item m="1" x="364"/>
        <item x="154"/>
        <item m="1" x="1094"/>
        <item m="1" x="591"/>
        <item m="1" x="592"/>
        <item x="155"/>
        <item m="1" x="593"/>
        <item m="1" x="594"/>
        <item m="1" x="595"/>
        <item m="1" x="596"/>
        <item m="1" x="597"/>
        <item m="1" x="365"/>
        <item x="156"/>
        <item m="1" x="1095"/>
        <item m="1" x="598"/>
        <item m="1" x="599"/>
        <item x="157"/>
        <item m="1" x="600"/>
        <item m="1" x="601"/>
        <item m="1" x="602"/>
        <item m="1" x="603"/>
        <item m="1" x="604"/>
        <item m="1" x="605"/>
        <item m="1" x="366"/>
        <item x="158"/>
        <item m="1" x="1096"/>
        <item m="1" x="606"/>
        <item m="1" x="607"/>
        <item x="159"/>
        <item m="1" x="608"/>
        <item m="1" x="609"/>
        <item m="1" x="610"/>
        <item m="1" x="611"/>
        <item m="1" x="612"/>
        <item m="1" x="613"/>
        <item m="1" x="367"/>
        <item x="160"/>
        <item m="1" x="614"/>
        <item m="1" x="615"/>
        <item m="1" x="616"/>
        <item x="161"/>
        <item m="1" x="617"/>
        <item m="1" x="618"/>
        <item m="1" x="619"/>
        <item m="1" x="620"/>
        <item m="1" x="621"/>
        <item m="1" x="368"/>
        <item x="162"/>
        <item m="1" x="1097"/>
        <item m="1" x="622"/>
        <item m="1" x="623"/>
        <item x="163"/>
        <item m="1" x="624"/>
        <item m="1" x="625"/>
        <item m="1" x="626"/>
        <item m="1" x="627"/>
        <item m="1" x="628"/>
        <item m="1" x="629"/>
        <item m="1" x="369"/>
        <item x="164"/>
        <item m="1" x="1098"/>
        <item m="1" x="630"/>
        <item m="1" x="631"/>
        <item x="165"/>
        <item m="1" x="632"/>
        <item m="1" x="633"/>
        <item m="1" x="634"/>
        <item m="1" x="635"/>
        <item m="1" x="636"/>
        <item m="1" x="637"/>
        <item m="1" x="638"/>
        <item m="1" x="370"/>
        <item x="166"/>
        <item m="1" x="639"/>
        <item m="1" x="640"/>
        <item m="1" x="641"/>
        <item x="167"/>
        <item m="1" x="642"/>
        <item m="1" x="643"/>
        <item m="1" x="644"/>
        <item m="1" x="645"/>
        <item m="1" x="371"/>
        <item x="168"/>
        <item m="1" x="646"/>
        <item m="1" x="647"/>
        <item m="1" x="648"/>
        <item x="169"/>
        <item m="1" x="649"/>
        <item m="1" x="650"/>
        <item m="1" x="651"/>
        <item m="1" x="652"/>
        <item m="1" x="653"/>
        <item m="1" x="372"/>
        <item x="170"/>
        <item m="1" x="1099"/>
        <item m="1" x="654"/>
        <item m="1" x="655"/>
        <item x="171"/>
        <item m="1" x="656"/>
        <item m="1" x="657"/>
        <item m="1" x="658"/>
        <item m="1" x="659"/>
        <item m="1" x="660"/>
        <item x="172"/>
        <item m="1" x="373"/>
        <item x="173"/>
        <item m="1" x="661"/>
        <item m="1" x="662"/>
        <item x="174"/>
        <item m="1" x="663"/>
        <item m="1" x="664"/>
        <item m="1" x="665"/>
        <item m="1" x="666"/>
        <item m="1" x="667"/>
        <item m="1" x="668"/>
        <item m="1" x="374"/>
        <item x="175"/>
        <item m="1" x="669"/>
        <item m="1" x="670"/>
        <item m="1" x="671"/>
        <item x="176"/>
        <item m="1" x="672"/>
        <item m="1" x="673"/>
        <item m="1" x="674"/>
        <item m="1" x="675"/>
        <item m="1" x="676"/>
        <item m="1" x="677"/>
        <item m="1" x="678"/>
        <item m="1" x="375"/>
        <item x="177"/>
        <item m="1" x="679"/>
        <item m="1" x="680"/>
        <item m="1" x="681"/>
        <item x="178"/>
        <item m="1" x="682"/>
        <item m="1" x="683"/>
        <item m="1" x="684"/>
        <item m="1" x="685"/>
        <item m="1" x="686"/>
        <item m="1" x="687"/>
        <item m="1" x="688"/>
        <item m="1" x="376"/>
        <item x="179"/>
        <item m="1" x="1100"/>
        <item m="1" x="689"/>
        <item x="180"/>
        <item m="1" x="690"/>
        <item m="1" x="691"/>
        <item m="1" x="692"/>
        <item m="1" x="693"/>
        <item m="1" x="694"/>
        <item m="1" x="695"/>
        <item m="1" x="696"/>
        <item m="1" x="377"/>
        <item x="181"/>
        <item m="1" x="697"/>
        <item m="1" x="698"/>
        <item m="1" x="699"/>
        <item x="182"/>
        <item m="1" x="700"/>
        <item m="1" x="701"/>
        <item m="1" x="702"/>
        <item m="1" x="703"/>
        <item m="1" x="378"/>
        <item x="183"/>
        <item m="1" x="704"/>
        <item m="1" x="705"/>
        <item m="1" x="706"/>
        <item x="184"/>
        <item m="1" x="707"/>
        <item m="1" x="708"/>
        <item m="1" x="709"/>
        <item m="1" x="710"/>
        <item m="1" x="711"/>
        <item m="1" x="379"/>
        <item x="185"/>
        <item m="1" x="1101"/>
        <item m="1" x="712"/>
        <item m="1" x="713"/>
        <item x="186"/>
        <item m="1" x="714"/>
        <item m="1" x="715"/>
        <item m="1" x="716"/>
        <item m="1" x="380"/>
        <item x="187"/>
        <item m="1" x="1102"/>
        <item m="1" x="717"/>
        <item m="1" x="718"/>
        <item x="188"/>
        <item m="1" x="719"/>
        <item m="1" x="720"/>
        <item m="1" x="721"/>
        <item m="1" x="722"/>
        <item m="1" x="381"/>
        <item x="189"/>
        <item m="1" x="1103"/>
        <item m="1" x="723"/>
        <item m="1" x="724"/>
        <item x="190"/>
        <item m="1" x="725"/>
        <item m="1" x="726"/>
        <item m="1" x="727"/>
        <item m="1" x="728"/>
        <item m="1" x="729"/>
        <item m="1" x="730"/>
        <item m="1" x="731"/>
        <item m="1" x="382"/>
        <item x="191"/>
        <item m="1" x="732"/>
        <item m="1" x="733"/>
        <item x="192"/>
        <item m="1" x="734"/>
        <item m="1" x="735"/>
        <item m="1" x="736"/>
        <item m="1" x="737"/>
        <item m="1" x="383"/>
        <item x="193"/>
        <item m="1" x="1104"/>
        <item m="1" x="738"/>
        <item x="194"/>
        <item x="195"/>
        <item x="196"/>
        <item m="1" x="739"/>
        <item m="1" x="740"/>
        <item m="1" x="384"/>
        <item x="197"/>
        <item m="1" x="1105"/>
        <item m="1" x="741"/>
        <item x="198"/>
        <item m="1" x="742"/>
        <item m="1" x="385"/>
        <item m="1" x="743"/>
        <item x="199"/>
        <item m="1" x="744"/>
        <item m="1" x="386"/>
        <item x="200"/>
        <item m="1" x="1106"/>
        <item m="1" x="745"/>
        <item x="201"/>
        <item m="1" x="746"/>
        <item m="1" x="747"/>
        <item m="1" x="748"/>
        <item m="1" x="387"/>
        <item x="202"/>
        <item m="1" x="749"/>
        <item m="1" x="750"/>
        <item x="203"/>
        <item m="1" x="751"/>
        <item m="1" x="752"/>
        <item m="1" x="753"/>
        <item m="1" x="754"/>
        <item m="1" x="755"/>
        <item m="1" x="756"/>
        <item m="1" x="388"/>
        <item x="204"/>
        <item m="1" x="757"/>
        <item m="1" x="758"/>
        <item m="1" x="759"/>
        <item x="205"/>
        <item m="1" x="760"/>
        <item m="1" x="761"/>
        <item m="1" x="762"/>
        <item m="1" x="763"/>
        <item m="1" x="389"/>
        <item x="206"/>
        <item m="1" x="1107"/>
        <item m="1" x="764"/>
        <item x="207"/>
        <item m="1" x="765"/>
        <item m="1" x="766"/>
        <item m="1" x="767"/>
        <item m="1" x="390"/>
        <item x="208"/>
        <item m="1" x="1108"/>
        <item m="1" x="768"/>
        <item m="1" x="769"/>
        <item x="209"/>
        <item m="1" x="770"/>
        <item m="1" x="771"/>
        <item m="1" x="772"/>
        <item m="1" x="773"/>
        <item m="1" x="774"/>
        <item m="1" x="775"/>
        <item m="1" x="391"/>
        <item x="210"/>
        <item m="1" x="1109"/>
        <item m="1" x="776"/>
        <item m="1" x="777"/>
        <item x="211"/>
        <item m="1" x="778"/>
        <item m="1" x="779"/>
        <item m="1" x="780"/>
        <item m="1" x="781"/>
        <item m="1" x="782"/>
        <item m="1" x="783"/>
        <item m="1" x="392"/>
        <item x="212"/>
        <item m="1" x="784"/>
        <item m="1" x="785"/>
        <item m="1" x="786"/>
        <item x="213"/>
        <item m="1" x="787"/>
        <item m="1" x="788"/>
        <item m="1" x="789"/>
        <item m="1" x="790"/>
        <item m="1" x="791"/>
        <item m="1" x="792"/>
        <item m="1" x="793"/>
        <item m="1" x="393"/>
        <item x="214"/>
        <item m="1" x="794"/>
        <item m="1" x="795"/>
        <item m="1" x="796"/>
        <item x="215"/>
        <item m="1" x="797"/>
        <item m="1" x="798"/>
        <item m="1" x="799"/>
        <item m="1" x="800"/>
        <item m="1" x="394"/>
        <item x="216"/>
        <item m="1" x="1110"/>
        <item m="1" x="801"/>
        <item m="1" x="802"/>
        <item x="217"/>
        <item m="1" x="803"/>
        <item m="1" x="804"/>
        <item m="1" x="805"/>
        <item m="1" x="806"/>
        <item m="1" x="807"/>
        <item m="1" x="808"/>
        <item m="1" x="395"/>
        <item x="218"/>
        <item m="1" x="1111"/>
        <item m="1" x="809"/>
        <item m="1" x="810"/>
        <item x="219"/>
        <item m="1" x="811"/>
        <item m="1" x="812"/>
        <item m="1" x="813"/>
        <item m="1" x="814"/>
        <item m="1" x="815"/>
        <item m="1" x="816"/>
        <item m="1" x="817"/>
        <item m="1" x="396"/>
        <item x="220"/>
        <item m="1" x="1112"/>
        <item m="1" x="818"/>
        <item x="221"/>
        <item m="1" x="819"/>
        <item m="1" x="820"/>
        <item m="1" x="919"/>
        <item m="1" x="821"/>
        <item m="1" x="822"/>
        <item m="1" x="823"/>
        <item m="1" x="824"/>
        <item m="1" x="397"/>
        <item x="222"/>
        <item m="1" x="1113"/>
        <item m="1" x="825"/>
        <item m="1" x="826"/>
        <item x="223"/>
        <item m="1" x="827"/>
        <item m="1" x="828"/>
        <item m="1" x="920"/>
        <item m="1" x="829"/>
        <item m="1" x="830"/>
        <item m="1" x="831"/>
        <item m="1" x="832"/>
        <item m="1" x="398"/>
        <item x="224"/>
        <item m="1" x="1114"/>
        <item m="1" x="921"/>
        <item m="1" x="833"/>
        <item x="225"/>
        <item m="1" x="834"/>
        <item m="1" x="835"/>
        <item m="1" x="922"/>
        <item m="1" x="923"/>
        <item m="1" x="836"/>
        <item m="1" x="399"/>
        <item x="226"/>
        <item m="1" x="837"/>
        <item m="1" x="838"/>
        <item m="1" x="839"/>
        <item x="227"/>
        <item m="1" x="840"/>
        <item m="1" x="841"/>
        <item m="1" x="842"/>
        <item m="1" x="843"/>
        <item m="1" x="844"/>
        <item m="1" x="845"/>
        <item m="1" x="400"/>
        <item x="228"/>
        <item m="1" x="1115"/>
        <item m="1" x="846"/>
        <item x="229"/>
        <item m="1" x="847"/>
        <item m="1" x="848"/>
        <item m="1" x="924"/>
        <item m="1" x="849"/>
        <item m="1" x="850"/>
        <item m="1" x="851"/>
        <item m="1" x="401"/>
        <item x="230"/>
        <item m="1" x="1116"/>
        <item x="231"/>
        <item m="1" x="852"/>
        <item m="1" x="853"/>
        <item m="1" x="854"/>
        <item m="1" x="855"/>
        <item m="1" x="856"/>
        <item m="1" x="857"/>
        <item m="1" x="402"/>
        <item x="232"/>
        <item m="1" x="1117"/>
        <item m="1" x="858"/>
        <item m="1" x="859"/>
        <item x="233"/>
        <item m="1" x="860"/>
        <item m="1" x="861"/>
        <item m="1" x="925"/>
        <item m="1" x="862"/>
        <item m="1" x="863"/>
        <item m="1" x="864"/>
        <item m="1" x="403"/>
        <item x="234"/>
        <item m="1" x="1118"/>
        <item m="1" x="865"/>
        <item m="1" x="866"/>
        <item x="235"/>
        <item m="1" x="867"/>
        <item m="1" x="868"/>
        <item m="1" x="926"/>
        <item m="1" x="869"/>
        <item m="1" x="870"/>
        <item m="1" x="404"/>
        <item x="236"/>
        <item m="1" x="871"/>
        <item m="1" x="872"/>
        <item m="1" x="873"/>
        <item x="237"/>
        <item m="1" x="874"/>
        <item m="1" x="875"/>
        <item m="1" x="876"/>
        <item m="1" x="877"/>
        <item m="1" x="927"/>
        <item m="1" x="405"/>
        <item x="238"/>
        <item m="1" x="878"/>
        <item m="1" x="879"/>
        <item m="1" x="880"/>
        <item x="239"/>
        <item m="1" x="881"/>
        <item m="1" x="882"/>
        <item m="1" x="928"/>
        <item m="1" x="883"/>
        <item m="1" x="884"/>
        <item m="1" x="406"/>
        <item x="240"/>
        <item m="1" x="885"/>
        <item m="1" x="886"/>
        <item x="241"/>
        <item m="1" x="929"/>
        <item m="1" x="887"/>
        <item m="1" x="888"/>
        <item m="1" x="889"/>
        <item m="1" x="890"/>
        <item m="1" x="407"/>
        <item x="242"/>
        <item m="1" x="1119"/>
        <item m="1" x="891"/>
        <item x="243"/>
        <item x="244"/>
        <item m="1" x="892"/>
        <item m="1" x="893"/>
        <item m="1" x="894"/>
        <item m="1" x="895"/>
        <item m="1" x="896"/>
        <item m="1" x="408"/>
        <item x="245"/>
        <item m="1" x="897"/>
        <item m="1" x="898"/>
        <item x="246"/>
        <item m="1" x="899"/>
        <item m="1" x="900"/>
        <item m="1" x="901"/>
        <item m="1" x="902"/>
        <item m="1" x="903"/>
        <item m="1" x="904"/>
        <item m="1" x="905"/>
        <item m="1" x="906"/>
        <item m="1" x="409"/>
        <item x="247"/>
        <item m="1" x="907"/>
        <item m="1" x="908"/>
        <item x="248"/>
        <item m="1" x="909"/>
        <item m="1" x="930"/>
        <item m="1" x="910"/>
        <item m="1" x="911"/>
        <item m="1" x="912"/>
        <item m="1" x="913"/>
        <item m="1" x="410"/>
        <item x="249"/>
        <item m="1" x="914"/>
        <item m="1" x="915"/>
        <item x="250"/>
        <item m="1" x="916"/>
        <item m="1" x="917"/>
        <item m="1" x="931"/>
        <item m="1" x="411"/>
        <item x="251"/>
        <item x="252"/>
        <item m="1" x="932"/>
        <item m="1" x="918"/>
        <item m="1" x="933"/>
        <item m="1" x="934"/>
        <item m="1" x="412"/>
        <item x="253"/>
        <item m="1" x="935"/>
        <item x="254"/>
        <item m="1" x="936"/>
        <item m="1" x="413"/>
        <item x="255"/>
        <item m="1" x="937"/>
        <item x="256"/>
        <item m="1" x="938"/>
        <item m="1" x="414"/>
        <item x="257"/>
        <item x="258"/>
        <item m="1" x="939"/>
        <item m="1" x="415"/>
        <item x="259"/>
        <item m="1" x="940"/>
        <item x="260"/>
        <item m="1" x="941"/>
        <item m="1" x="416"/>
        <item x="261"/>
        <item x="262"/>
        <item m="1" x="942"/>
        <item m="1" x="417"/>
        <item x="263"/>
        <item x="264"/>
        <item m="1" x="943"/>
        <item m="1" x="944"/>
        <item m="1" x="418"/>
        <item x="265"/>
        <item x="266"/>
        <item m="1" x="945"/>
        <item m="1" x="419"/>
        <item x="267"/>
        <item m="1" x="946"/>
        <item x="268"/>
        <item m="1" x="947"/>
        <item m="1" x="420"/>
        <item x="269"/>
        <item m="1" x="948"/>
        <item x="270"/>
        <item m="1" x="949"/>
        <item m="1" x="421"/>
        <item x="271"/>
        <item x="272"/>
        <item m="1" x="950"/>
        <item m="1" x="422"/>
        <item x="273"/>
        <item x="274"/>
        <item m="1" x="951"/>
        <item m="1" x="952"/>
        <item m="1" x="423"/>
        <item x="275"/>
        <item x="276"/>
        <item m="1" x="953"/>
        <item m="1" x="424"/>
        <item x="277"/>
        <item x="278"/>
        <item m="1" x="954"/>
        <item m="1" x="955"/>
        <item m="1" x="425"/>
        <item x="279"/>
        <item x="280"/>
        <item m="1" x="956"/>
        <item m="1" x="426"/>
        <item x="281"/>
        <item x="282"/>
        <item m="1" x="427"/>
        <item x="283"/>
        <item x="284"/>
        <item m="1" x="428"/>
        <item x="285"/>
        <item x="286"/>
        <item m="1" x="429"/>
        <item x="287"/>
        <item x="288"/>
        <item m="1" x="430"/>
        <item x="289"/>
        <item x="290"/>
        <item m="1" x="431"/>
        <item x="291"/>
        <item x="292"/>
        <item m="1" x="43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t="default"/>
      </items>
    </pivotField>
    <pivotField dataField="1" compact="0" showAll="0"/>
    <pivotField compact="0" showAll="0"/>
    <pivotField axis="axisCol" compact="0" showAll="0">
      <items count="3">
        <item x="0"/>
        <item x="1"/>
        <item t="default"/>
      </items>
    </pivotField>
  </pivotFields>
  <rowFields count="1">
    <field x="0"/>
  </rowFields>
  <rowItems count="313">
    <i>
      <x v="56"/>
    </i>
    <i>
      <x v="58"/>
    </i>
    <i>
      <x v="60"/>
    </i>
    <i>
      <x v="61"/>
    </i>
    <i>
      <x v="63"/>
    </i>
    <i>
      <x v="64"/>
    </i>
    <i>
      <x v="66"/>
    </i>
    <i>
      <x v="67"/>
    </i>
    <i>
      <x v="69"/>
    </i>
    <i>
      <x v="70"/>
    </i>
    <i>
      <x v="72"/>
    </i>
    <i>
      <x v="79"/>
    </i>
    <i>
      <x v="80"/>
    </i>
    <i>
      <x v="82"/>
    </i>
    <i>
      <x v="83"/>
    </i>
    <i>
      <x v="85"/>
    </i>
    <i>
      <x v="86"/>
    </i>
    <i>
      <x v="88"/>
    </i>
    <i>
      <x v="89"/>
    </i>
    <i>
      <x v="91"/>
    </i>
    <i>
      <x v="92"/>
    </i>
    <i>
      <x v="94"/>
    </i>
    <i>
      <x v="95"/>
    </i>
    <i>
      <x v="97"/>
    </i>
    <i>
      <x v="98"/>
    </i>
    <i>
      <x v="100"/>
    </i>
    <i>
      <x v="101"/>
    </i>
    <i>
      <x v="103"/>
    </i>
    <i>
      <x v="104"/>
    </i>
    <i>
      <x v="106"/>
    </i>
    <i>
      <x v="107"/>
    </i>
    <i>
      <x v="109"/>
    </i>
    <i>
      <x v="110"/>
    </i>
    <i>
      <x v="112"/>
    </i>
    <i>
      <x v="114"/>
    </i>
    <i>
      <x v="116"/>
    </i>
    <i>
      <x v="119"/>
    </i>
    <i>
      <x v="121"/>
    </i>
    <i>
      <x v="124"/>
    </i>
    <i>
      <x v="126"/>
    </i>
    <i>
      <x v="129"/>
    </i>
    <i>
      <x v="131"/>
    </i>
    <i>
      <x v="134"/>
    </i>
    <i>
      <x v="136"/>
    </i>
    <i>
      <x v="139"/>
    </i>
    <i>
      <x v="141"/>
    </i>
    <i>
      <x v="144"/>
    </i>
    <i>
      <x v="147"/>
    </i>
    <i>
      <x v="150"/>
    </i>
    <i>
      <x v="153"/>
    </i>
    <i>
      <x v="156"/>
    </i>
    <i>
      <x v="158"/>
    </i>
    <i>
      <x v="163"/>
    </i>
    <i>
      <x v="165"/>
    </i>
    <i>
      <x v="169"/>
    </i>
    <i>
      <x v="171"/>
    </i>
    <i>
      <x v="175"/>
    </i>
    <i>
      <x v="177"/>
    </i>
    <i>
      <x v="181"/>
    </i>
    <i>
      <x v="183"/>
    </i>
    <i>
      <x v="187"/>
    </i>
    <i>
      <x v="190"/>
    </i>
    <i>
      <x v="194"/>
    </i>
    <i>
      <x v="196"/>
    </i>
    <i>
      <x v="200"/>
    </i>
    <i>
      <x v="202"/>
    </i>
    <i>
      <x v="206"/>
    </i>
    <i>
      <x v="208"/>
    </i>
    <i>
      <x v="212"/>
    </i>
    <i>
      <x v="214"/>
    </i>
    <i>
      <x v="218"/>
    </i>
    <i>
      <x v="221"/>
    </i>
    <i>
      <x v="225"/>
    </i>
    <i>
      <x v="227"/>
    </i>
    <i>
      <x v="231"/>
    </i>
    <i>
      <x v="233"/>
    </i>
    <i>
      <x v="237"/>
    </i>
    <i>
      <x v="239"/>
    </i>
    <i>
      <x v="243"/>
    </i>
    <i>
      <x v="245"/>
    </i>
    <i>
      <x v="249"/>
    </i>
    <i>
      <x v="251"/>
    </i>
    <i>
      <x v="255"/>
    </i>
    <i>
      <x v="257"/>
    </i>
    <i>
      <x v="261"/>
    </i>
    <i>
      <x v="263"/>
    </i>
    <i>
      <x v="267"/>
    </i>
    <i>
      <x v="269"/>
    </i>
    <i>
      <x v="273"/>
    </i>
    <i>
      <x v="275"/>
    </i>
    <i>
      <x v="279"/>
    </i>
    <i>
      <x v="281"/>
    </i>
    <i>
      <x v="286"/>
    </i>
    <i>
      <x v="288"/>
    </i>
    <i>
      <x v="292"/>
    </i>
    <i>
      <x v="294"/>
    </i>
    <i>
      <x v="298"/>
    </i>
    <i>
      <x v="300"/>
    </i>
    <i>
      <x v="304"/>
    </i>
    <i>
      <x v="306"/>
    </i>
    <i>
      <x v="310"/>
    </i>
    <i>
      <x v="312"/>
    </i>
    <i>
      <x v="316"/>
    </i>
    <i>
      <x v="318"/>
    </i>
    <i>
      <x v="322"/>
    </i>
    <i>
      <x v="324"/>
    </i>
    <i>
      <x v="328"/>
    </i>
    <i>
      <x v="330"/>
    </i>
    <i>
      <x v="334"/>
    </i>
    <i>
      <x v="336"/>
    </i>
    <i>
      <x v="340"/>
    </i>
    <i>
      <x v="342"/>
    </i>
    <i>
      <x v="346"/>
    </i>
    <i>
      <x v="348"/>
    </i>
    <i>
      <x v="352"/>
    </i>
    <i>
      <x v="354"/>
    </i>
    <i>
      <x v="358"/>
    </i>
    <i>
      <x v="360"/>
    </i>
    <i>
      <x v="364"/>
    </i>
    <i>
      <x v="366"/>
    </i>
    <i>
      <x v="370"/>
    </i>
    <i>
      <x v="372"/>
    </i>
    <i>
      <x v="376"/>
    </i>
    <i>
      <x v="378"/>
    </i>
    <i>
      <x v="382"/>
    </i>
    <i>
      <x v="384"/>
    </i>
    <i>
      <x v="388"/>
    </i>
    <i>
      <x v="390"/>
    </i>
    <i>
      <x v="394"/>
    </i>
    <i>
      <x v="396"/>
    </i>
    <i>
      <x v="400"/>
    </i>
    <i>
      <x v="402"/>
    </i>
    <i>
      <x v="406"/>
    </i>
    <i>
      <x v="408"/>
    </i>
    <i>
      <x v="412"/>
    </i>
    <i>
      <x v="414"/>
    </i>
    <i>
      <x v="418"/>
    </i>
    <i>
      <x v="420"/>
    </i>
    <i>
      <x v="424"/>
    </i>
    <i>
      <x v="426"/>
    </i>
    <i>
      <x v="430"/>
    </i>
    <i>
      <x v="432"/>
    </i>
    <i>
      <x v="436"/>
    </i>
    <i>
      <x v="438"/>
    </i>
    <i>
      <x v="445"/>
    </i>
    <i>
      <x v="449"/>
    </i>
    <i>
      <x v="456"/>
    </i>
    <i>
      <x v="460"/>
    </i>
    <i>
      <x v="468"/>
    </i>
    <i>
      <x v="472"/>
    </i>
    <i>
      <x v="479"/>
    </i>
    <i>
      <x v="483"/>
    </i>
    <i>
      <x v="491"/>
    </i>
    <i>
      <x v="493"/>
    </i>
    <i>
      <x v="501"/>
    </i>
    <i>
      <x v="505"/>
    </i>
    <i>
      <x v="512"/>
    </i>
    <i>
      <x v="516"/>
    </i>
    <i>
      <x v="524"/>
    </i>
    <i>
      <x v="528"/>
    </i>
    <i>
      <x v="536"/>
    </i>
    <i>
      <x v="540"/>
    </i>
    <i>
      <x v="547"/>
    </i>
    <i>
      <x v="551"/>
    </i>
    <i>
      <x v="559"/>
    </i>
    <i>
      <x v="563"/>
    </i>
    <i>
      <x v="572"/>
    </i>
    <i>
      <x v="576"/>
    </i>
    <i>
      <x v="582"/>
    </i>
    <i>
      <x v="586"/>
    </i>
    <i>
      <x v="593"/>
    </i>
    <i>
      <x v="597"/>
    </i>
    <i>
      <x v="603"/>
    </i>
    <i>
      <x v="605"/>
    </i>
    <i>
      <x v="608"/>
    </i>
    <i>
      <x v="616"/>
    </i>
    <i>
      <x v="620"/>
    </i>
    <i>
      <x v="629"/>
    </i>
    <i>
      <x v="633"/>
    </i>
    <i>
      <x v="642"/>
    </i>
    <i>
      <x v="645"/>
    </i>
    <i>
      <x v="654"/>
    </i>
    <i>
      <x v="658"/>
    </i>
    <i>
      <x v="664"/>
    </i>
    <i>
      <x v="668"/>
    </i>
    <i>
      <x v="675"/>
    </i>
    <i>
      <x v="679"/>
    </i>
    <i>
      <x v="684"/>
    </i>
    <i>
      <x v="688"/>
    </i>
    <i>
      <x v="694"/>
    </i>
    <i>
      <x v="698"/>
    </i>
    <i>
      <x v="707"/>
    </i>
    <i>
      <x v="710"/>
    </i>
    <i>
      <x v="716"/>
    </i>
    <i>
      <x v="719"/>
    </i>
    <i>
      <x v="720"/>
    </i>
    <i>
      <x v="721"/>
    </i>
    <i>
      <x v="725"/>
    </i>
    <i>
      <x v="728"/>
    </i>
    <i>
      <x v="732"/>
    </i>
    <i>
      <x v="735"/>
    </i>
    <i>
      <x v="738"/>
    </i>
    <i>
      <x v="743"/>
    </i>
    <i>
      <x v="746"/>
    </i>
    <i>
      <x v="754"/>
    </i>
    <i>
      <x v="758"/>
    </i>
    <i>
      <x v="764"/>
    </i>
    <i>
      <x v="767"/>
    </i>
    <i>
      <x v="772"/>
    </i>
    <i>
      <x v="776"/>
    </i>
    <i>
      <x v="784"/>
    </i>
    <i>
      <x v="788"/>
    </i>
    <i>
      <x v="796"/>
    </i>
    <i>
      <x v="800"/>
    </i>
    <i>
      <x v="809"/>
    </i>
    <i>
      <x v="813"/>
    </i>
    <i>
      <x v="819"/>
    </i>
    <i>
      <x v="823"/>
    </i>
    <i>
      <x v="831"/>
    </i>
    <i>
      <x v="835"/>
    </i>
    <i>
      <x v="844"/>
    </i>
    <i>
      <x v="847"/>
    </i>
    <i>
      <x v="856"/>
    </i>
    <i>
      <x v="860"/>
    </i>
    <i>
      <x v="869"/>
    </i>
    <i>
      <x v="873"/>
    </i>
    <i>
      <x v="880"/>
    </i>
    <i>
      <x v="884"/>
    </i>
    <i>
      <x v="892"/>
    </i>
    <i>
      <x v="895"/>
    </i>
    <i>
      <x v="903"/>
    </i>
    <i>
      <x v="905"/>
    </i>
    <i>
      <x v="913"/>
    </i>
    <i>
      <x v="917"/>
    </i>
    <i>
      <x v="925"/>
    </i>
    <i>
      <x v="929"/>
    </i>
    <i>
      <x v="936"/>
    </i>
    <i>
      <x v="940"/>
    </i>
    <i>
      <x v="947"/>
    </i>
    <i>
      <x v="951"/>
    </i>
    <i>
      <x v="958"/>
    </i>
    <i>
      <x v="961"/>
    </i>
    <i>
      <x v="968"/>
    </i>
    <i>
      <x v="971"/>
    </i>
    <i>
      <x v="972"/>
    </i>
    <i>
      <x v="979"/>
    </i>
    <i>
      <x v="982"/>
    </i>
    <i>
      <x v="992"/>
    </i>
    <i>
      <x v="995"/>
    </i>
    <i>
      <x v="1003"/>
    </i>
    <i>
      <x v="1006"/>
    </i>
    <i>
      <x v="1011"/>
    </i>
    <i>
      <x v="1012"/>
    </i>
    <i>
      <x v="1018"/>
    </i>
    <i>
      <x v="1020"/>
    </i>
    <i>
      <x v="1023"/>
    </i>
    <i>
      <x v="1025"/>
    </i>
    <i>
      <x v="1028"/>
    </i>
    <i>
      <x v="1029"/>
    </i>
    <i>
      <x v="1032"/>
    </i>
    <i>
      <x v="1034"/>
    </i>
    <i>
      <x v="1037"/>
    </i>
    <i>
      <x v="1038"/>
    </i>
    <i>
      <x v="1041"/>
    </i>
    <i>
      <x v="1042"/>
    </i>
    <i>
      <x v="1046"/>
    </i>
    <i>
      <x v="1047"/>
    </i>
    <i>
      <x v="1050"/>
    </i>
    <i>
      <x v="1052"/>
    </i>
    <i>
      <x v="1055"/>
    </i>
    <i>
      <x v="1057"/>
    </i>
    <i>
      <x v="1060"/>
    </i>
    <i>
      <x v="1061"/>
    </i>
    <i>
      <x v="1064"/>
    </i>
    <i>
      <x v="1065"/>
    </i>
    <i>
      <x v="1069"/>
    </i>
    <i>
      <x v="1070"/>
    </i>
    <i>
      <x v="1073"/>
    </i>
    <i>
      <x v="1074"/>
    </i>
    <i>
      <x v="1078"/>
    </i>
    <i>
      <x v="1079"/>
    </i>
    <i>
      <x v="1082"/>
    </i>
    <i>
      <x v="1083"/>
    </i>
    <i>
      <x v="1085"/>
    </i>
    <i>
      <x v="1086"/>
    </i>
    <i>
      <x v="1088"/>
    </i>
    <i>
      <x v="1089"/>
    </i>
    <i>
      <x v="1091"/>
    </i>
    <i>
      <x v="1092"/>
    </i>
    <i>
      <x v="1094"/>
    </i>
    <i>
      <x v="1095"/>
    </i>
    <i>
      <x v="1097"/>
    </i>
    <i>
      <x v="1098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</rowItems>
  <colFields count="1">
    <field x="3"/>
  </colFields>
  <colItems count="2">
    <i>
      <x/>
    </i>
    <i>
      <x v="1"/>
    </i>
  </colItems>
  <dataFields count="1">
    <dataField name="Max of Employees" fld="1" subtotal="max" baseField="0" baseItem="0"/>
  </dataFields>
  <formats count="14">
    <format dxfId="430">
      <pivotArea type="all" dataOnly="0" outline="0" fieldPosition="0"/>
    </format>
    <format dxfId="429">
      <pivotArea outline="0" collapsedLevelsAreSubtotals="1" fieldPosition="0"/>
    </format>
    <format dxfId="428">
      <pivotArea type="origin" dataOnly="0" labelOnly="1" outline="0" fieldPosition="0"/>
    </format>
    <format dxfId="427">
      <pivotArea field="3" type="button" dataOnly="0" labelOnly="1" outline="0" axis="axisCol" fieldPosition="0"/>
    </format>
    <format dxfId="426">
      <pivotArea type="topRight" dataOnly="0" labelOnly="1" outline="0" fieldPosition="0"/>
    </format>
    <format dxfId="425">
      <pivotArea field="0" type="button" dataOnly="0" labelOnly="1" outline="0" axis="axisRow" fieldPosition="0"/>
    </format>
    <format dxfId="424">
      <pivotArea dataOnly="0" labelOnly="1" outline="0" fieldPosition="0">
        <references count="1">
          <reference field="3" count="0"/>
        </references>
      </pivotArea>
    </format>
    <format dxfId="423">
      <pivotArea type="all" dataOnly="0" outline="0" fieldPosition="0"/>
    </format>
    <format dxfId="422">
      <pivotArea outline="0" collapsedLevelsAreSubtotals="1" fieldPosition="0"/>
    </format>
    <format dxfId="421">
      <pivotArea type="origin" dataOnly="0" labelOnly="1" outline="0" fieldPosition="0"/>
    </format>
    <format dxfId="420">
      <pivotArea field="3" type="button" dataOnly="0" labelOnly="1" outline="0" axis="axisCol" fieldPosition="0"/>
    </format>
    <format dxfId="419">
      <pivotArea type="topRight" dataOnly="0" labelOnly="1" outline="0" fieldPosition="0"/>
    </format>
    <format dxfId="418">
      <pivotArea field="0" type="button" dataOnly="0" labelOnly="1" outline="0" axis="axisRow" fieldPosition="0"/>
    </format>
    <format dxfId="417">
      <pivotArea dataOnly="0" labelOnly="1" outline="0" fieldPosition="0">
        <references count="1">
          <reference field="3" count="0"/>
        </references>
      </pivotArea>
    </format>
  </formats>
  <chartFormats count="5">
    <chartFormat chart="0" format="0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4F15871-B453-404B-8828-67AEDDDC2A67}" autoFormatId="16" applyNumberFormats="0" applyBorderFormats="0" applyFontFormats="0" applyPatternFormats="0" applyAlignmentFormats="0" applyWidthHeightFormats="0">
  <queryTableRefresh nextId="24">
    <queryTableFields count="9">
      <queryTableField id="1" name="ID" tableColumnId="1"/>
      <queryTableField id="10" name="Class_ID" tableColumnId="2"/>
      <queryTableField id="11" name="Name" tableColumnId="3"/>
      <queryTableField id="12" name="Pay_Name" tableColumnId="5"/>
      <queryTableField id="13" name="Class_Name" tableColumnId="6"/>
      <queryTableField id="14" name="Time_Present" tableColumnId="7"/>
      <queryTableField id="15" name="Pay_Present" tableColumnId="8"/>
      <queryTableField id="16" name="Class_Present" tableColumnId="9"/>
      <queryTableField id="4" name="Source" tableColumnId="4"/>
    </queryTableFields>
    <queryTableDeletedFields count="1">
      <deletedField name="On Class List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06A94628-3F74-415F-93F0-9404197A2F1B}" autoFormatId="16" applyNumberFormats="0" applyBorderFormats="0" applyFontFormats="0" applyPatternFormats="0" applyAlignmentFormats="0" applyWidthHeightFormats="0">
  <queryTableRefresh nextId="18">
    <queryTableFields count="17">
      <queryTableField id="1" name="ID" tableColumnId="1"/>
      <queryTableField id="2" name="Time_Periods" tableColumnId="2"/>
      <queryTableField id="3" name="Time_First_Date" tableColumnId="3"/>
      <queryTableField id="4" name="Time_Last_Date" tableColumnId="4"/>
      <queryTableField id="5" name="Time_Records" tableColumnId="5"/>
      <queryTableField id="6" name="Pay_Periods" tableColumnId="6"/>
      <queryTableField id="7" name="Pay_First_Date" tableColumnId="7"/>
      <queryTableField id="8" name="Pay_Last_Date" tableColumnId="8"/>
      <queryTableField id="9" name="Pay_Records" tableColumnId="9"/>
      <queryTableField id="10" name="Matching_Periods" tableColumnId="10"/>
      <queryTableField id="11" name="Time_Only_Periods" tableColumnId="11"/>
      <queryTableField id="12" name="Pay_Only_Periods" tableColumnId="12"/>
      <queryTableField id="13" name="Total_Unique_Periods" tableColumnId="13"/>
      <queryTableField id="14" name="Match_Rate" tableColumnId="14"/>
      <queryTableField id="15" name="Time_Coverage" tableColumnId="15"/>
      <queryTableField id="16" name="Pay_Coverage" tableColumnId="16"/>
      <queryTableField id="17" name="Data_Status" tableColumnId="1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7D491DC2-F7F5-4A22-B760-75F107A3BB27}" autoFormatId="16" applyNumberFormats="0" applyBorderFormats="0" applyFontFormats="0" applyPatternFormats="0" applyAlignmentFormats="0" applyWidthHeightFormats="0">
  <queryTableRefresh nextId="14">
    <queryTableFields count="13">
      <queryTableField id="1" name="Metric Group" tableColumnId="1"/>
      <queryTableField id="2" name="Metric Label" tableColumnId="2"/>
      <queryTableField id="3" name="Waiver Scenario" tableColumnId="3"/>
      <queryTableField id="4" name="Extrapolated" tableColumnId="4"/>
      <queryTableField id="5" name="All Data" tableColumnId="5"/>
      <queryTableField id="6" name="2020" tableColumnId="6"/>
      <queryTableField id="7" name="2021" tableColumnId="7"/>
      <queryTableField id="8" name="2022" tableColumnId="8"/>
      <queryTableField id="9" name="2023" tableColumnId="9"/>
      <queryTableField id="10" name="2024" tableColumnId="10"/>
      <queryTableField id="11" name="2025" tableColumnId="11"/>
      <queryTableField id="12" name="2026" tableColumnId="12"/>
      <queryTableField id="13" name="Barraza-Benitez, Hector" tableColumnId="1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7" xr16:uid="{CCFC71BA-B5E7-4E5A-9448-16EC37741FE0}" autoFormatId="16" applyNumberFormats="0" applyBorderFormats="0" applyFontFormats="0" applyPatternFormats="0" applyAlignmentFormats="0" applyWidthHeightFormats="0">
  <queryTableRefresh nextId="585">
    <queryTableFields count="584">
      <queryTableField id="1" name="ID_Period_End" tableColumnId="1"/>
      <queryTableField id="2" name="Pay_Source" tableColumnId="2"/>
      <queryTableField id="3" name="Pay_Name" tableColumnId="3"/>
      <queryTableField id="4" name="Pay_Date" tableColumnId="4"/>
      <queryTableField id="5" name="Pay_ID_Current_Qtr" tableColumnId="5"/>
      <queryTableField id="6" name="Pay_Hours" tableColumnId="6"/>
      <queryTableField id="7" name="Pay_Amount" tableColumnId="7"/>
      <queryTableField id="8" name="Base_Rate" tableColumnId="8"/>
      <queryTableField id="9" name="RROP" tableColumnId="9"/>
      <queryTableField id="10" name="double_CA_min_wage" tableColumnId="10"/>
      <queryTableField id="11" name="CA_min_wage" tableColumnId="11"/>
      <queryTableField id="12" name="pp_Hrs_Wkd" tableColumnId="12"/>
      <queryTableField id="13" name="pp_Reg_Hrs" tableColumnId="13"/>
      <queryTableField id="14" name="pp_OT_Hrs" tableColumnId="14"/>
      <queryTableField id="15" name="pp_DT_Hrs" tableColumnId="15"/>
      <queryTableField id="16" name="pp_Meal_Prem_Hrs" tableColumnId="16"/>
      <queryTableField id="17" name="pp_Rest_Prem_Hrs" tableColumnId="17"/>
      <queryTableField id="18" name="pp_Sick_Hrs" tableColumnId="18"/>
      <queryTableField id="19" name="pp_Straight_Time_Amt" tableColumnId="19"/>
      <queryTableField id="20" name="pp_Reg_Amt" tableColumnId="20"/>
      <queryTableField id="21" name="pp_OT_Amt" tableColumnId="21"/>
      <queryTableField id="22" name="pp_DT_Amt" tableColumnId="22"/>
      <queryTableField id="23" name="pp_Meal_Amt" tableColumnId="23"/>
      <queryTableField id="24" name="pp_Rest_Amt" tableColumnId="24"/>
      <queryTableField id="25" name="pp_Sick_Amt" tableColumnId="25"/>
      <queryTableField id="26" name="pp_Oth_RROP_Amt" tableColumnId="26"/>
      <queryTableField id="27" name="pp_Oth_Amt" tableColumnId="27"/>
      <queryTableField id="28" name="rrop_by_code_underpayment" tableColumnId="28"/>
      <queryTableField id="29" name="Calc_Tot_Wages" tableColumnId="29"/>
      <queryTableField id="30" name="Actual_Wages" tableColumnId="30"/>
      <queryTableField id="31" name="Wage_Diff" tableColumnId="31"/>
      <queryTableField id="32" name="OT_Diff" tableColumnId="32"/>
      <queryTableField id="33" name="DT_Diff" tableColumnId="33"/>
      <queryTableField id="34" name="Meal_Diff" tableColumnId="34"/>
      <queryTableField id="35" name="Rest_Diff" tableColumnId="35"/>
      <queryTableField id="36" name="Sick_Diff" tableColumnId="36"/>
      <queryTableField id="37" name="OT_Overpayment" tableColumnId="37"/>
      <queryTableField id="38" name="DT_Overpayment" tableColumnId="38"/>
      <queryTableField id="39" name="Meal_Overpayment" tableColumnId="39"/>
      <queryTableField id="40" name="Rest_Overpayment" tableColumnId="40"/>
      <queryTableField id="41" name="Sick_Overpayment" tableColumnId="41"/>
      <queryTableField id="42" name="OT_rrop_dmgs" tableColumnId="42"/>
      <queryTableField id="43" name="DT_rrop_dmgs" tableColumnId="43"/>
      <queryTableField id="44" name="Meal_rrop_dmgs" tableColumnId="44"/>
      <queryTableField id="45" name="Rest_rrop_dmgs" tableColumnId="45"/>
      <queryTableField id="46" name="Sick_rrop_dmgs" tableColumnId="46"/>
      <queryTableField id="47" name="Gross_Overpayment" tableColumnId="47"/>
      <queryTableField id="48" name="Gross_rrop_dmgs" tableColumnId="48"/>
      <queryTableField id="49" name="Net_Overpayment" tableColumnId="49"/>
      <queryTableField id="50" name="Net_rrop_dmgs" tableColumnId="50"/>
      <queryTableField id="51" name="rrop_any_underpayment" tableColumnId="51"/>
      <queryTableField id="52" name="rrop_net_underpayment" tableColumnId="52"/>
      <queryTableField id="53" name="pay_row_id" tableColumnId="53"/>
      <queryTableField id="54" name="Source" tableColumnId="54"/>
      <queryTableField id="55" name="Sheet" tableColumnId="55"/>
      <queryTableField id="56" name="Key_Gps" tableColumnId="56"/>
      <queryTableField id="57" name="ID" tableColumnId="57"/>
      <queryTableField id="58" name="Name" tableColumnId="58"/>
      <queryTableField id="59" name="ID_Date" tableColumnId="59"/>
      <queryTableField id="60" name="Period_Beg" tableColumnId="60"/>
      <queryTableField id="61" name="Period_End" tableColumnId="61"/>
      <queryTableField id="62" name="shift" tableColumnId="62"/>
      <queryTableField id="63" name="shift_hrs" tableColumnId="63"/>
      <queryTableField id="64" name="Hours" tableColumnId="64"/>
      <queryTableField id="65" name="mp" tableColumnId="65"/>
      <queryTableField id="66" name="mp_lt_twenty" tableColumnId="66"/>
      <queryTableField id="67" name="mp_lt_thirty" tableColumnId="67"/>
      <queryTableField id="68" name="mp_thirty" tableColumnId="68"/>
      <queryTableField id="69" name="mp_gt_thirty" tableColumnId="69"/>
      <queryTableField id="70" name="mp_gt_two_hrs" tableColumnId="70"/>
      <queryTableField id="71" name="mp_gt_four_hrs" tableColumnId="71"/>
      <queryTableField id="72" name="MissMP1" tableColumnId="72"/>
      <queryTableField id="73" name="LateMP1" tableColumnId="73"/>
      <queryTableField id="74" name="ShortMP1" tableColumnId="74"/>
      <queryTableField id="75" name="MissMP2" tableColumnId="75"/>
      <queryTableField id="76" name="LateMP2" tableColumnId="76"/>
      <queryTableField id="77" name="ShortMP2" tableColumnId="77"/>
      <queryTableField id="78" name="mp1_violation" tableColumnId="78"/>
      <queryTableField id="79" name="mp2_violation" tableColumnId="79"/>
      <queryTableField id="80" name="MissMP1_w" tableColumnId="80"/>
      <queryTableField id="81" name="LateMP1_w" tableColumnId="81"/>
      <queryTableField id="82" name="ShortMP1_w" tableColumnId="82"/>
      <queryTableField id="83" name="MissMP2_w" tableColumnId="83"/>
      <queryTableField id="84" name="LateMP2_w" tableColumnId="84"/>
      <queryTableField id="85" name="ShortMP2_w" tableColumnId="85"/>
      <queryTableField id="86" name="mp1_violation_w" tableColumnId="86"/>
      <queryTableField id="87" name="mp2_violation_w" tableColumnId="87"/>
      <queryTableField id="88" name="pp_shift_hrs" tableColumnId="88"/>
      <queryTableField id="89" name="pp_Hours" tableColumnId="89"/>
      <queryTableField id="90" name="Base_Rate_Avg" tableColumnId="90"/>
      <queryTableField id="91" name="i.RROP" tableColumnId="91"/>
      <queryTableField id="92" name="pp_ot" tableColumnId="92"/>
      <queryTableField id="93" name="pp_dt" tableColumnId="93"/>
      <queryTableField id="94" name="pp_ca_ot_hrs" tableColumnId="94"/>
      <queryTableField id="95" name="pp_ca_dt_hrs" tableColumnId="95"/>
      <queryTableField id="96" name="pp_flsa_ot" tableColumnId="96"/>
      <queryTableField id="97" name="pp_ot_wks" tableColumnId="97"/>
      <queryTableField id="98" name="mpv_per_pp" tableColumnId="98"/>
      <queryTableField id="99" name="mpv_per_pp_w" tableColumnId="99"/>
      <queryTableField id="100" name="rpv_per_pp" tableColumnId="100"/>
      <queryTableField id="101" name="mpv_shift_less_prems" tableColumnId="101"/>
      <queryTableField id="102" name="mpv_shift_less_prems_w" tableColumnId="102"/>
      <queryTableField id="103" name="rpv_shift_less_prems" tableColumnId="103"/>
      <queryTableField id="104" name="mpv_per_pp_less_prems" tableColumnId="104"/>
      <queryTableField id="105" name="mpv_per_pp_less_prems_w" tableColumnId="105"/>
      <queryTableField id="106" name="rpv_per_pp_less_prems" tableColumnId="106"/>
      <queryTableField id="107" name="mpv_ee" tableColumnId="107"/>
      <queryTableField id="108" name="mpv_ee_w" tableColumnId="108"/>
      <queryTableField id="109" name="rpv_ee" tableColumnId="109"/>
      <queryTableField id="110" name="mpv_ee_less_prems" tableColumnId="110"/>
      <queryTableField id="111" name="mpv_ee_less_prems_w" tableColumnId="111"/>
      <queryTableField id="112" name="rpv_ee_less_prems" tableColumnId="112"/>
      <queryTableField id="113" name="Shifts" tableColumnId="113"/>
      <queryTableField id="114" name="Shifts_per_workweek" tableColumnId="114"/>
      <queryTableField id="115" name="Avg_Shift_Length" tableColumnId="115"/>
      <queryTableField id="116" name="Median_Shift_Length" tableColumnId="116"/>
      <queryTableField id="117" name="Shifts_gt_3_5" tableColumnId="117"/>
      <queryTableField id="118" name="Shifts_gt_5" tableColumnId="118"/>
      <queryTableField id="119" name="Shifts_gt_5_lte_6" tableColumnId="119"/>
      <queryTableField id="120" name="Shifts_gt_6" tableColumnId="120"/>
      <queryTableField id="121" name="Shifts_e_8" tableColumnId="121"/>
      <queryTableField id="122" name="Shifts_gt_8" tableColumnId="122"/>
      <queryTableField id="123" name="Shifts_gt_10" tableColumnId="123"/>
      <queryTableField id="124" name="Shifts_gt_10_lte_12" tableColumnId="124"/>
      <queryTableField id="125" name="Shifts_gt_12" tableColumnId="125"/>
      <queryTableField id="126" name="Shifts_gt_14" tableColumnId="126"/>
      <queryTableField id="127" name="perc_shifts_gt_3_5" tableColumnId="127"/>
      <queryTableField id="128" name="perc_shifts_gt_5" tableColumnId="128"/>
      <queryTableField id="129" name="perc_shifts_gt_5_lte_6" tableColumnId="129"/>
      <queryTableField id="130" name="perc_shifts_gt_6" tableColumnId="130"/>
      <queryTableField id="131" name="perc_shifts_e_8" tableColumnId="131"/>
      <queryTableField id="132" name="perc_shifts_gt_8" tableColumnId="132"/>
      <queryTableField id="133" name="perc_shifts_gt_10" tableColumnId="133"/>
      <queryTableField id="134" name="perc_shifts_gt_10_lte_12" tableColumnId="134"/>
      <queryTableField id="135" name="perc_shifts_gt_12" tableColumnId="135"/>
      <queryTableField id="136" name="perc_shifts_gt_14" tableColumnId="136"/>
      <queryTableField id="137" name="perc_mp" tableColumnId="137"/>
      <queryTableField id="138" name="perc_mp_lt_thirty" tableColumnId="138"/>
      <queryTableField id="139" name="perc_mp_thirty" tableColumnId="139"/>
      <queryTableField id="140" name="perc_mp_gt_thirty" tableColumnId="140"/>
      <queryTableField id="141" name="mpv_rate" tableColumnId="141"/>
      <queryTableField id="142" name="mpv_rate_w" tableColumnId="142"/>
      <queryTableField id="143" name="mpv_rate_less_prems" tableColumnId="143"/>
      <queryTableField id="144" name="mpv_rate_less_prems_w" tableColumnId="144"/>
      <queryTableField id="145" name="mpv_ee_rate_less_prems" tableColumnId="145"/>
      <queryTableField id="146" name="mpv_ee_rate_less_prems_w" tableColumnId="146"/>
      <queryTableField id="147" name="rpv_rate" tableColumnId="147"/>
      <queryTableField id="148" name="rpv_rate_less_prems" tableColumnId="148"/>
      <queryTableField id="149" name="rpv_ee_rate_less_prems" tableColumnId="149"/>
      <queryTableField id="150" name="shift_row_id" tableColumnId="150"/>
      <queryTableField id="151" name="has_shift" tableColumnId="151"/>
      <queryTableField id="152" name="has_pay" tableColumnId="152"/>
      <queryTableField id="153" name="ee_flag" tableColumnId="153"/>
      <queryTableField id="154" name="RROP_ee" tableColumnId="154"/>
      <queryTableField id="155" name="mp_dmgs" tableColumnId="155"/>
      <queryTableField id="156" name="mp_dmgs_w" tableColumnId="156"/>
      <queryTableField id="157" name="mp_dmgs_less_prems" tableColumnId="157"/>
      <queryTableField id="158" name="mp_dmgs_less_prems_w" tableColumnId="158"/>
      <queryTableField id="159" name="rp_dmgs" tableColumnId="159"/>
      <queryTableField id="160" name="rp_dmgs_less_prems" tableColumnId="160"/>
      <queryTableField id="161" name="otc_dmgs" tableColumnId="161"/>
      <queryTableField id="162" name="unreimb_exp_dmgs" tableColumnId="162"/>
      <queryTableField id="163" name="clock_rounding_dmgs" tableColumnId="163"/>
      <queryTableField id="164" name="min_wage_dmgs" tableColumnId="164"/>
      <queryTableField id="165" name="unpaid_ot_hrs" tableColumnId="165"/>
      <queryTableField id="166" name="unpaid_dt_hrs" tableColumnId="166"/>
      <queryTableField id="167" name="unpaid_hrs_total" tableColumnId="167"/>
      <queryTableField id="168" name="unpaid_ot_dmgs_raw" tableColumnId="168"/>
      <queryTableField id="169" name="unpaid_ot_dmgs" tableColumnId="169"/>
      <queryTableField id="170" name="mp_ee_dmgs_less_prems" tableColumnId="170"/>
      <queryTableField id="171" name="mp_ee_dmgs_less_prems_w" tableColumnId="171"/>
      <queryTableField id="172" name="rp_ee_dmgs_less_prems" tableColumnId="172"/>
      <queryTableField id="173" name="tot_principal_dmgs" tableColumnId="173"/>
      <queryTableField id="174" name="tot_principal_dmgs_less_prems" tableColumnId="174"/>
      <queryTableField id="175" name="tot_principal_dmgs_w" tableColumnId="175"/>
      <queryTableField id="176" name="tot_principal_dmgs_less_prems_w" tableColumnId="176"/>
      <queryTableField id="177" name="Credit_Amount" tableColumnId="177"/>
      <queryTableField id="178" name="tot_principal_dmgs_less_credits" tableColumnId="178"/>
      <queryTableField id="179" name="tot_principal_dmgs_less_prems_and_credits" tableColumnId="179"/>
      <queryTableField id="180" name="tot_principal_dmgs_less_credits_w" tableColumnId="180"/>
      <queryTableField id="181" name="tot_principal_dmgs_less_prems_and_credits_w" tableColumnId="181"/>
      <queryTableField id="182" name="interest_months" tableColumnId="182"/>
      <queryTableField id="183" name="interest" tableColumnId="183"/>
      <queryTableField id="184" name="interest_less_prems" tableColumnId="184"/>
      <queryTableField id="185" name="interest_w" tableColumnId="185"/>
      <queryTableField id="186" name="interest_less_prems_w" tableColumnId="186"/>
      <queryTableField id="187" name="interest_less_credits" tableColumnId="187"/>
      <queryTableField id="188" name="interest_less_prems_and_credits" tableColumnId="188"/>
      <queryTableField id="189" name="interest_less_credits_w" tableColumnId="189"/>
      <queryTableField id="190" name="interest_less_prems_and_credits_w" tableColumnId="190"/>
      <queryTableField id="191" name="tot_dmgs" tableColumnId="191"/>
      <queryTableField id="192" name="tot_dmgs_less_prems" tableColumnId="192"/>
      <queryTableField id="193" name="tot_dmgs_w" tableColumnId="193"/>
      <queryTableField id="194" name="tot_dmgs_less_prems_w" tableColumnId="194"/>
      <queryTableField id="195" name="tot_dmgs_less_credits" tableColumnId="195"/>
      <queryTableField id="196" name="tot_dmgs_less_prems_and_credits" tableColumnId="196"/>
      <queryTableField id="197" name="tot_dmgs_less_credits_w" tableColumnId="197"/>
      <queryTableField id="198" name="tot_dmgs_less_prems_and_credits_w" tableColumnId="198"/>
      <queryTableField id="199" name="has_dmgs" tableColumnId="199"/>
      <queryTableField id="200" name="has_dmgs_less_prems" tableColumnId="200"/>
      <queryTableField id="201" name="has_dmgs_w" tableColumnId="201"/>
      <queryTableField id="202" name="has_dmgs_less_prems_w" tableColumnId="202"/>
      <queryTableField id="203" name="has_dmgs_less_credits" tableColumnId="203"/>
      <queryTableField id="204" name="has_dmgs_less_prems_and_credits" tableColumnId="204"/>
      <queryTableField id="205" name="has_dmgs_less_credits_w" tableColumnId="205"/>
      <queryTableField id="206" name="has_dmgs_less_prems_and_credits_w" tableColumnId="206"/>
      <queryTableField id="207" name="pp_count" tableColumnId="207"/>
      <queryTableField id="208" name="wsv_pp_count" tableColumnId="208"/>
      <queryTableField id="209" name="wsv_penalty_flag" tableColumnId="209"/>
      <queryTableField id="210" name="wsv_flag_count" tableColumnId="210"/>
      <queryTableField id="211" name="wsv_penalty" tableColumnId="211"/>
      <queryTableField id="212" name="wsv_penalty_flag_less_prems" tableColumnId="212"/>
      <queryTableField id="213" name="wsv_flag_count_less_prems" tableColumnId="213"/>
      <queryTableField id="214" name="wsv_penalty_less_prems" tableColumnId="214"/>
      <queryTableField id="215" name="wsv_penalty_flag_w" tableColumnId="215"/>
      <queryTableField id="216" name="wsv_flag_count_w" tableColumnId="216"/>
      <queryTableField id="217" name="wsv_penalty_w" tableColumnId="217"/>
      <queryTableField id="218" name="wsv_penalty_flag_less_prems_w" tableColumnId="218"/>
      <queryTableField id="219" name="wsv_flag_count_less_prems_w" tableColumnId="219"/>
      <queryTableField id="220" name="wsv_penalty_less_prems_w" tableColumnId="220"/>
      <queryTableField id="221" name="wsv_penalty_flag_less_credits" tableColumnId="221"/>
      <queryTableField id="222" name="wsv_flag_count_less_credits" tableColumnId="222"/>
      <queryTableField id="223" name="wsv_penalty_less_credits" tableColumnId="223"/>
      <queryTableField id="224" name="wsv_penalty_flag_less_prems_and_credits" tableColumnId="224"/>
      <queryTableField id="225" name="wsv_flag_count_less_prems_and_credits" tableColumnId="225"/>
      <queryTableField id="226" name="wsv_penalty_less_prems_and_credits" tableColumnId="226"/>
      <queryTableField id="227" name="wsv_penalty_flag_less_credits_w" tableColumnId="227"/>
      <queryTableField id="228" name="wsv_flag_count_less_credits_w" tableColumnId="228"/>
      <queryTableField id="229" name="wsv_penalty_less_credits_w" tableColumnId="229"/>
      <queryTableField id="230" name="wsv_penalty_flag_less_prems_and_credits_w" tableColumnId="230"/>
      <queryTableField id="231" name="wsv_flag_count_less_prems_and_credits_w" tableColumnId="231"/>
      <queryTableField id="232" name="wsv_penalty_less_prems_and_credits_w" tableColumnId="232"/>
      <queryTableField id="233" name="active" tableColumnId="233"/>
      <queryTableField id="234" name="final_Base_Rate" tableColumnId="234"/>
      <queryTableField id="235" name="final_RROP" tableColumnId="235"/>
      <queryTableField id="236" name="wt_rate" tableColumnId="236"/>
      <queryTableField id="237" name="has_wt_period" tableColumnId="237"/>
      <queryTableField id="238" name="wt_penalty" tableColumnId="238"/>
      <queryTableField id="239" name="wt_penalty_less_prems" tableColumnId="239"/>
      <queryTableField id="240" name="wt_penalty_w" tableColumnId="240"/>
      <queryTableField id="241" name="wt_penalty_less_prems_w" tableColumnId="241"/>
      <queryTableField id="242" name="wt_penalty_less_credits" tableColumnId="242"/>
      <queryTableField id="243" name="wt_penalty_less_prems_and_credits" tableColumnId="243"/>
      <queryTableField id="244" name="wt_penalty_less_credits_w" tableColumnId="244"/>
      <queryTableField id="245" name="wt_penalty_less_prems_and_credits_w" tableColumnId="245"/>
      <queryTableField id="246" name="tot_dmgs_w_penalties" tableColumnId="246"/>
      <queryTableField id="247" name="tot_dmgs_w_penalties_less_prems" tableColumnId="247"/>
      <queryTableField id="248" name="tot_dmgs_w_penalties_w" tableColumnId="248"/>
      <queryTableField id="249" name="tot_dmgs_w_penalties_less_prems_w" tableColumnId="249"/>
      <queryTableField id="250" name="tot_dmgs_w_penalties_less_credits" tableColumnId="250"/>
      <queryTableField id="251" name="tot_dmgs_w_penalties_less_prems_and_credits" tableColumnId="251"/>
      <queryTableField id="252" name="tot_dmgs_w_penalties_less_credits_w" tableColumnId="252"/>
      <queryTableField id="253" name="tot_dmgs_w_penalties_less_prems_and_credits_w" tableColumnId="253"/>
      <queryTableField id="254" name="paga_ee_flag" tableColumnId="254"/>
      <queryTableField id="255" name="in_PAGA_period" tableColumnId="255"/>
      <queryTableField id="256" name="PAGA_meal_flag" tableColumnId="256"/>
      <queryTableField id="257" name="PAGA_meal_flag_count" tableColumnId="257"/>
      <queryTableField id="258" name="PAGA_meal_penalties" tableColumnId="258"/>
      <queryTableField id="259" name="PAGA_rest_flag" tableColumnId="259"/>
      <queryTableField id="260" name="PAGA_rest_flag_count" tableColumnId="260"/>
      <queryTableField id="261" name="PAGA_rest_penalties" tableColumnId="261"/>
      <queryTableField id="262" name="PAGA_rrop_flag" tableColumnId="262"/>
      <queryTableField id="263" name="PAGA_rrop_flag_count" tableColumnId="263"/>
      <queryTableField id="264" name="PAGA_rrop_penalties" tableColumnId="264"/>
      <queryTableField id="265" name="PAGA_226_flag" tableColumnId="265"/>
      <queryTableField id="266" name="PAGA_226_flag_count" tableColumnId="266"/>
      <queryTableField id="267" name="PAGA_226_penalties" tableColumnId="267"/>
      <queryTableField id="268" name="PAGA_558_flag" tableColumnId="268"/>
      <queryTableField id="269" name="PAGA_558_flag_count" tableColumnId="269"/>
      <queryTableField id="270" name="PAGA_558_penalties" tableColumnId="270"/>
      <queryTableField id="271" name="PAGA_1197_1_flag" tableColumnId="271"/>
      <queryTableField id="272" name="PAGA_1197_1_flag_count" tableColumnId="272"/>
      <queryTableField id="273" name="PAGA_1197_1_penalties" tableColumnId="273"/>
      <queryTableField id="274" name="PAGA_1174_flag" tableColumnId="274"/>
      <queryTableField id="275" name="PAGA_1174_penalties" tableColumnId="275"/>
      <queryTableField id="276" name="PAGA_2802_flag" tableColumnId="276"/>
      <queryTableField id="277" name="PAGA_2802_flag_count" tableColumnId="277"/>
      <queryTableField id="278" name="PAGA_2802_penalties" tableColumnId="278"/>
      <queryTableField id="279" name="PAGA_203_flag" tableColumnId="279"/>
      <queryTableField id="280" name="PAGA_203_penalties" tableColumnId="280"/>
      <queryTableField id="281" name="has_paga_penalties" tableColumnId="281"/>
      <queryTableField id="282" name="PAGA_tot" tableColumnId="282"/>
      <queryTableField id="283" name="PAGA_meal_flag_w" tableColumnId="283"/>
      <queryTableField id="284" name="PAGA_meal_flag_count_w" tableColumnId="284"/>
      <queryTableField id="285" name="PAGA_meal_penalties_w" tableColumnId="285"/>
      <queryTableField id="286" name="PAGA_rest_flag_w" tableColumnId="286"/>
      <queryTableField id="287" name="PAGA_rest_flag_count_w" tableColumnId="287"/>
      <queryTableField id="288" name="PAGA_rest_penalties_w" tableColumnId="288"/>
      <queryTableField id="289" name="PAGA_rrop_flag_w" tableColumnId="289"/>
      <queryTableField id="290" name="PAGA_rrop_flag_count_w" tableColumnId="290"/>
      <queryTableField id="291" name="PAGA_rrop_penalties_w" tableColumnId="291"/>
      <queryTableField id="292" name="PAGA_226_flag_w" tableColumnId="292"/>
      <queryTableField id="293" name="PAGA_226_flag_count_w" tableColumnId="293"/>
      <queryTableField id="294" name="PAGA_226_penalties_w" tableColumnId="294"/>
      <queryTableField id="295" name="PAGA_558_flag_w" tableColumnId="295"/>
      <queryTableField id="296" name="PAGA_558_flag_count_w" tableColumnId="296"/>
      <queryTableField id="297" name="PAGA_558_penalties_w" tableColumnId="297"/>
      <queryTableField id="298" name="PAGA_1197_1_flag_w" tableColumnId="298"/>
      <queryTableField id="299" name="PAGA_1197_1_flag_count_w" tableColumnId="299"/>
      <queryTableField id="300" name="PAGA_1197_1_penalties_w" tableColumnId="300"/>
      <queryTableField id="301" name="PAGA_1174_flag_w" tableColumnId="301"/>
      <queryTableField id="302" name="PAGA_1174_penalties_w" tableColumnId="302"/>
      <queryTableField id="303" name="PAGA_2802_flag_w" tableColumnId="303"/>
      <queryTableField id="304" name="PAGA_2802_flag_count_w" tableColumnId="304"/>
      <queryTableField id="305" name="PAGA_2802_penalties_w" tableColumnId="305"/>
      <queryTableField id="306" name="PAGA_203_flag_w" tableColumnId="306"/>
      <queryTableField id="307" name="PAGA_203_penalties_w" tableColumnId="307"/>
      <queryTableField id="308" name="PAGA_tot_w" tableColumnId="308"/>
      <queryTableField id="309" name="PAGA_meal_flag_less_prems" tableColumnId="309"/>
      <queryTableField id="310" name="PAGA_meal_flag_count_less_prems" tableColumnId="310"/>
      <queryTableField id="311" name="PAGA_meal_penalties_less_prems" tableColumnId="311"/>
      <queryTableField id="312" name="PAGA_rest_flag_less_prems" tableColumnId="312"/>
      <queryTableField id="313" name="PAGA_rest_flag_count_less_prems" tableColumnId="313"/>
      <queryTableField id="314" name="PAGA_rest_penalties_less_prems" tableColumnId="314"/>
      <queryTableField id="315" name="PAGA_rrop_flag_less_prems" tableColumnId="315"/>
      <queryTableField id="316" name="PAGA_rrop_flag_count_less_prems" tableColumnId="316"/>
      <queryTableField id="317" name="PAGA_rrop_penalties_less_prems" tableColumnId="317"/>
      <queryTableField id="318" name="PAGA_226_flag_less_prems" tableColumnId="318"/>
      <queryTableField id="319" name="PAGA_226_flag_count_less_prems" tableColumnId="319"/>
      <queryTableField id="320" name="PAGA_226_penalties_less_prems" tableColumnId="320"/>
      <queryTableField id="321" name="PAGA_558_flag_less_prems" tableColumnId="321"/>
      <queryTableField id="322" name="PAGA_558_flag_count_less_prems" tableColumnId="322"/>
      <queryTableField id="323" name="PAGA_558_penalties_less_prems" tableColumnId="323"/>
      <queryTableField id="324" name="PAGA_1197_1_flag_less_prems" tableColumnId="324"/>
      <queryTableField id="325" name="PAGA_1197_1_flag_count_less_prems" tableColumnId="325"/>
      <queryTableField id="326" name="PAGA_1197_1_penalties_less_prems" tableColumnId="326"/>
      <queryTableField id="327" name="PAGA_1174_flag_less_prems" tableColumnId="327"/>
      <queryTableField id="328" name="PAGA_1174_penalties_less_prems" tableColumnId="328"/>
      <queryTableField id="329" name="PAGA_2802_flag_less_prems" tableColumnId="329"/>
      <queryTableField id="330" name="PAGA_2802_flag_count_less_prems" tableColumnId="330"/>
      <queryTableField id="331" name="PAGA_2802_penalties_less_prems" tableColumnId="331"/>
      <queryTableField id="332" name="PAGA_203_flag_less_prems" tableColumnId="332"/>
      <queryTableField id="333" name="PAGA_203_penalties_less_prems" tableColumnId="333"/>
      <queryTableField id="334" name="PAGA_tot_less_prems" tableColumnId="334"/>
      <queryTableField id="335" name="PAGA_meal_flag_less_prems_w" tableColumnId="335"/>
      <queryTableField id="336" name="PAGA_meal_flag_count_less_prems_w" tableColumnId="336"/>
      <queryTableField id="337" name="PAGA_meal_penalties_less_prems_w" tableColumnId="337"/>
      <queryTableField id="338" name="PAGA_rest_flag_less_prems_w" tableColumnId="338"/>
      <queryTableField id="339" name="PAGA_rest_flag_count_less_prems_w" tableColumnId="339"/>
      <queryTableField id="340" name="PAGA_rest_penalties_less_prems_w" tableColumnId="340"/>
      <queryTableField id="341" name="PAGA_rrop_flag_less_prems_w" tableColumnId="341"/>
      <queryTableField id="342" name="PAGA_rrop_flag_count_less_prems_w" tableColumnId="342"/>
      <queryTableField id="343" name="PAGA_rrop_penalties_less_prems_w" tableColumnId="343"/>
      <queryTableField id="344" name="PAGA_226_flag_less_prems_w" tableColumnId="344"/>
      <queryTableField id="345" name="PAGA_226_flag_count_less_prems_w" tableColumnId="345"/>
      <queryTableField id="346" name="PAGA_226_penalties_less_prems_w" tableColumnId="346"/>
      <queryTableField id="347" name="PAGA_558_flag_less_prems_w" tableColumnId="347"/>
      <queryTableField id="348" name="PAGA_558_flag_count_less_prems_w" tableColumnId="348"/>
      <queryTableField id="349" name="PAGA_558_penalties_less_prems_w" tableColumnId="349"/>
      <queryTableField id="350" name="PAGA_1197_1_flag_less_prems_w" tableColumnId="350"/>
      <queryTableField id="351" name="PAGA_1197_1_flag_count_less_prems_w" tableColumnId="351"/>
      <queryTableField id="352" name="PAGA_1197_1_penalties_less_prems_w" tableColumnId="352"/>
      <queryTableField id="353" name="PAGA_1174_flag_less_prems_w" tableColumnId="353"/>
      <queryTableField id="354" name="PAGA_1174_penalties_less_prems_w" tableColumnId="354"/>
      <queryTableField id="355" name="PAGA_2802_flag_less_prems_w" tableColumnId="355"/>
      <queryTableField id="356" name="PAGA_2802_flag_count_less_prems_w" tableColumnId="356"/>
      <queryTableField id="357" name="PAGA_2802_penalties_less_prems_w" tableColumnId="357"/>
      <queryTableField id="358" name="PAGA_203_flag_less_prems_w" tableColumnId="358"/>
      <queryTableField id="359" name="PAGA_203_penalties_less_prems_w" tableColumnId="359"/>
      <queryTableField id="360" name="PAGA_tot_less_prems_w" tableColumnId="360"/>
      <queryTableField id="361" name="PAGA_meal_flag_less_credits" tableColumnId="361"/>
      <queryTableField id="362" name="PAGA_meal_flag_count_less_credits" tableColumnId="362"/>
      <queryTableField id="363" name="PAGA_meal_penalties_less_credits" tableColumnId="363"/>
      <queryTableField id="364" name="PAGA_rest_flag_less_credits" tableColumnId="364"/>
      <queryTableField id="365" name="PAGA_rest_flag_count_less_credits" tableColumnId="365"/>
      <queryTableField id="366" name="PAGA_rest_penalties_less_credits" tableColumnId="366"/>
      <queryTableField id="367" name="PAGA_rrop_flag_less_credits" tableColumnId="367"/>
      <queryTableField id="368" name="PAGA_rrop_flag_count_less_credits" tableColumnId="368"/>
      <queryTableField id="369" name="PAGA_rrop_penalties_less_credits" tableColumnId="369"/>
      <queryTableField id="370" name="PAGA_226_flag_less_credits" tableColumnId="370"/>
      <queryTableField id="371" name="PAGA_226_flag_count_less_credits" tableColumnId="371"/>
      <queryTableField id="372" name="PAGA_226_penalties_less_credits" tableColumnId="372"/>
      <queryTableField id="373" name="PAGA_558_flag_less_credits" tableColumnId="373"/>
      <queryTableField id="374" name="PAGA_558_flag_count_less_credits" tableColumnId="374"/>
      <queryTableField id="375" name="PAGA_558_penalties_less_credits" tableColumnId="375"/>
      <queryTableField id="376" name="PAGA_1197_1_flag_less_credits" tableColumnId="376"/>
      <queryTableField id="377" name="PAGA_1197_1_flag_count_less_credits" tableColumnId="377"/>
      <queryTableField id="378" name="PAGA_1197_1_penalties_less_credits" tableColumnId="378"/>
      <queryTableField id="379" name="PAGA_1174_flag_less_credits" tableColumnId="379"/>
      <queryTableField id="380" name="PAGA_1174_penalties_less_credits" tableColumnId="380"/>
      <queryTableField id="381" name="PAGA_2802_flag_less_credits" tableColumnId="381"/>
      <queryTableField id="382" name="PAGA_2802_flag_count_less_credits" tableColumnId="382"/>
      <queryTableField id="383" name="PAGA_2802_penalties_less_credits" tableColumnId="383"/>
      <queryTableField id="384" name="PAGA_203_flag_less_credits" tableColumnId="384"/>
      <queryTableField id="385" name="PAGA_203_penalties_less_credits" tableColumnId="385"/>
      <queryTableField id="386" name="PAGA_tot_less_credits" tableColumnId="386"/>
      <queryTableField id="387" name="PAGA_meal_flag_less_prems_and_credits" tableColumnId="387"/>
      <queryTableField id="388" name="PAGA_meal_flag_count_less_prems_and_credits" tableColumnId="388"/>
      <queryTableField id="389" name="PAGA_meal_penalties_less_prems_and_credits" tableColumnId="389"/>
      <queryTableField id="390" name="PAGA_rest_flag_less_prems_and_credits" tableColumnId="390"/>
      <queryTableField id="391" name="PAGA_rest_flag_count_less_prems_and_credits" tableColumnId="391"/>
      <queryTableField id="392" name="PAGA_rest_penalties_less_prems_and_credits" tableColumnId="392"/>
      <queryTableField id="393" name="PAGA_rrop_flag_less_prems_and_credits" tableColumnId="393"/>
      <queryTableField id="394" name="PAGA_rrop_flag_count_less_prems_and_credits" tableColumnId="394"/>
      <queryTableField id="395" name="PAGA_rrop_penalties_less_prems_and_credits" tableColumnId="395"/>
      <queryTableField id="396" name="PAGA_226_flag_less_prems_and_credits" tableColumnId="396"/>
      <queryTableField id="397" name="PAGA_226_flag_count_less_prems_and_credits" tableColumnId="397"/>
      <queryTableField id="398" name="PAGA_226_penalties_less_prems_and_credits" tableColumnId="398"/>
      <queryTableField id="399" name="PAGA_558_flag_less_prems_and_credits" tableColumnId="399"/>
      <queryTableField id="400" name="PAGA_558_flag_count_less_prems_and_credits" tableColumnId="400"/>
      <queryTableField id="401" name="PAGA_558_penalties_less_prems_and_credits" tableColumnId="401"/>
      <queryTableField id="402" name="PAGA_1197_1_flag_less_prems_and_credits" tableColumnId="402"/>
      <queryTableField id="403" name="PAGA_1197_1_flag_count_less_prems_and_credits" tableColumnId="403"/>
      <queryTableField id="404" name="PAGA_1197_1_penalties_less_prems_and_credits" tableColumnId="404"/>
      <queryTableField id="405" name="PAGA_1174_flag_less_prems_and_credits" tableColumnId="405"/>
      <queryTableField id="406" name="PAGA_1174_penalties_less_prems_and_credits" tableColumnId="406"/>
      <queryTableField id="407" name="PAGA_2802_flag_less_prems_and_credits" tableColumnId="407"/>
      <queryTableField id="408" name="PAGA_2802_flag_count_less_prems_and_credits" tableColumnId="408"/>
      <queryTableField id="409" name="PAGA_2802_penalties_less_prems_and_credits" tableColumnId="409"/>
      <queryTableField id="410" name="PAGA_203_flag_less_prems_and_credits" tableColumnId="410"/>
      <queryTableField id="411" name="PAGA_203_penalties_less_prems_and_credits" tableColumnId="411"/>
      <queryTableField id="412" name="PAGA_tot_less_prems_and_credits" tableColumnId="412"/>
      <queryTableField id="413" name="PAGA_meal_flag_less_credits_w" tableColumnId="413"/>
      <queryTableField id="414" name="PAGA_meal_flag_count_less_credits_w" tableColumnId="414"/>
      <queryTableField id="415" name="PAGA_meal_penalties_less_credits_w" tableColumnId="415"/>
      <queryTableField id="416" name="PAGA_rest_flag_less_credits_w" tableColumnId="416"/>
      <queryTableField id="417" name="PAGA_rest_flag_count_less_credits_w" tableColumnId="417"/>
      <queryTableField id="418" name="PAGA_rest_penalties_less_credits_w" tableColumnId="418"/>
      <queryTableField id="419" name="PAGA_rrop_flag_less_credits_w" tableColumnId="419"/>
      <queryTableField id="420" name="PAGA_rrop_flag_count_less_credits_w" tableColumnId="420"/>
      <queryTableField id="421" name="PAGA_rrop_penalties_less_credits_w" tableColumnId="421"/>
      <queryTableField id="422" name="PAGA_226_flag_less_credits_w" tableColumnId="422"/>
      <queryTableField id="423" name="PAGA_226_flag_count_less_credits_w" tableColumnId="423"/>
      <queryTableField id="424" name="PAGA_226_penalties_less_credits_w" tableColumnId="424"/>
      <queryTableField id="425" name="PAGA_558_flag_less_credits_w" tableColumnId="425"/>
      <queryTableField id="426" name="PAGA_558_flag_count_less_credits_w" tableColumnId="426"/>
      <queryTableField id="427" name="PAGA_558_penalties_less_credits_w" tableColumnId="427"/>
      <queryTableField id="428" name="PAGA_1197_1_flag_less_credits_w" tableColumnId="428"/>
      <queryTableField id="429" name="PAGA_1197_1_flag_count_less_credits_w" tableColumnId="429"/>
      <queryTableField id="430" name="PAGA_1197_1_penalties_less_credits_w" tableColumnId="430"/>
      <queryTableField id="431" name="PAGA_1174_flag_less_credits_w" tableColumnId="431"/>
      <queryTableField id="432" name="PAGA_1174_penalties_less_credits_w" tableColumnId="432"/>
      <queryTableField id="433" name="PAGA_2802_flag_less_credits_w" tableColumnId="433"/>
      <queryTableField id="434" name="PAGA_2802_flag_count_less_credits_w" tableColumnId="434"/>
      <queryTableField id="435" name="PAGA_2802_penalties_less_credits_w" tableColumnId="435"/>
      <queryTableField id="436" name="PAGA_203_flag_less_credits_w" tableColumnId="436"/>
      <queryTableField id="437" name="PAGA_203_penalties_less_credits_w" tableColumnId="437"/>
      <queryTableField id="438" name="PAGA_tot_less_credits_w" tableColumnId="438"/>
      <queryTableField id="439" name="PAGA_meal_flag_less_prems_and_credits_w" tableColumnId="439"/>
      <queryTableField id="440" name="PAGA_meal_flag_count_less_prems_and_credits_w" tableColumnId="440"/>
      <queryTableField id="441" name="PAGA_meal_penalties_less_prems_and_credits_w" tableColumnId="441"/>
      <queryTableField id="442" name="PAGA_rest_flag_less_prems_and_credits_w" tableColumnId="442"/>
      <queryTableField id="443" name="PAGA_rest_flag_count_less_prems_and_credits_w" tableColumnId="443"/>
      <queryTableField id="444" name="PAGA_rest_penalties_less_prems_and_credits_w" tableColumnId="444"/>
      <queryTableField id="445" name="PAGA_rrop_flag_less_prems_and_credits_w" tableColumnId="445"/>
      <queryTableField id="446" name="PAGA_rrop_flag_count_less_prems_and_credits_w" tableColumnId="446"/>
      <queryTableField id="447" name="PAGA_rrop_penalties_less_prems_and_credits_w" tableColumnId="447"/>
      <queryTableField id="448" name="PAGA_226_flag_less_prems_and_credits_w" tableColumnId="448"/>
      <queryTableField id="449" name="PAGA_226_flag_count_less_prems_and_credits_w" tableColumnId="449"/>
      <queryTableField id="450" name="PAGA_226_penalties_less_prems_and_credits_w" tableColumnId="450"/>
      <queryTableField id="451" name="PAGA_558_flag_less_prems_and_credits_w" tableColumnId="451"/>
      <queryTableField id="452" name="PAGA_558_flag_count_less_prems_and_credits_w" tableColumnId="452"/>
      <queryTableField id="453" name="PAGA_558_penalties_less_prems_and_credits_w" tableColumnId="453"/>
      <queryTableField id="454" name="PAGA_1197_1_flag_less_prems_and_credits_w" tableColumnId="454"/>
      <queryTableField id="455" name="PAGA_1197_1_flag_count_less_prems_and_credits_w" tableColumnId="455"/>
      <queryTableField id="456" name="PAGA_1197_1_penalties_less_prems_and_credits_w" tableColumnId="456"/>
      <queryTableField id="457" name="PAGA_1174_flag_less_prems_and_credits_w" tableColumnId="457"/>
      <queryTableField id="458" name="PAGA_1174_penalties_less_prems_and_credits_w" tableColumnId="458"/>
      <queryTableField id="459" name="PAGA_2802_flag_less_prems_and_credits_w" tableColumnId="459"/>
      <queryTableField id="460" name="PAGA_2802_flag_count_less_prems_and_credits_w" tableColumnId="460"/>
      <queryTableField id="461" name="PAGA_2802_penalties_less_prems_and_credits_w" tableColumnId="461"/>
      <queryTableField id="462" name="PAGA_203_flag_less_prems_and_credits_w" tableColumnId="462"/>
      <queryTableField id="463" name="PAGA_203_penalties_less_prems_and_credits_w" tableColumnId="463"/>
      <queryTableField id="464" name="PAGA_tot_less_prems_and_credits_w" tableColumnId="464"/>
      <queryTableField id="465" name="ee_has_dmgs" tableColumnId="465"/>
      <queryTableField id="466" name="ee_has_dmgs_less_prems" tableColumnId="466"/>
      <queryTableField id="467" name="ee_has_dmgs_w" tableColumnId="467"/>
      <queryTableField id="468" name="ee_has_dmgs_less_prems_w" tableColumnId="468"/>
      <queryTableField id="469" name="ee_has_dmgs_less_credits" tableColumnId="469"/>
      <queryTableField id="470" name="ee_has_dmgs_less_prems_and_credits" tableColumnId="470"/>
      <queryTableField id="471" name="ee_has_dmgs_less_credits_w" tableColumnId="471"/>
      <queryTableField id="472" name="ee_has_dmgs_less_prems_and_credits_w" tableColumnId="472"/>
      <queryTableField id="473" name="has_wsv_penalties" tableColumnId="473"/>
      <queryTableField id="474" name="ee_has_wsv_penalties" tableColumnId="474"/>
      <queryTableField id="475" name="has_wsv_penalties_less_prems" tableColumnId="475"/>
      <queryTableField id="476" name="ee_has_wsv_penalties_less_prems" tableColumnId="476"/>
      <queryTableField id="477" name="has_wsv_penalties_w" tableColumnId="477"/>
      <queryTableField id="478" name="ee_has_wsv_penalties_w" tableColumnId="478"/>
      <queryTableField id="479" name="has_wsv_penalties_less_prems_w" tableColumnId="479"/>
      <queryTableField id="480" name="ee_has_wsv_penalties_less_prems_w" tableColumnId="480"/>
      <queryTableField id="481" name="has_wsv_penalties_less_credits" tableColumnId="481"/>
      <queryTableField id="482" name="ee_has_wsv_penalties_less_credits" tableColumnId="482"/>
      <queryTableField id="483" name="has_wsv_penalties_less_prems_and_credits" tableColumnId="483"/>
      <queryTableField id="484" name="ee_has_wsv_penalties_less_prems_and_credits" tableColumnId="484"/>
      <queryTableField id="485" name="has_wsv_penalties_less_credits_w" tableColumnId="485"/>
      <queryTableField id="486" name="ee_has_wsv_penalties_less_credits_w" tableColumnId="486"/>
      <queryTableField id="487" name="has_wsv_penalties_less_prems_and_credits_w" tableColumnId="487"/>
      <queryTableField id="488" name="ee_has_wsv_penalties_less_prems_and_credits_w" tableColumnId="488"/>
      <queryTableField id="489" name="has_wt_penalties" tableColumnId="489"/>
      <queryTableField id="490" name="ee_has_wt_penalties" tableColumnId="490"/>
      <queryTableField id="491" name="has_wt_penalties_less_prems" tableColumnId="491"/>
      <queryTableField id="492" name="ee_has_wt_penalties_less_prems" tableColumnId="492"/>
      <queryTableField id="493" name="has_wt_penalties_w" tableColumnId="493"/>
      <queryTableField id="494" name="ee_has_wt_penalties_w" tableColumnId="494"/>
      <queryTableField id="495" name="has_wt_penalties_less_prems_w" tableColumnId="495"/>
      <queryTableField id="496" name="ee_has_wt_penalties_less_prems_w" tableColumnId="496"/>
      <queryTableField id="497" name="has_wt_penalties_less_credits" tableColumnId="497"/>
      <queryTableField id="498" name="ee_has_wt_penalties_less_credits" tableColumnId="498"/>
      <queryTableField id="499" name="has_wt_penalties_less_prems_and_credits" tableColumnId="499"/>
      <queryTableField id="500" name="ee_has_wt_penalties_less_prems_and_credits" tableColumnId="500"/>
      <queryTableField id="501" name="has_wt_penalties_less_credits_w" tableColumnId="501"/>
      <queryTableField id="502" name="ee_has_wt_penalties_less_credits_w" tableColumnId="502"/>
      <queryTableField id="503" name="has_wt_penalties_less_prems_and_credits_w" tableColumnId="503"/>
      <queryTableField id="504" name="ee_has_wt_penalties_less_prems_and_credits_w" tableColumnId="504"/>
      <queryTableField id="505" name="ee_has_paga_penalties" tableColumnId="505"/>
      <queryTableField id="506" name="ee_has_paga_meal" tableColumnId="506"/>
      <queryTableField id="507" name="ee_has_paga_rest" tableColumnId="507"/>
      <queryTableField id="508" name="ee_has_paga_rrop" tableColumnId="508"/>
      <queryTableField id="509" name="ee_has_paga_226" tableColumnId="509"/>
      <queryTableField id="510" name="ee_has_paga_558" tableColumnId="510"/>
      <queryTableField id="511" name="ee_has_paga_1197_1" tableColumnId="511"/>
      <queryTableField id="512" name="ee_has_paga_1174" tableColumnId="512"/>
      <queryTableField id="513" name="ee_has_paga_2802" tableColumnId="513"/>
      <queryTableField id="514" name="ee_has_paga_203" tableColumnId="514"/>
      <queryTableField id="515" name="ee_has_paga_penalties_w" tableColumnId="515"/>
      <queryTableField id="516" name="ee_has_paga_meal_w" tableColumnId="516"/>
      <queryTableField id="517" name="ee_has_paga_rest_w" tableColumnId="517"/>
      <queryTableField id="518" name="ee_has_paga_rrop_w" tableColumnId="518"/>
      <queryTableField id="519" name="ee_has_paga_226_w" tableColumnId="519"/>
      <queryTableField id="520" name="ee_has_paga_558_w" tableColumnId="520"/>
      <queryTableField id="521" name="ee_has_paga_1197_1_w" tableColumnId="521"/>
      <queryTableField id="522" name="ee_has_paga_1174_w" tableColumnId="522"/>
      <queryTableField id="523" name="ee_has_paga_2802_w" tableColumnId="523"/>
      <queryTableField id="524" name="ee_has_paga_203_w" tableColumnId="524"/>
      <queryTableField id="525" name="ee_has_paga_penalties_less_prems" tableColumnId="525"/>
      <queryTableField id="526" name="ee_has_paga_meal_less_prems" tableColumnId="526"/>
      <queryTableField id="527" name="ee_has_paga_rest_less_prems" tableColumnId="527"/>
      <queryTableField id="528" name="ee_has_paga_rrop_less_prems" tableColumnId="528"/>
      <queryTableField id="529" name="ee_has_paga_226_less_prems" tableColumnId="529"/>
      <queryTableField id="530" name="ee_has_paga_558_less_prems" tableColumnId="530"/>
      <queryTableField id="531" name="ee_has_paga_1197_1_less_prems" tableColumnId="531"/>
      <queryTableField id="532" name="ee_has_paga_1174_less_prems" tableColumnId="532"/>
      <queryTableField id="533" name="ee_has_paga_2802_less_prems" tableColumnId="533"/>
      <queryTableField id="534" name="ee_has_paga_203_less_prems" tableColumnId="534"/>
      <queryTableField id="535" name="ee_has_paga_penalties_less_prems_w" tableColumnId="535"/>
      <queryTableField id="536" name="ee_has_paga_meal_less_prems_w" tableColumnId="536"/>
      <queryTableField id="537" name="ee_has_paga_rest_less_prems_w" tableColumnId="537"/>
      <queryTableField id="538" name="ee_has_paga_rrop_less_prems_w" tableColumnId="538"/>
      <queryTableField id="539" name="ee_has_paga_226_less_prems_w" tableColumnId="539"/>
      <queryTableField id="540" name="ee_has_paga_558_less_prems_w" tableColumnId="540"/>
      <queryTableField id="541" name="ee_has_paga_1197_1_less_prems_w" tableColumnId="541"/>
      <queryTableField id="542" name="ee_has_paga_1174_less_prems_w" tableColumnId="542"/>
      <queryTableField id="543" name="ee_has_paga_2802_less_prems_w" tableColumnId="543"/>
      <queryTableField id="544" name="ee_has_paga_203_less_prems_w" tableColumnId="544"/>
      <queryTableField id="545" name="ee_has_paga_penalties_less_credits" tableColumnId="545"/>
      <queryTableField id="546" name="ee_has_paga_meal_less_credits" tableColumnId="546"/>
      <queryTableField id="547" name="ee_has_paga_rest_less_credits" tableColumnId="547"/>
      <queryTableField id="548" name="ee_has_paga_rrop_less_credits" tableColumnId="548"/>
      <queryTableField id="549" name="ee_has_paga_226_less_credits" tableColumnId="549"/>
      <queryTableField id="550" name="ee_has_paga_558_less_credits" tableColumnId="550"/>
      <queryTableField id="551" name="ee_has_paga_1197_1_less_credits" tableColumnId="551"/>
      <queryTableField id="552" name="ee_has_paga_1174_less_credits" tableColumnId="552"/>
      <queryTableField id="553" name="ee_has_paga_2802_less_credits" tableColumnId="553"/>
      <queryTableField id="554" name="ee_has_paga_203_less_credits" tableColumnId="554"/>
      <queryTableField id="555" name="ee_has_paga_penalties_less_prems_and_credits" tableColumnId="555"/>
      <queryTableField id="556" name="ee_has_paga_meal_less_prems_and_credits" tableColumnId="556"/>
      <queryTableField id="557" name="ee_has_paga_rest_less_prems_and_credits" tableColumnId="557"/>
      <queryTableField id="558" name="ee_has_paga_rrop_less_prems_and_credits" tableColumnId="558"/>
      <queryTableField id="559" name="ee_has_paga_226_less_prems_and_credits" tableColumnId="559"/>
      <queryTableField id="560" name="ee_has_paga_558_less_prems_and_credits" tableColumnId="560"/>
      <queryTableField id="561" name="ee_has_paga_1197_1_less_prems_and_credits" tableColumnId="561"/>
      <queryTableField id="562" name="ee_has_paga_1174_less_prems_and_credits" tableColumnId="562"/>
      <queryTableField id="563" name="ee_has_paga_2802_less_prems_and_credits" tableColumnId="563"/>
      <queryTableField id="564" name="ee_has_paga_203_less_prems_and_credits" tableColumnId="564"/>
      <queryTableField id="565" name="ee_has_paga_penalties_less_credits_w" tableColumnId="565"/>
      <queryTableField id="566" name="ee_has_paga_meal_less_credits_w" tableColumnId="566"/>
      <queryTableField id="567" name="ee_has_paga_rest_less_credits_w" tableColumnId="567"/>
      <queryTableField id="568" name="ee_has_paga_rrop_less_credits_w" tableColumnId="568"/>
      <queryTableField id="569" name="ee_has_paga_226_less_credits_w" tableColumnId="569"/>
      <queryTableField id="570" name="ee_has_paga_558_less_credits_w" tableColumnId="570"/>
      <queryTableField id="571" name="ee_has_paga_1197_1_less_credits_w" tableColumnId="571"/>
      <queryTableField id="572" name="ee_has_paga_1174_less_credits_w" tableColumnId="572"/>
      <queryTableField id="573" name="ee_has_paga_2802_less_credits_w" tableColumnId="573"/>
      <queryTableField id="574" name="ee_has_paga_203_less_credits_w" tableColumnId="574"/>
      <queryTableField id="575" name="ee_has_paga_penalties_less_prems_and_credits_w" tableColumnId="575"/>
      <queryTableField id="576" name="ee_has_paga_meal_less_prems_and_credits_w" tableColumnId="576"/>
      <queryTableField id="577" name="ee_has_paga_rest_less_prems_and_credits_w" tableColumnId="577"/>
      <queryTableField id="578" name="ee_has_paga_rrop_less_prems_and_credits_w" tableColumnId="578"/>
      <queryTableField id="579" name="ee_has_paga_226_less_prems_and_credits_w" tableColumnId="579"/>
      <queryTableField id="580" name="ee_has_paga_558_less_prems_and_credits_w" tableColumnId="580"/>
      <queryTableField id="581" name="ee_has_paga_1197_1_less_prems_and_credits_w" tableColumnId="581"/>
      <queryTableField id="582" name="ee_has_paga_1174_less_prems_and_credits_w" tableColumnId="582"/>
      <queryTableField id="583" name="ee_has_paga_2802_less_prems_and_credits_w" tableColumnId="583"/>
      <queryTableField id="584" name="ee_has_paga_203_less_prems_and_credits_w" tableColumnId="58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11BF8597-2344-4763-9FC5-E5B34E5ADADA}" autoFormatId="16" applyNumberFormats="0" applyBorderFormats="0" applyFontFormats="0" applyPatternFormats="0" applyAlignmentFormats="0" applyWidthHeightFormats="0">
  <queryTableRefresh nextId="448">
    <queryTableFields count="349">
      <queryTableField id="99" name="ID" tableColumnId="1"/>
      <queryTableField id="100" name="Name" tableColumnId="2"/>
      <queryTableField id="101" name="Pay_Name" tableColumnId="3"/>
      <queryTableField id="102" name="Source" tableColumnId="4"/>
      <queryTableField id="103" name="Pay_Source" tableColumnId="5"/>
      <queryTableField id="104" name="Sheet" tableColumnId="6"/>
      <queryTableField id="105" name="Key_Gps" tableColumnId="7"/>
      <queryTableField id="106" name="active" tableColumnId="8"/>
      <queryTableField id="107" name="shift" tableColumnId="9"/>
      <queryTableField id="108" name="mp" tableColumnId="10"/>
      <queryTableField id="109" name="mp_lt_twenty" tableColumnId="11"/>
      <queryTableField id="110" name="mp_lt_thirty" tableColumnId="12"/>
      <queryTableField id="111" name="mp_thirty" tableColumnId="13"/>
      <queryTableField id="112" name="mp_gt_thirty" tableColumnId="14"/>
      <queryTableField id="113" name="mp_gt_two_hrs" tableColumnId="15"/>
      <queryTableField id="114" name="mp_gt_four_hrs" tableColumnId="16"/>
      <queryTableField id="115" name="MissMP1" tableColumnId="17"/>
      <queryTableField id="116" name="LateMP1" tableColumnId="18"/>
      <queryTableField id="117" name="ShortMP1" tableColumnId="19"/>
      <queryTableField id="118" name="MissMP2" tableColumnId="20"/>
      <queryTableField id="119" name="LateMP2" tableColumnId="21"/>
      <queryTableField id="120" name="ShortMP2" tableColumnId="22"/>
      <queryTableField id="121" name="mp1_violation" tableColumnId="23"/>
      <queryTableField id="122" name="mp2_violation" tableColumnId="24"/>
      <queryTableField id="123" name="MissMP1_w" tableColumnId="25"/>
      <queryTableField id="124" name="LateMP1_w" tableColumnId="26"/>
      <queryTableField id="125" name="ShortMP1_w" tableColumnId="27"/>
      <queryTableField id="126" name="MissMP2_w" tableColumnId="28"/>
      <queryTableField id="127" name="LateMP2_w" tableColumnId="29"/>
      <queryTableField id="128" name="ShortMP2_w" tableColumnId="30"/>
      <queryTableField id="129" name="mp1_violation_w" tableColumnId="31"/>
      <queryTableField id="130" name="mp2_violation_w" tableColumnId="32"/>
      <queryTableField id="131" name="mpv_per_pp" tableColumnId="33"/>
      <queryTableField id="132" name="mpv_per_pp_w" tableColumnId="34"/>
      <queryTableField id="133" name="rpv_per_pp" tableColumnId="35"/>
      <queryTableField id="134" name="mpv_shift_less_prems" tableColumnId="36"/>
      <queryTableField id="135" name="mpv_shift_less_prems_w" tableColumnId="37"/>
      <queryTableField id="136" name="rpv_shift_less_prems" tableColumnId="38"/>
      <queryTableField id="137" name="mpv_per_pp_less_prems" tableColumnId="39"/>
      <queryTableField id="138" name="mpv_per_pp_less_prems_w" tableColumnId="40"/>
      <queryTableField id="139" name="rpv_per_pp_less_prems" tableColumnId="41"/>
      <queryTableField id="140" name="mp_dmgs" tableColumnId="42"/>
      <queryTableField id="141" name="mp_dmgs_w" tableColumnId="43"/>
      <queryTableField id="142" name="mp_dmgs_less_prems" tableColumnId="44"/>
      <queryTableField id="143" name="mp_dmgs_less_prems_w" tableColumnId="45"/>
      <queryTableField id="144" name="rp_dmgs" tableColumnId="46"/>
      <queryTableField id="145" name="rp_dmgs_less_prems" tableColumnId="47"/>
      <queryTableField id="146" name="rrop_by_code_underpayment" tableColumnId="48"/>
      <queryTableField id="147" name="Wage_Diff" tableColumnId="49"/>
      <queryTableField id="148" name="OT_Diff" tableColumnId="50"/>
      <queryTableField id="149" name="DT_Diff" tableColumnId="51"/>
      <queryTableField id="150" name="Meal_Diff" tableColumnId="52"/>
      <queryTableField id="151" name="Rest_Diff" tableColumnId="53"/>
      <queryTableField id="152" name="Sick_Diff" tableColumnId="54"/>
      <queryTableField id="153" name="OT_Overpayment" tableColumnId="55"/>
      <queryTableField id="154" name="DT_Overpayment" tableColumnId="56"/>
      <queryTableField id="155" name="Meal_Overpayment" tableColumnId="57"/>
      <queryTableField id="156" name="Rest_Overpayment" tableColumnId="58"/>
      <queryTableField id="157" name="Sick_Overpayment" tableColumnId="59"/>
      <queryTableField id="158" name="OT_rrop_dmgs" tableColumnId="60"/>
      <queryTableField id="159" name="DT_rrop_dmgs" tableColumnId="61"/>
      <queryTableField id="160" name="Meal_rrop_dmgs" tableColumnId="62"/>
      <queryTableField id="161" name="Rest_rrop_dmgs" tableColumnId="63"/>
      <queryTableField id="162" name="Sick_rrop_dmgs" tableColumnId="64"/>
      <queryTableField id="163" name="Gross_Overpayment" tableColumnId="65"/>
      <queryTableField id="164" name="Gross_rrop_dmgs" tableColumnId="66"/>
      <queryTableField id="165" name="Net_Overpayment" tableColumnId="67"/>
      <queryTableField id="166" name="Net_rrop_dmgs" tableColumnId="68"/>
      <queryTableField id="167" name="rrop_any_underpayment" tableColumnId="69"/>
      <queryTableField id="168" name="rrop_net_underpayment" tableColumnId="70"/>
      <queryTableField id="169" name="otc_dmgs" tableColumnId="71"/>
      <queryTableField id="170" name="unreimb_exp_dmgs" tableColumnId="72"/>
      <queryTableField id="171" name="clock_rounding_dmgs" tableColumnId="73"/>
      <queryTableField id="172" name="unpaid_ot_dmgs" tableColumnId="74"/>
      <queryTableField id="173" name="min_wage_dmgs" tableColumnId="75"/>
      <queryTableField id="174" name="tot_principal_dmgs" tableColumnId="76"/>
      <queryTableField id="175" name="tot_principal_dmgs_less_prems" tableColumnId="77"/>
      <queryTableField id="176" name="tot_principal_dmgs_w" tableColumnId="78"/>
      <queryTableField id="177" name="tot_principal_dmgs_less_prems_w" tableColumnId="79"/>
      <queryTableField id="178" name="Credit_Amount" tableColumnId="80"/>
      <queryTableField id="179" name="tot_principal_dmgs_less_credits" tableColumnId="81"/>
      <queryTableField id="180" name="tot_principal_dmgs_less_prems_and_credits" tableColumnId="82"/>
      <queryTableField id="181" name="tot_principal_dmgs_less_credits_w" tableColumnId="83"/>
      <queryTableField id="182" name="tot_principal_dmgs_less_prems_and_credits_w" tableColumnId="84"/>
      <queryTableField id="183" name="has_dmgs" tableColumnId="85"/>
      <queryTableField id="184" name="has_dmgs_less_prems" tableColumnId="86"/>
      <queryTableField id="185" name="has_dmgs_w" tableColumnId="87"/>
      <queryTableField id="186" name="has_dmgs_less_prems_w" tableColumnId="88"/>
      <queryTableField id="187" name="has_dmgs_less_credits" tableColumnId="89"/>
      <queryTableField id="188" name="has_dmgs_less_prems_and_credits" tableColumnId="90"/>
      <queryTableField id="189" name="has_dmgs_less_credits_w" tableColumnId="91"/>
      <queryTableField id="190" name="has_dmgs_less_prems_and_credits_w" tableColumnId="92"/>
      <queryTableField id="191" name="has_wsv_penalties" tableColumnId="93"/>
      <queryTableField id="192" name="has_wsv_penalties_less_prems" tableColumnId="94"/>
      <queryTableField id="193" name="has_wsv_penalties_w" tableColumnId="95"/>
      <queryTableField id="194" name="has_wsv_penalties_less_prems_w" tableColumnId="96"/>
      <queryTableField id="195" name="has_wsv_penalties_less_credits" tableColumnId="97"/>
      <queryTableField id="196" name="has_wsv_penalties_less_prems_and_credits" tableColumnId="98"/>
      <queryTableField id="197" name="has_wsv_penalties_less_credits_w" tableColumnId="99"/>
      <queryTableField id="198" name="has_wsv_penalties_less_prems_and_credits_w" tableColumnId="100"/>
      <queryTableField id="199" name="has_wt_penalties" tableColumnId="101"/>
      <queryTableField id="200" name="has_wt_penalties_less_prems" tableColumnId="102"/>
      <queryTableField id="201" name="has_wt_penalties_w" tableColumnId="103"/>
      <queryTableField id="202" name="has_wt_penalties_less_prems_w" tableColumnId="104"/>
      <queryTableField id="203" name="has_wt_penalties_less_credits" tableColumnId="105"/>
      <queryTableField id="204" name="has_wt_penalties_less_prems_and_credits" tableColumnId="106"/>
      <queryTableField id="205" name="has_wt_penalties_less_credits_w" tableColumnId="107"/>
      <queryTableField id="206" name="has_wt_penalties_less_prems_and_credits_w" tableColumnId="108"/>
      <queryTableField id="207" name="PAGA_meal_flag" tableColumnId="109"/>
      <queryTableField id="208" name="PAGA_rest_flag" tableColumnId="110"/>
      <queryTableField id="209" name="PAGA_rrop_flag" tableColumnId="111"/>
      <queryTableField id="210" name="PAGA_226_flag" tableColumnId="112"/>
      <queryTableField id="211" name="PAGA_558_flag" tableColumnId="113"/>
      <queryTableField id="212" name="PAGA_1197_1_flag" tableColumnId="114"/>
      <queryTableField id="213" name="PAGA_2802_flag" tableColumnId="115"/>
      <queryTableField id="214" name="PAGA_meal_flag_w" tableColumnId="116"/>
      <queryTableField id="215" name="PAGA_226_flag_w" tableColumnId="117"/>
      <queryTableField id="216" name="PAGA_558_flag_w" tableColumnId="118"/>
      <queryTableField id="217" name="PAGA_meal_flag_less_prems" tableColumnId="119"/>
      <queryTableField id="218" name="PAGA_rest_flag_less_prems" tableColumnId="120"/>
      <queryTableField id="219" name="PAGA_226_flag_less_prems" tableColumnId="121"/>
      <queryTableField id="220" name="PAGA_558_flag_less_prems" tableColumnId="122"/>
      <queryTableField id="221" name="PAGA_meal_flag_less_prems_w" tableColumnId="123"/>
      <queryTableField id="222" name="PAGA_226_flag_less_prems_w" tableColumnId="124"/>
      <queryTableField id="223" name="PAGA_558_flag_less_prems_w" tableColumnId="125"/>
      <queryTableField id="224" name="PAGA_meal_flag_less_credits" tableColumnId="126"/>
      <queryTableField id="225" name="PAGA_rest_flag_less_credits" tableColumnId="127"/>
      <queryTableField id="226" name="PAGA_rrop_flag_less_credits" tableColumnId="128"/>
      <queryTableField id="227" name="PAGA_226_flag_less_credits" tableColumnId="129"/>
      <queryTableField id="228" name="PAGA_558_flag_less_credits" tableColumnId="130"/>
      <queryTableField id="229" name="PAGA_1197_1_flag_less_credits" tableColumnId="131"/>
      <queryTableField id="230" name="PAGA_2802_flag_less_credits" tableColumnId="132"/>
      <queryTableField id="231" name="PAGA_meal_flag_less_prems_and_credits" tableColumnId="133"/>
      <queryTableField id="232" name="PAGA_rest_flag_less_prems_and_credits" tableColumnId="134"/>
      <queryTableField id="233" name="PAGA_rrop_flag_less_prems_and_credits" tableColumnId="135"/>
      <queryTableField id="234" name="PAGA_226_flag_less_prems_and_credits" tableColumnId="136"/>
      <queryTableField id="235" name="PAGA_558_flag_less_prems_and_credits" tableColumnId="137"/>
      <queryTableField id="236" name="PAGA_1197_1_flag_less_prems_and_credits" tableColumnId="138"/>
      <queryTableField id="237" name="PAGA_2802_flag_less_prems_and_credits" tableColumnId="139"/>
      <queryTableField id="238" name="PAGA_meal_flag_less_credits_w" tableColumnId="140"/>
      <queryTableField id="239" name="PAGA_rest_flag_less_credits_w" tableColumnId="141"/>
      <queryTableField id="240" name="PAGA_rrop_flag_less_credits_w" tableColumnId="142"/>
      <queryTableField id="241" name="PAGA_226_flag_less_credits_w" tableColumnId="143"/>
      <queryTableField id="242" name="PAGA_558_flag_less_credits_w" tableColumnId="144"/>
      <queryTableField id="243" name="PAGA_1197_1_flag_less_credits_w" tableColumnId="145"/>
      <queryTableField id="244" name="PAGA_2802_flag_less_credits_w" tableColumnId="146"/>
      <queryTableField id="245" name="PAGA_meal_flag_less_prems_and_credits_w" tableColumnId="147"/>
      <queryTableField id="246" name="PAGA_rest_flag_less_prems_and_credits_w" tableColumnId="148"/>
      <queryTableField id="247" name="PAGA_rrop_flag_less_prems_and_credits_w" tableColumnId="149"/>
      <queryTableField id="248" name="PAGA_226_flag_less_prems_and_credits_w" tableColumnId="150"/>
      <queryTableField id="249" name="PAGA_558_flag_less_prems_and_credits_w" tableColumnId="151"/>
      <queryTableField id="250" name="PAGA_1197_1_flag_less_prems_and_credits_w" tableColumnId="152"/>
      <queryTableField id="251" name="PAGA_2802_flag_less_prems_and_credits_w" tableColumnId="153"/>
      <queryTableField id="252" name="interest" tableColumnId="154"/>
      <queryTableField id="253" name="interest_less_prems" tableColumnId="155"/>
      <queryTableField id="254" name="interest_w" tableColumnId="156"/>
      <queryTableField id="255" name="interest_less_prems_w" tableColumnId="157"/>
      <queryTableField id="256" name="interest_less_credits" tableColumnId="158"/>
      <queryTableField id="257" name="interest_less_prems_and_credits" tableColumnId="159"/>
      <queryTableField id="258" name="interest_less_credits_w" tableColumnId="160"/>
      <queryTableField id="259" name="interest_less_prems_and_credits_w" tableColumnId="161"/>
      <queryTableField id="260" name="tot_dmgs" tableColumnId="162"/>
      <queryTableField id="261" name="tot_dmgs_less_prems" tableColumnId="163"/>
      <queryTableField id="262" name="tot_dmgs_w" tableColumnId="164"/>
      <queryTableField id="263" name="tot_dmgs_less_prems_w" tableColumnId="165"/>
      <queryTableField id="264" name="tot_dmgs_less_credits" tableColumnId="166"/>
      <queryTableField id="265" name="tot_dmgs_less_prems_and_credits" tableColumnId="167"/>
      <queryTableField id="266" name="tot_dmgs_less_credits_w" tableColumnId="168"/>
      <queryTableField id="267" name="tot_dmgs_less_prems_and_credits_w" tableColumnId="169"/>
      <queryTableField id="268" name="tot_dmgs_w_penalties" tableColumnId="170"/>
      <queryTableField id="269" name="tot_dmgs_w_penalties_less_prems" tableColumnId="171"/>
      <queryTableField id="270" name="tot_dmgs_w_penalties_w" tableColumnId="172"/>
      <queryTableField id="271" name="tot_dmgs_w_penalties_less_prems_w" tableColumnId="173"/>
      <queryTableField id="272" name="tot_dmgs_w_penalties_less_credits" tableColumnId="174"/>
      <queryTableField id="273" name="tot_dmgs_w_penalties_less_prems_and_credits" tableColumnId="175"/>
      <queryTableField id="274" name="tot_dmgs_w_penalties_less_credits_w" tableColumnId="176"/>
      <queryTableField id="275" name="tot_dmgs_w_penalties_less_prems_and_credits_w" tableColumnId="177"/>
      <queryTableField id="276" name="Pay_Date" tableColumnId="178"/>
      <queryTableField id="277" name="Period_Beg" tableColumnId="179"/>
      <queryTableField id="278" name="Period_End" tableColumnId="180"/>
      <queryTableField id="279" name="Shifts_per_workweek" tableColumnId="181"/>
      <queryTableField id="280" name="Avg_Shift_Length" tableColumnId="182"/>
      <queryTableField id="281" name="Median_Shift_Length" tableColumnId="183"/>
      <queryTableField id="282" name="perc_shifts_gt_3_5" tableColumnId="184"/>
      <queryTableField id="283" name="perc_shifts_gt_5" tableColumnId="185"/>
      <queryTableField id="284" name="perc_shifts_gt_5_lte_6" tableColumnId="186"/>
      <queryTableField id="285" name="perc_shifts_gt_6" tableColumnId="187"/>
      <queryTableField id="286" name="perc_shifts_e_8" tableColumnId="188"/>
      <queryTableField id="287" name="perc_shifts_gt_8" tableColumnId="189"/>
      <queryTableField id="288" name="perc_shifts_gt_10" tableColumnId="190"/>
      <queryTableField id="289" name="perc_shifts_gt_10_lte_12" tableColumnId="191"/>
      <queryTableField id="290" name="perc_shifts_gt_12" tableColumnId="192"/>
      <queryTableField id="291" name="perc_shifts_gt_14" tableColumnId="193"/>
      <queryTableField id="292" name="perc_mp" tableColumnId="194"/>
      <queryTableField id="293" name="perc_mp_lt_thirty" tableColumnId="195"/>
      <queryTableField id="294" name="perc_mp_thirty" tableColumnId="196"/>
      <queryTableField id="295" name="perc_mp_gt_thirty" tableColumnId="197"/>
      <queryTableField id="296" name="mpv_rate" tableColumnId="198"/>
      <queryTableField id="297" name="mpv_rate_w" tableColumnId="199"/>
      <queryTableField id="298" name="mpv_rate_less_prems" tableColumnId="200"/>
      <queryTableField id="299" name="mpv_rate_less_prems_w" tableColumnId="201"/>
      <queryTableField id="300" name="mpv_ee_rate_less_prems" tableColumnId="202"/>
      <queryTableField id="301" name="mpv_ee_rate_less_prems_w" tableColumnId="203"/>
      <queryTableField id="302" name="rpv_rate" tableColumnId="204"/>
      <queryTableField id="303" name="rpv_rate_less_prems" tableColumnId="205"/>
      <queryTableField id="304" name="rpv_ee_rate_less_prems" tableColumnId="206"/>
      <queryTableField id="305" name="mpv_ee_less_prems" tableColumnId="207"/>
      <queryTableField id="306" name="mpv_ee_less_prems_w" tableColumnId="208"/>
      <queryTableField id="307" name="rpv_ee_less_prems" tableColumnId="209"/>
      <queryTableField id="308" name="mp_ee_dmgs_less_prems" tableColumnId="210"/>
      <queryTableField id="309" name="mp_ee_dmgs_less_prems_w" tableColumnId="211"/>
      <queryTableField id="310" name="rp_ee_dmgs_less_prems" tableColumnId="212"/>
      <queryTableField id="311" name="final_Base_Rate" tableColumnId="213"/>
      <queryTableField id="312" name="final_RROP" tableColumnId="214"/>
      <queryTableField id="313" name="wsv_flag_count" tableColumnId="215"/>
      <queryTableField id="314" name="wsv_penalty" tableColumnId="216"/>
      <queryTableField id="315" name="wsv_flag_count_w" tableColumnId="217"/>
      <queryTableField id="316" name="wsv_penalty_w" tableColumnId="218"/>
      <queryTableField id="317" name="has_wt_period" tableColumnId="219"/>
      <queryTableField id="318" name="wt_penalty" tableColumnId="220"/>
      <queryTableField id="319" name="wt_penalty_w" tableColumnId="221"/>
      <queryTableField id="320" name="in_PAGA_period" tableColumnId="222"/>
      <queryTableField id="321" name="PAGA_meal_flag_count" tableColumnId="223"/>
      <queryTableField id="322" name="PAGA_rest_flag_count" tableColumnId="224"/>
      <queryTableField id="323" name="PAGA_rrop_flag_count" tableColumnId="225"/>
      <queryTableField id="324" name="PAGA_226_flag_count" tableColumnId="226"/>
      <queryTableField id="325" name="PAGA_558_flag_count" tableColumnId="227"/>
      <queryTableField id="326" name="PAGA_1197_1_flag_count" tableColumnId="228"/>
      <queryTableField id="327" name="PAGA_2802_flag_count" tableColumnId="229"/>
      <queryTableField id="328" name="PAGA_meal_flag_count_w" tableColumnId="230"/>
      <queryTableField id="329" name="PAGA_226_flag_count_w" tableColumnId="231"/>
      <queryTableField id="330" name="PAGA_558_flag_count_w" tableColumnId="232"/>
      <queryTableField id="331" name="PAGA_meal_flag_count_less_prems" tableColumnId="233"/>
      <queryTableField id="332" name="PAGA_rest_flag_count_less_prems" tableColumnId="234"/>
      <queryTableField id="333" name="PAGA_rrop_flag_count_less_prems" tableColumnId="235"/>
      <queryTableField id="334" name="PAGA_226_flag_count_less_prems" tableColumnId="236"/>
      <queryTableField id="335" name="PAGA_558_flag_count_less_prems" tableColumnId="237"/>
      <queryTableField id="336" name="PAGA_1197_1_flag_count_less_prems" tableColumnId="238"/>
      <queryTableField id="337" name="PAGA_2802_flag_count_less_prems" tableColumnId="239"/>
      <queryTableField id="338" name="PAGA_meal_flag_count_less_prems_w" tableColumnId="240"/>
      <queryTableField id="339" name="PAGA_226_flag_count_less_prems_w" tableColumnId="241"/>
      <queryTableField id="340" name="PAGA_558_flag_count_less_prems_w" tableColumnId="242"/>
      <queryTableField id="341" name="PAGA_meal_flag_count_less_credits" tableColumnId="243"/>
      <queryTableField id="342" name="PAGA_rest_flag_count_less_credits" tableColumnId="244"/>
      <queryTableField id="343" name="PAGA_rrop_flag_count_less_credits" tableColumnId="245"/>
      <queryTableField id="344" name="PAGA_226_flag_count_less_credits" tableColumnId="246"/>
      <queryTableField id="345" name="PAGA_558_flag_count_less_credits" tableColumnId="247"/>
      <queryTableField id="346" name="PAGA_1197_1_flag_count_less_credits" tableColumnId="248"/>
      <queryTableField id="347" name="PAGA_2802_flag_count_less_credits" tableColumnId="249"/>
      <queryTableField id="348" name="PAGA_meal_flag_count_less_prems_and_credits" tableColumnId="250"/>
      <queryTableField id="349" name="PAGA_rest_flag_count_less_prems_and_credits" tableColumnId="251"/>
      <queryTableField id="350" name="PAGA_rrop_flag_count_less_prems_and_credits" tableColumnId="252"/>
      <queryTableField id="351" name="PAGA_226_flag_count_less_prems_and_credits" tableColumnId="253"/>
      <queryTableField id="352" name="PAGA_558_flag_count_less_prems_and_credits" tableColumnId="254"/>
      <queryTableField id="353" name="PAGA_1197_1_flag_count_less_prems_and_credits" tableColumnId="255"/>
      <queryTableField id="354" name="PAGA_2802_flag_count_less_prems_and_credits" tableColumnId="256"/>
      <queryTableField id="355" name="PAGA_meal_flag_count_less_credits_w" tableColumnId="257"/>
      <queryTableField id="356" name="PAGA_rest_flag_count_less_credits_w" tableColumnId="258"/>
      <queryTableField id="357" name="PAGA_rrop_flag_count_less_credits_w" tableColumnId="259"/>
      <queryTableField id="358" name="PAGA_226_flag_count_less_credits_w" tableColumnId="260"/>
      <queryTableField id="359" name="PAGA_558_flag_count_less_credits_w" tableColumnId="261"/>
      <queryTableField id="360" name="PAGA_1197_1_flag_count_less_credits_w" tableColumnId="262"/>
      <queryTableField id="361" name="PAGA_2802_flag_count_less_credits_w" tableColumnId="263"/>
      <queryTableField id="362" name="PAGA_meal_flag_count_less_prems_and_credits_w" tableColumnId="264"/>
      <queryTableField id="363" name="PAGA_rest_flag_count_less_prems_and_credits_w" tableColumnId="265"/>
      <queryTableField id="364" name="PAGA_rrop_flag_count_less_prems_and_credits_w" tableColumnId="266"/>
      <queryTableField id="365" name="PAGA_226_flag_count_less_prems_and_credits_w" tableColumnId="267"/>
      <queryTableField id="366" name="PAGA_558_flag_count_less_prems_and_credits_w" tableColumnId="268"/>
      <queryTableField id="367" name="PAGA_1197_1_flag_count_less_prems_and_credits_w" tableColumnId="269"/>
      <queryTableField id="368" name="PAGA_2802_flag_count_less_prems_and_credits_w" tableColumnId="270"/>
      <queryTableField id="369" name="PAGA_meal_penalties" tableColumnId="271"/>
      <queryTableField id="370" name="PAGA_rest_penalties" tableColumnId="272"/>
      <queryTableField id="371" name="PAGA_rrop_penalties" tableColumnId="273"/>
      <queryTableField id="372" name="PAGA_226_penalties" tableColumnId="274"/>
      <queryTableField id="373" name="PAGA_558_penalties" tableColumnId="275"/>
      <queryTableField id="374" name="PAGA_1197_1_penalties" tableColumnId="276"/>
      <queryTableField id="375" name="PAGA_1174_penalties" tableColumnId="277"/>
      <queryTableField id="376" name="PAGA_2802_penalties" tableColumnId="278"/>
      <queryTableField id="377" name="PAGA_203_penalties" tableColumnId="279"/>
      <queryTableField id="378" name="PAGA_meal_penalties_w" tableColumnId="280"/>
      <queryTableField id="379" name="PAGA_226_penalties_w" tableColumnId="281"/>
      <queryTableField id="380" name="PAGA_558_penalties_w" tableColumnId="282"/>
      <queryTableField id="381" name="PAGA_meal_penalties_less_prems" tableColumnId="283"/>
      <queryTableField id="382" name="PAGA_rest_penalties_less_prems" tableColumnId="284"/>
      <queryTableField id="383" name="PAGA_rrop_penalties_less_prems" tableColumnId="285"/>
      <queryTableField id="384" name="PAGA_226_penalties_less_prems" tableColumnId="286"/>
      <queryTableField id="385" name="PAGA_558_penalties_less_prems" tableColumnId="287"/>
      <queryTableField id="386" name="PAGA_1197_1_penalties_less_prems" tableColumnId="288"/>
      <queryTableField id="387" name="PAGA_1174_penalties_less_prems" tableColumnId="289"/>
      <queryTableField id="388" name="PAGA_2802_penalties_less_prems" tableColumnId="290"/>
      <queryTableField id="389" name="PAGA_203_penalties_less_prems" tableColumnId="291"/>
      <queryTableField id="390" name="PAGA_meal_penalties_less_prems_w" tableColumnId="292"/>
      <queryTableField id="391" name="PAGA_226_penalties_less_prems_w" tableColumnId="293"/>
      <queryTableField id="392" name="PAGA_558_penalties_less_prems_w" tableColumnId="294"/>
      <queryTableField id="393" name="PAGA_meal_penalties_less_credits" tableColumnId="295"/>
      <queryTableField id="394" name="PAGA_rest_penalties_less_credits" tableColumnId="296"/>
      <queryTableField id="395" name="PAGA_rrop_penalties_less_credits" tableColumnId="297"/>
      <queryTableField id="396" name="PAGA_226_penalties_less_credits" tableColumnId="298"/>
      <queryTableField id="397" name="PAGA_558_penalties_less_credits" tableColumnId="299"/>
      <queryTableField id="398" name="PAGA_1197_1_penalties_less_credits" tableColumnId="300"/>
      <queryTableField id="399" name="PAGA_1174_penalties_less_credits" tableColumnId="301"/>
      <queryTableField id="400" name="PAGA_2802_penalties_less_credits" tableColumnId="302"/>
      <queryTableField id="401" name="PAGA_203_penalties_less_credits" tableColumnId="303"/>
      <queryTableField id="402" name="PAGA_meal_penalties_less_prems_and_credits" tableColumnId="304"/>
      <queryTableField id="403" name="PAGA_rest_penalties_less_prems_and_credits" tableColumnId="305"/>
      <queryTableField id="404" name="PAGA_rrop_penalties_less_prems_and_credits" tableColumnId="306"/>
      <queryTableField id="405" name="PAGA_226_penalties_less_prems_and_credits" tableColumnId="307"/>
      <queryTableField id="406" name="PAGA_558_penalties_less_prems_and_credits" tableColumnId="308"/>
      <queryTableField id="407" name="PAGA_1197_1_penalties_less_prems_and_credits" tableColumnId="309"/>
      <queryTableField id="408" name="PAGA_1174_penalties_less_prems_and_credits" tableColumnId="310"/>
      <queryTableField id="409" name="PAGA_2802_penalties_less_prems_and_credits" tableColumnId="311"/>
      <queryTableField id="410" name="PAGA_203_penalties_less_prems_and_credits" tableColumnId="312"/>
      <queryTableField id="411" name="PAGA_meal_penalties_less_credits_w" tableColumnId="313"/>
      <queryTableField id="412" name="PAGA_rest_penalties_less_credits_w" tableColumnId="314"/>
      <queryTableField id="413" name="PAGA_rrop_penalties_less_credits_w" tableColumnId="315"/>
      <queryTableField id="414" name="PAGA_226_penalties_less_credits_w" tableColumnId="316"/>
      <queryTableField id="415" name="PAGA_558_penalties_less_credits_w" tableColumnId="317"/>
      <queryTableField id="416" name="PAGA_1197_1_penalties_less_credits_w" tableColumnId="318"/>
      <queryTableField id="417" name="PAGA_1174_penalties_less_credits_w" tableColumnId="319"/>
      <queryTableField id="418" name="PAGA_2802_penalties_less_credits_w" tableColumnId="320"/>
      <queryTableField id="419" name="PAGA_203_penalties_less_credits_w" tableColumnId="321"/>
      <queryTableField id="420" name="PAGA_meal_penalties_less_prems_and_credits_w" tableColumnId="322"/>
      <queryTableField id="421" name="PAGA_rest_penalties_less_prems_and_credits_w" tableColumnId="323"/>
      <queryTableField id="422" name="PAGA_rrop_penalties_less_prems_and_credits_w" tableColumnId="324"/>
      <queryTableField id="423" name="PAGA_226_penalties_less_prems_and_credits_w" tableColumnId="325"/>
      <queryTableField id="424" name="PAGA_558_penalties_less_prems_and_credits_w" tableColumnId="326"/>
      <queryTableField id="425" name="PAGA_1197_1_penalties_less_prems_and_credits_w" tableColumnId="327"/>
      <queryTableField id="426" name="PAGA_1174_penalties_less_prems_and_credits_w" tableColumnId="328"/>
      <queryTableField id="427" name="PAGA_2802_penalties_less_prems_and_credits_w" tableColumnId="329"/>
      <queryTableField id="428" name="PAGA_203_penalties_less_prems_and_credits_w" tableColumnId="330"/>
      <queryTableField id="429" name="PAGA_tot" tableColumnId="331"/>
      <queryTableField id="430" name="PAGA_tot_w" tableColumnId="332"/>
      <queryTableField id="431" name="PAGA_tot_less_prems" tableColumnId="333"/>
      <queryTableField id="432" name="PAGA_tot_less_prems_w" tableColumnId="334"/>
      <queryTableField id="433" name="PAGA_tot_less_credits" tableColumnId="335"/>
      <queryTableField id="434" name="PAGA_tot_less_prems_and_credits" tableColumnId="336"/>
      <queryTableField id="435" name="PAGA_tot_less_credits_w" tableColumnId="337"/>
      <queryTableField id="436" name="PAGA_tot_less_prems_and_credits_w" tableColumnId="338"/>
      <queryTableField id="437" name="Pay_Date_min" tableColumnId="339"/>
      <queryTableField id="438" name="Period_Beg_min" tableColumnId="340"/>
      <queryTableField id="439" name="Period_End_min" tableColumnId="341"/>
      <queryTableField id="440" name="Base_Rate_mean" tableColumnId="342"/>
      <queryTableField id="441" name="RROP_mean" tableColumnId="343"/>
      <queryTableField id="442" name="CA_min_wage_mean" tableColumnId="344"/>
      <queryTableField id="443" name="double_CA_min_wage_mean" tableColumnId="345"/>
      <queryTableField id="444" name="Base_Rate_median" tableColumnId="346"/>
      <queryTableField id="445" name="RROP_median" tableColumnId="347"/>
      <queryTableField id="446" name="CA_min_wage_median" tableColumnId="348"/>
      <queryTableField id="447" name="double_CA_min_wage_median" tableColumnId="34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2" xr16:uid="{658D0E31-8B00-4754-BF36-FCC04A5EDF2D}" autoFormatId="16" applyNumberFormats="0" applyBorderFormats="0" applyFontFormats="0" applyPatternFormats="0" applyAlignmentFormats="0" applyWidthHeightFormats="0">
  <queryTableRefresh nextId="616">
    <queryTableFields count="177">
      <queryTableField id="133" name="ID_Period_End" tableColumnId="53"/>
      <queryTableField id="84" name="ID_Shift" tableColumnId="2"/>
      <queryTableField id="336" name="Source" tableColumnId="76"/>
      <queryTableField id="342" name="Sheet" tableColumnId="3"/>
      <queryTableField id="510" name="Page" tableColumnId="49"/>
      <queryTableField id="278" name="Key_Gps" tableColumnId="1"/>
      <queryTableField id="87" name="ID" tableColumnId="5"/>
      <queryTableField id="88" name="Name" tableColumnId="6"/>
      <queryTableField id="508" name="ID_Date" tableColumnId="48"/>
      <queryTableField id="90" name="Date" tableColumnId="8"/>
      <queryTableField id="343" name="Week_End" tableColumnId="30"/>
      <queryTableField id="344" name="ID_Week_End" tableColumnId="47"/>
      <queryTableField id="511" name="wk_time_off" tableColumnId="63"/>
      <queryTableField id="280" name="Period_Beg" tableColumnId="4"/>
      <queryTableField id="91" name="Period_End" tableColumnId="9"/>
      <queryTableField id="95" name="mp" tableColumnId="13"/>
      <queryTableField id="512" name="mp_lt_twenty" tableColumnId="64"/>
      <queryTableField id="97" name="mp_lt_thirty" tableColumnId="15"/>
      <queryTableField id="98" name="mp_thirty" tableColumnId="17"/>
      <queryTableField id="99" name="mp_gt_thirty" tableColumnId="18"/>
      <queryTableField id="513" name="mp_forty_five" tableColumnId="65"/>
      <queryTableField id="514" name="mp_gt_two_hrs" tableColumnId="77"/>
      <queryTableField id="515" name="mp_gt_four_hrs" tableColumnId="78"/>
      <queryTableField id="106" name="Hours" tableColumnId="25"/>
      <queryTableField id="92" name="shift_hrs" tableColumnId="10"/>
      <queryTableField id="93" name="mp1_hrs" tableColumnId="11"/>
      <queryTableField id="94" name="mp2_hrs" tableColumnId="12"/>
      <queryTableField id="96" name="shift_mps" tableColumnId="14"/>
      <queryTableField id="100" name="hrs_to_mp1" tableColumnId="19"/>
      <queryTableField id="101" name="hrs_to_mp2" tableColumnId="20"/>
      <queryTableField id="102" name="mp1_mins_short" tableColumnId="21"/>
      <queryTableField id="103" name="mp2_mins_short" tableColumnId="22"/>
      <queryTableField id="104" name="mp1_mins_late" tableColumnId="23"/>
      <queryTableField id="105" name="mp2_mins_late" tableColumnId="24"/>
      <queryTableField id="516" name="shift" tableColumnId="79"/>
      <queryTableField id="112" name="MissMP1" tableColumnId="32"/>
      <queryTableField id="113" name="LateMP1" tableColumnId="33"/>
      <queryTableField id="114" name="ShortMP1" tableColumnId="34"/>
      <queryTableField id="115" name="MissMP2" tableColumnId="35"/>
      <queryTableField id="116" name="LateMP2" tableColumnId="36"/>
      <queryTableField id="117" name="ShortMP2" tableColumnId="37"/>
      <queryTableField id="281" name="mpv_shift" tableColumnId="7"/>
      <queryTableField id="517" name="mp1_violation" tableColumnId="80"/>
      <queryTableField id="518" name="mp2_violation" tableColumnId="81"/>
      <queryTableField id="119" name="MissMP1_w" tableColumnId="39"/>
      <queryTableField id="120" name="LateMP1_w" tableColumnId="40"/>
      <queryTableField id="121" name="ShortMP1_w" tableColumnId="41"/>
      <queryTableField id="122" name="MissMP2_w" tableColumnId="42"/>
      <queryTableField id="123" name="LateMP2_w" tableColumnId="43"/>
      <queryTableField id="124" name="ShortMP2_w" tableColumnId="44"/>
      <queryTableField id="282" name="mpv_shift_w" tableColumnId="16"/>
      <queryTableField id="519" name="mp1_violation_w" tableColumnId="82"/>
      <queryTableField id="520" name="mp2_violation_w" tableColumnId="83"/>
      <queryTableField id="126" name="rpv_shift" tableColumnId="46"/>
      <queryTableField id="131" name="wk_shift_hrs" tableColumnId="51"/>
      <queryTableField id="132" name="wk_Hours" tableColumnId="52"/>
      <queryTableField id="130" name="week" tableColumnId="50"/>
      <queryTableField id="134" name="pp" tableColumnId="54"/>
      <queryTableField id="135" name="mpv_per_pp" tableColumnId="55"/>
      <queryTableField id="136" name="mpv_per_pp_w" tableColumnId="56"/>
      <queryTableField id="137" name="rpv_per_pp" tableColumnId="57"/>
      <queryTableField id="138" name="pp_shift_hrs" tableColumnId="58"/>
      <queryTableField id="139" name="pp_Hours" tableColumnId="59"/>
      <queryTableField id="521" name="cons_shift_ct" tableColumnId="84"/>
      <queryTableField id="522" name="ot_seventh_day" tableColumnId="85"/>
      <queryTableField id="523" name="dt_seventh_day" tableColumnId="86"/>
      <queryTableField id="140" name="calc_daily_ot" tableColumnId="60"/>
      <queryTableField id="141" name="calc_daily_dt" tableColumnId="61"/>
      <queryTableField id="524" name="ca_ot_hrs" tableColumnId="87"/>
      <queryTableField id="525" name="ca_dt_hrs" tableColumnId="88"/>
      <queryTableField id="526" name="wk_ca_ot" tableColumnId="89"/>
      <queryTableField id="527" name="wk_ca_dt" tableColumnId="90"/>
      <queryTableField id="142" name="flsa_ot" tableColumnId="62"/>
      <queryTableField id="528" name="wk_ot" tableColumnId="91"/>
      <queryTableField id="529" name="wk_has_ot" tableColumnId="92"/>
      <queryTableField id="530" name="pp_ot" tableColumnId="93"/>
      <queryTableField id="531" name="pp_dt" tableColumnId="94"/>
      <queryTableField id="532" name="pp_ca_ot_hrs" tableColumnId="95"/>
      <queryTableField id="533" name="pp_ca_dt_hrs" tableColumnId="96"/>
      <queryTableField id="146" name="pp_flsa_ot" tableColumnId="66"/>
      <queryTableField id="147" name="pp_ot_wks" tableColumnId="67"/>
      <queryTableField id="148" name="qtr_hr" tableColumnId="68"/>
      <queryTableField id="111" name="diff" tableColumnId="31"/>
      <queryTableField id="534" name="shifts_analyzed" tableColumnId="97"/>
      <queryTableField id="149" name="wk_diff" tableColumnId="69"/>
      <queryTableField id="150" name="wk_lost_time_shifts" tableColumnId="70"/>
      <queryTableField id="151" name="wk_gain_time_shifts" tableColumnId="71"/>
      <queryTableField id="152" name="pp_diff" tableColumnId="72"/>
      <queryTableField id="153" name="pp_lost_time_shifts" tableColumnId="73"/>
      <queryTableField id="154" name="pp_gain_time_shifts" tableColumnId="74"/>
      <queryTableField id="535" name="ee_diff" tableColumnId="98"/>
      <queryTableField id="332" name="Meal_Prem_Hrs" tableColumnId="29"/>
      <queryTableField id="333" name="Meal_Prem_Amt" tableColumnId="38"/>
      <queryTableField id="334" name="Rest_Prem_Hrs" tableColumnId="45"/>
      <queryTableField id="335" name="Rest_Prem_Amt" tableColumnId="75"/>
      <queryTableField id="382" name="Pay_Rate" tableColumnId="112"/>
      <queryTableField id="383" name="cum_mpv" tableColumnId="113"/>
      <queryTableField id="384" name="prev_cum_mpv" tableColumnId="114"/>
      <queryTableField id="385" name="meal_premium_allocated" tableColumnId="115"/>
      <queryTableField id="386" name="mpv_shift_less_prems" tableColumnId="116"/>
      <queryTableField id="387" name="cum_mpv_w" tableColumnId="117"/>
      <queryTableField id="388" name="prev_cum_mpv_w" tableColumnId="118"/>
      <queryTableField id="389" name="meal_premium_allocated_w" tableColumnId="119"/>
      <queryTableField id="390" name="mpv_shift_less_prems_w" tableColumnId="120"/>
      <queryTableField id="391" name="cum_rpv" tableColumnId="121"/>
      <queryTableField id="392" name="prev_cum_rpv" tableColumnId="122"/>
      <queryTableField id="393" name="rest_premium_allocated" tableColumnId="123"/>
      <queryTableField id="394" name="rpv_shift_less_prems" tableColumnId="124"/>
      <queryTableField id="329" name="mpv_per_pp_less_prems" tableColumnId="26"/>
      <queryTableField id="330" name="mpv_per_pp_less_prems_w" tableColumnId="27"/>
      <queryTableField id="331" name="rpv_per_pp_less_prems" tableColumnId="28"/>
      <queryTableField id="536" name="mpv_ee" tableColumnId="99"/>
      <queryTableField id="537" name="mpv_ee_w" tableColumnId="100"/>
      <queryTableField id="538" name="rpv_ee" tableColumnId="101"/>
      <queryTableField id="539" name="meal_prem_hrs_ee" tableColumnId="102"/>
      <queryTableField id="540" name="meal_prem_amt_ee" tableColumnId="103"/>
      <queryTableField id="541" name="rest_prem_hrs_ee" tableColumnId="104"/>
      <queryTableField id="542" name="rest_prem_amt_ee" tableColumnId="105"/>
      <queryTableField id="543" name="mpv_ee_less_prems" tableColumnId="106"/>
      <queryTableField id="544" name="mpv_ee_less_prems_w" tableColumnId="107"/>
      <queryTableField id="545" name="rpv_ee_less_prems" tableColumnId="108"/>
      <queryTableField id="395" name="Pay_Hrs_Wkd" tableColumnId="125"/>
      <queryTableField id="396" name="Pay_Amount_Hrs_Wkd" tableColumnId="126"/>
      <queryTableField id="546" name="RROP" tableColumnId="109"/>
      <queryTableField id="397" name="Base_Rate_Avg" tableColumnId="127"/>
      <queryTableField id="398" name="Pay_Hours_pp_shift_hrs_diff" tableColumnId="128"/>
      <queryTableField id="399" name="Pay_Hours_pp_Hours_diff" tableColumnId="129"/>
      <queryTableField id="400" name="Shifts" tableColumnId="130"/>
      <queryTableField id="401" name="Shifts_per_workweek" tableColumnId="131"/>
      <queryTableField id="402" name="Avg_Shift_Length" tableColumnId="132"/>
      <queryTableField id="403" name="Median_Shift_Length" tableColumnId="133"/>
      <queryTableField id="404" name="Shifts_gt_3_5" tableColumnId="134"/>
      <queryTableField id="405" name="Shifts_gt_5" tableColumnId="135"/>
      <queryTableField id="406" name="Shifts_gt_5_lte_6" tableColumnId="136"/>
      <queryTableField id="407" name="Shifts_gt_6" tableColumnId="137"/>
      <queryTableField id="408" name="Shifts_e_8" tableColumnId="138"/>
      <queryTableField id="409" name="Shifts_gt_8" tableColumnId="139"/>
      <queryTableField id="410" name="Shifts_gt_10" tableColumnId="140"/>
      <queryTableField id="411" name="Shifts_gt_10_lte_12" tableColumnId="141"/>
      <queryTableField id="412" name="Shifts_gt_12" tableColumnId="142"/>
      <queryTableField id="413" name="Shifts_gt_14" tableColumnId="143"/>
      <queryTableField id="547" name="Meal_Prem_Hrs_per_ee" tableColumnId="110"/>
      <queryTableField id="548" name="Meal_Prem_Amt_per_ee" tableColumnId="111"/>
      <queryTableField id="549" name="Rest_Prem_Hrs_per_ee" tableColumnId="144"/>
      <queryTableField id="550" name="Rest_Prem_Amt_per_ee" tableColumnId="145"/>
      <queryTableField id="551" name="mpv_per_pp_per_ee" tableColumnId="165"/>
      <queryTableField id="552" name="mpv_per_pp_per_ee_w" tableColumnId="166"/>
      <queryTableField id="553" name="rpv_per_pp_per_ee" tableColumnId="167"/>
      <queryTableField id="554" name="mpv_per_pp_less_prems_per_ee" tableColumnId="168"/>
      <queryTableField id="555" name="mpv_per_pp_less_prems_per_ee_w" tableColumnId="169"/>
      <queryTableField id="556" name="rpv_per_pp_less_prems_per_ee" tableColumnId="170"/>
      <queryTableField id="557" name="mpv_ee_less_prems_per_ee" tableColumnId="171"/>
      <queryTableField id="558" name="mpv_ee_less_prems_per_ee_w" tableColumnId="172"/>
      <queryTableField id="559" name="rpv_ee_less_prems_per_ee" tableColumnId="173"/>
      <queryTableField id="416" name="perc_shifts_gt_3_5" tableColumnId="146"/>
      <queryTableField id="417" name="perc_shifts_gt_5" tableColumnId="147"/>
      <queryTableField id="418" name="perc_shifts_gt_5_lte_6" tableColumnId="148"/>
      <queryTableField id="419" name="perc_shifts_gt_6" tableColumnId="149"/>
      <queryTableField id="420" name="perc_shifts_e_8" tableColumnId="150"/>
      <queryTableField id="421" name="perc_shifts_gt_8" tableColumnId="151"/>
      <queryTableField id="422" name="perc_shifts_gt_10" tableColumnId="152"/>
      <queryTableField id="423" name="perc_shifts_gt_10_lte_12" tableColumnId="153"/>
      <queryTableField id="424" name="perc_shifts_gt_12" tableColumnId="154"/>
      <queryTableField id="425" name="perc_shifts_gt_14" tableColumnId="155"/>
      <queryTableField id="426" name="perc_mp" tableColumnId="156"/>
      <queryTableField id="427" name="perc_mp_lt_thirty" tableColumnId="157"/>
      <queryTableField id="428" name="perc_mp_thirty" tableColumnId="158"/>
      <queryTableField id="429" name="perc_mp_gt_thirty" tableColumnId="159"/>
      <queryTableField id="430" name="mpv_rate" tableColumnId="160"/>
      <queryTableField id="431" name="mpv_rate_w" tableColumnId="161"/>
      <queryTableField id="432" name="mpv_rate_less_prems" tableColumnId="162"/>
      <queryTableField id="433" name="mpv_rate_less_prems_w" tableColumnId="163"/>
      <queryTableField id="560" name="mpv_ee_rate_less_prems" tableColumnId="174"/>
      <queryTableField id="561" name="mpv_ee_rate_less_prems_w" tableColumnId="175"/>
      <queryTableField id="434" name="rpv_rate" tableColumnId="164"/>
      <queryTableField id="562" name="rpv_rate_less_prems" tableColumnId="176"/>
      <queryTableField id="563" name="rpv_ee_rate_less_prems" tableColumnId="17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1" xr16:uid="{8AE33EDB-0E31-421D-8841-7C7129B9F157}" autoFormatId="16" applyNumberFormats="0" applyBorderFormats="0" applyFontFormats="0" applyPatternFormats="0" applyAlignmentFormats="0" applyWidthHeightFormats="0">
  <queryTableRefresh nextId="357">
    <queryTableFields count="58">
      <queryTableField id="4" name="Date" tableColumnId="4"/>
      <queryTableField id="122" name="Sheet" tableColumnId="2"/>
      <queryTableField id="312" name="Unsure" tableColumnId="1"/>
      <queryTableField id="313" name="DotW" tableColumnId="3"/>
      <queryTableField id="314" name="Elapsed" tableColumnId="24"/>
      <queryTableField id="298" name="In" tableColumnId="8"/>
      <queryTableField id="299" name="Out" tableColumnId="9"/>
      <queryTableField id="315" name="Lunch_Modifier" tableColumnId="25"/>
      <queryTableField id="41" name="Hours" tableColumnId="41"/>
      <queryTableField id="316" name="Code" tableColumnId="26"/>
      <queryTableField id="317" name="Worked_Dept" tableColumnId="42"/>
      <queryTableField id="119" name="Source" tableColumnId="23"/>
      <queryTableField id="318" name="ID_Orig" tableColumnId="43"/>
      <queryTableField id="6" name="ID" tableColumnId="6"/>
      <queryTableField id="7" name="Name" tableColumnId="7"/>
      <queryTableField id="319" name="Page" tableColumnId="44"/>
      <queryTableField id="320" name="Out_Type" tableColumnId="45"/>
      <queryTableField id="103" name="Period_Beg" tableColumnId="10"/>
      <queryTableField id="5" name="Period_End" tableColumnId="5"/>
      <queryTableField id="104" name="ID_Period_End" tableColumnId="12"/>
      <queryTableField id="105" name="Key_Gps" tableColumnId="14"/>
      <queryTableField id="300" name="ID_Date" tableColumnId="15"/>
      <queryTableField id="159" name="Week_End" tableColumnId="72"/>
      <queryTableField id="160" name="Week_End_Day" tableColumnId="73"/>
      <queryTableField id="161" name="ID_Week_End" tableColumnId="74"/>
      <queryTableField id="321" name="wk_time_off" tableColumnId="46"/>
      <queryTableField id="322" name="Shift_ID" tableColumnId="47"/>
      <queryTableField id="323" name="duplicate_flag" tableColumnId="48"/>
      <queryTableField id="324" name="overlap_flag" tableColumnId="49"/>
      <queryTableField id="11" name="punch_time" tableColumnId="11"/>
      <queryTableField id="13" name="punch_type" tableColumnId="13"/>
      <queryTableField id="16" name="hrs_from_prev" tableColumnId="16"/>
      <queryTableField id="17" name="shift" tableColumnId="17"/>
      <queryTableField id="18" name="shift_ct" tableColumnId="18"/>
      <queryTableField id="19" name="ID_Shift" tableColumnId="19"/>
      <queryTableField id="20" name="mp" tableColumnId="20"/>
      <queryTableField id="21" name="mp_ct" tableColumnId="21"/>
      <queryTableField id="22" name="shift_mps" tableColumnId="22"/>
      <queryTableField id="325" name="hrs_wkd" tableColumnId="50"/>
      <queryTableField id="27" name="cum_hrs_wkd" tableColumnId="27"/>
      <queryTableField id="28" name="shift_hrs" tableColumnId="28"/>
      <queryTableField id="29" name="mp_hrs" tableColumnId="29"/>
      <queryTableField id="326" name="mp_one_min" tableColumnId="51"/>
      <queryTableField id="327" name="mp_lt_twenty" tableColumnId="52"/>
      <queryTableField id="30" name="mp_lt_thirty" tableColumnId="30"/>
      <queryTableField id="31" name="mp_thirty" tableColumnId="31"/>
      <queryTableField id="328" name="mp_forty_five" tableColumnId="53"/>
      <queryTableField id="32" name="mp_gt_thirty" tableColumnId="32"/>
      <queryTableField id="329" name="mp_gt_two_hrs" tableColumnId="54"/>
      <queryTableField id="330" name="mp_gt_four_hrs" tableColumnId="55"/>
      <queryTableField id="33" name="mp1_hrs" tableColumnId="33"/>
      <queryTableField id="34" name="mp2_hrs" tableColumnId="34"/>
      <queryTableField id="35" name="hrs_to_mp1" tableColumnId="35"/>
      <queryTableField id="36" name="hrs_to_mp2" tableColumnId="36"/>
      <queryTableField id="37" name="mp1_mins_short" tableColumnId="37"/>
      <queryTableField id="38" name="mp2_mins_short" tableColumnId="38"/>
      <queryTableField id="39" name="mp1_mins_late" tableColumnId="39"/>
      <queryTableField id="40" name="mp2_mins_late" tableColumnId="40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4" xr16:uid="{3D3D480A-F8C4-4F3F-BEBE-EBE58C6F8D14}" autoFormatId="16" applyNumberFormats="0" applyBorderFormats="0" applyFontFormats="0" applyPatternFormats="0" applyAlignmentFormats="0" applyWidthHeightFormats="0">
  <queryTableRefresh nextId="20">
    <queryTableFields count="14">
      <queryTableField id="1" name="ID" tableColumnId="1"/>
      <queryTableField id="2" name="total_weeks" tableColumnId="2"/>
      <queryTableField id="10" name="weeks_5_8" tableColumnId="10"/>
      <queryTableField id="3" name="weeks_4_10" tableColumnId="3"/>
      <queryTableField id="4" name="weeks_3_12" tableColumnId="4"/>
      <queryTableField id="11" name="weeks_6_plus_shifts" tableColumnId="11"/>
      <queryTableField id="12" name="pct_5_8" tableColumnId="12"/>
      <queryTableField id="5" name="pct_4_10" tableColumnId="5"/>
      <queryTableField id="6" name="pct_3_12" tableColumnId="6"/>
      <queryTableField id="13" name="pct_6_plus_shifts" tableColumnId="13"/>
      <queryTableField id="7" name="avg_weekly_hours" tableColumnId="7"/>
      <queryTableField id="14" name="avg_shifts_per_week" tableColumnId="14"/>
      <queryTableField id="8" name="avg_days_per_week" tableColumnId="8"/>
      <queryTableField id="9" name="AWW_schedule" tableColumnId="9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4" xr16:uid="{25EF5F52-C4F6-442C-B8BA-EB2EF3F1A397}" autoFormatId="16" applyNumberFormats="0" applyBorderFormats="0" applyFontFormats="0" applyPatternFormats="0" applyAlignmentFormats="0" applyWidthHeightFormats="0">
  <queryTableRefresh nextId="11">
    <queryTableFields count="5">
      <queryTableField id="6" name="Non Work Hrs" tableColumnId="1"/>
      <queryTableField id="2" name="Records" tableColumnId="2"/>
      <queryTableField id="7" name="Percent of Records" tableColumnId="3"/>
      <queryTableField id="4" name="Days" tableColumnId="4"/>
      <queryTableField id="8" name="Percent of Days" tableColumnId="5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20" xr16:uid="{E377B302-E511-4E2C-90D8-0A971C225A80}" autoFormatId="16" applyNumberFormats="0" applyBorderFormats="0" applyFontFormats="0" applyPatternFormats="0" applyAlignmentFormats="0" applyWidthHeightFormats="0">
  <queryTableRefresh nextId="11">
    <queryTableFields count="5">
      <queryTableField id="6" name="Shift Hrs" tableColumnId="1"/>
      <queryTableField id="2" name="Records" tableColumnId="2"/>
      <queryTableField id="7" name="Percent of Records" tableColumnId="3"/>
      <queryTableField id="4" name="Days" tableColumnId="4"/>
      <queryTableField id="8" name="Percent of Days" tableColumnId="5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3" xr16:uid="{5B537828-B766-4A49-9F3D-A6707ACB6FBF}" autoFormatId="16" applyNumberFormats="0" applyBorderFormats="0" applyFontFormats="0" applyPatternFormats="0" applyAlignmentFormats="0" applyWidthHeightFormats="0">
  <queryTableRefresh nextId="6">
    <queryTableFields count="5">
      <queryTableField id="1" name="Meal Start Time" tableColumnId="1"/>
      <queryTableField id="2" name="Records" tableColumnId="2"/>
      <queryTableField id="3" name="Percent of Records" tableColumnId="3"/>
      <queryTableField id="4" name="Days" tableColumnId="4"/>
      <queryTableField id="5" name="Percent of Days" tableColumnId="5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1" xr16:uid="{90A708F6-8347-45BF-8F4E-7AE21FB6D938}" autoFormatId="16" applyNumberFormats="0" applyBorderFormats="0" applyFontFormats="0" applyPatternFormats="0" applyAlignmentFormats="0" applyWidthHeightFormats="0">
  <queryTableRefresh nextId="6">
    <queryTableFields count="5">
      <queryTableField id="1" name="Meal Period Hrs" tableColumnId="1"/>
      <queryTableField id="2" name="Records" tableColumnId="2"/>
      <queryTableField id="3" name="Percent of Records" tableColumnId="3"/>
      <queryTableField id="4" name="Days" tableColumnId="4"/>
      <queryTableField id="5" name="Percent of Days" tableColumnId="5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2" xr16:uid="{C1C25642-16F6-4033-B59E-F0A89CBB9D2C}" autoFormatId="16" applyNumberFormats="0" applyBorderFormats="0" applyFontFormats="0" applyPatternFormats="0" applyAlignmentFormats="0" applyWidthHeightFormats="0">
  <queryTableRefresh nextId="6">
    <queryTableFields count="5">
      <queryTableField id="1" name="Quarter Hour Type" tableColumnId="1"/>
      <queryTableField id="2" name="Records" tableColumnId="2"/>
      <queryTableField id="3" name="Percent of Records" tableColumnId="3"/>
      <queryTableField id="4" name="Days" tableColumnId="4"/>
      <queryTableField id="5" name="Percent of Days" tableColumnId="5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6" xr16:uid="{82814C48-0A7C-48C9-AC2A-AE1936EDE1F9}" autoFormatId="16" applyNumberFormats="0" applyBorderFormats="0" applyFontFormats="0" applyPatternFormats="0" applyAlignmentFormats="0" applyWidthHeightFormats="0">
  <queryTableRefresh nextId="665">
    <queryTableFields count="220">
      <queryTableField id="52" name="Pay_ID_Prior_Qtr" tableColumnId="4"/>
      <queryTableField id="53" name="Pay_ID_Current_Qtr" tableColumnId="11"/>
      <queryTableField id="54" name="Pay_ID_Prior_Period_End" tableColumnId="22"/>
      <queryTableField id="12" name="Pay_ID_Period_End" tableColumnId="12"/>
      <queryTableField id="3" name="Pay_Code" tableColumnId="3"/>
      <queryTableField id="522" name="Pay_Code_Rate_Type" tableColumnId="23"/>
      <queryTableField id="51" name="CA_min_wage" tableColumnId="2"/>
      <queryTableField id="259" name="Pay_Source" tableColumnId="177"/>
      <queryTableField id="523" name="Pay_Page" tableColumnId="24"/>
      <queryTableField id="59" name="Pay_Rate" tableColumnId="36"/>
      <queryTableField id="8" name="Pay_Hours" tableColumnId="8"/>
      <queryTableField id="10" name="Pay_Amount" tableColumnId="10"/>
      <queryTableField id="6" name="Pay_Period_End" tableColumnId="6"/>
      <queryTableField id="43" name="Pay_Date" tableColumnId="7"/>
      <queryTableField id="1" name="Pay_ID" tableColumnId="1"/>
      <queryTableField id="5" name="Pay_Name" tableColumnId="5"/>
      <queryTableField id="524" name="PP_Beg_In_Pay" tableColumnId="25"/>
      <queryTableField id="525" name="PP_End_In_Pay" tableColumnId="35"/>
      <queryTableField id="60" name="pay_period_end_weekday" tableColumnId="37"/>
      <queryTableField id="61" name="days_btwn_pay_period_ends" tableColumnId="38"/>
      <queryTableField id="62" name="Pay_Key_Gps" tableColumnId="39"/>
      <queryTableField id="295" name="double_CA_min_wage" tableColumnId="146"/>
      <queryTableField id="63" name="Prior_Pay_Date" tableColumnId="40"/>
      <queryTableField id="64" name="Prior_Pay_Period_End" tableColumnId="41"/>
      <queryTableField id="65" name="Current_Qtr" tableColumnId="42"/>
      <queryTableField id="66" name="Prior_Qtr" tableColumnId="43"/>
      <queryTableField id="67" name="Current_Semi_Ann" tableColumnId="44"/>
      <queryTableField id="68" name="Prior_Semi_Ann" tableColumnId="45"/>
      <queryTableField id="69" name="Current_Yr" tableColumnId="46"/>
      <queryTableField id="70" name="Prior_Yr" tableColumnId="47"/>
      <queryTableField id="71" name="Pay_ID_Current_Semi_Ann" tableColumnId="48"/>
      <queryTableField id="72" name="Pay_ID_Prior_Semi_Ann" tableColumnId="49"/>
      <queryTableField id="73" name="Pay_ID_Current_Yr" tableColumnId="50"/>
      <queryTableField id="74" name="Pay_ID_Prior_Yr" tableColumnId="51"/>
      <queryTableField id="75" name="Pay_pp" tableColumnId="52"/>
      <queryTableField id="76" name="Pay_ee" tableColumnId="53"/>
      <queryTableField id="44" name="Calc_Rate" tableColumnId="9"/>
      <queryTableField id="14" name="OT_Pay_Code" tableColumnId="14"/>
      <queryTableField id="15" name="DT_Pay_Code" tableColumnId="15"/>
      <queryTableField id="16" name="Reg_Pay_Code" tableColumnId="16"/>
      <queryTableField id="17" name="Bon_Pay_Code" tableColumnId="17"/>
      <queryTableField id="18" name="Meal_Pay_Code" tableColumnId="18"/>
      <queryTableField id="77" name="Rest_Pay_Code" tableColumnId="54"/>
      <queryTableField id="19" name="Diff_Pay_Code" tableColumnId="19"/>
      <queryTableField id="78" name="Diff_OT_Pay_Code" tableColumnId="55"/>
      <queryTableField id="79" name="Diff_DT_Pay_Code" tableColumnId="56"/>
      <queryTableField id="20" name="Sick_Pay_Code" tableColumnId="20"/>
      <queryTableField id="13" name="Hrs_Wkd_Pay_Code" tableColumnId="13"/>
      <queryTableField id="80" name="RROP_Pay_Code" tableColumnId="57"/>
      <queryTableField id="235" name="pp_Hrs_Wkd_Pay_Code" tableColumnId="165"/>
      <queryTableField id="236" name="pp_Reg_Pay_Code" tableColumnId="166"/>
      <queryTableField id="237" name="pp_OT_Pay_Code" tableColumnId="167"/>
      <queryTableField id="238" name="pp_DT_Pay_Code" tableColumnId="168"/>
      <queryTableField id="239" name="pp_Bon_Pay_Code" tableColumnId="169"/>
      <queryTableField id="240" name="pp_Meal_Pay_Code" tableColumnId="170"/>
      <queryTableField id="241" name="pp_Rest_Pay_Code" tableColumnId="171"/>
      <queryTableField id="242" name="pp_Diff_Pay_Code" tableColumnId="172"/>
      <queryTableField id="243" name="pp_Diff_OT_Pay_Code" tableColumnId="173"/>
      <queryTableField id="244" name="pp_Diff_DT_Pay_Code" tableColumnId="174"/>
      <queryTableField id="245" name="pp_Sick_Pay_Code" tableColumnId="175"/>
      <queryTableField id="246" name="pp_RROP_Pay_Code" tableColumnId="176"/>
      <queryTableField id="21" name="Base_Rate_Row" tableColumnId="21"/>
      <queryTableField id="81" name="Unique_Valid_Rates" tableColumnId="58"/>
      <queryTableField id="26" name="Base_Rate1" tableColumnId="26"/>
      <queryTableField id="27" name="Base_Rate2" tableColumnId="27"/>
      <queryTableField id="28" name="Base_Rate3" tableColumnId="28"/>
      <queryTableField id="29" name="Multiplier1" tableColumnId="29"/>
      <queryTableField id="30" name="Multiplier2" tableColumnId="30"/>
      <queryTableField id="31" name="Multiplier3" tableColumnId="31"/>
      <queryTableField id="32" name="max_mult" tableColumnId="32"/>
      <queryTableField id="33" name="Rate_Gp" tableColumnId="33"/>
      <queryTableField id="296" name="Below_CA_Min" tableColumnId="147"/>
      <queryTableField id="158" name="is_off_cycle" tableColumnId="135"/>
      <queryTableField id="159" name="prev_Pay_Date" tableColumnId="136"/>
      <queryTableField id="160" name="Pay_Date_Rev" tableColumnId="137"/>
      <queryTableField id="161" name="Pay_ID_Pay_Date_Rev" tableColumnId="138"/>
      <queryTableField id="526" name="Rate_Mult" tableColumnId="60"/>
      <queryTableField id="297" name="Rate_Type" tableColumnId="148"/>
      <queryTableField id="82" name="Straight_Time_Amt" tableColumnId="59"/>
      <queryTableField id="527" name="pp_Base_Rate" tableColumnId="78"/>
      <queryTableField id="84" name="pp_Min_Pay_Date" tableColumnId="61"/>
      <queryTableField id="85" name="pp_Max_Pay_Date" tableColumnId="62"/>
      <queryTableField id="34" name="PP_HRS_WKD" tableColumnId="34"/>
      <queryTableField id="86" name="pp_Reg_Hrs" tableColumnId="63"/>
      <queryTableField id="87" name="pp_OT_Hrs" tableColumnId="64"/>
      <queryTableField id="88" name="pp_DT_Hrs" tableColumnId="65"/>
      <queryTableField id="89" name="pp_Meal_Prem_Hrs" tableColumnId="66"/>
      <queryTableField id="90" name="pp_Rest_Prem_Hrs" tableColumnId="67"/>
      <queryTableField id="91" name="pp_Sick_Hrs" tableColumnId="68"/>
      <queryTableField id="92" name="pp_Straight_Time_Amt" tableColumnId="69"/>
      <queryTableField id="528" name="pp_Reg_Amt" tableColumnId="97"/>
      <queryTableField id="93" name="pp_OT_Amt" tableColumnId="70"/>
      <queryTableField id="94" name="pp_DT_Amt" tableColumnId="71"/>
      <queryTableField id="95" name="pp_Meal_Amt" tableColumnId="72"/>
      <queryTableField id="96" name="pp_Rest_Amt" tableColumnId="73"/>
      <queryTableField id="97" name="pp_Sick_Amt" tableColumnId="74"/>
      <queryTableField id="98" name="pp_Oth_RROP_Amt" tableColumnId="75"/>
      <queryTableField id="99" name="pp_Oth_Amt" tableColumnId="76"/>
      <queryTableField id="100" name="pp_Rate_Rank" tableColumnId="77"/>
      <queryTableField id="529" name="prior_pp_Base_Rate" tableColumnId="116"/>
      <queryTableField id="102" name="prior_pp_Min_Pay_Date" tableColumnId="79"/>
      <queryTableField id="103" name="prior_pp_Max_Pay_Date" tableColumnId="80"/>
      <queryTableField id="104" name="prior_pp_Hrs_Wkd" tableColumnId="81"/>
      <queryTableField id="105" name="prior_pp_Reg_Hrs" tableColumnId="82"/>
      <queryTableField id="106" name="prior_pp_OT_Hrs" tableColumnId="83"/>
      <queryTableField id="107" name="prior_pp_DT_Hrs" tableColumnId="84"/>
      <queryTableField id="108" name="prior_pp_Meal_Prem_Hrs" tableColumnId="85"/>
      <queryTableField id="109" name="prior_pp_Rest_Prem_Hrs" tableColumnId="86"/>
      <queryTableField id="110" name="prior_pp_Sick_Hrs" tableColumnId="87"/>
      <queryTableField id="111" name="prior_pp_Straight_Time_Amt" tableColumnId="88"/>
      <queryTableField id="530" name="prior_pp_Reg_Amt" tableColumnId="139"/>
      <queryTableField id="112" name="prior_pp_OT_Amt" tableColumnId="89"/>
      <queryTableField id="113" name="prior_pp_DT_Amt" tableColumnId="90"/>
      <queryTableField id="114" name="prior_pp_Meal_Amt" tableColumnId="91"/>
      <queryTableField id="115" name="prior_pp_Rest_Amt" tableColumnId="92"/>
      <queryTableField id="116" name="prior_pp_Sick_Amt" tableColumnId="93"/>
      <queryTableField id="117" name="prior_pp_Oth_RROP_Amt" tableColumnId="94"/>
      <queryTableField id="118" name="prior_pp_Oth_Amt" tableColumnId="95"/>
      <queryTableField id="119" name="prior_pp_Rate_Rank" tableColumnId="96"/>
      <queryTableField id="531" name="qtr_Base_Rate" tableColumnId="140"/>
      <queryTableField id="121" name="qtr_Min_Pay_Date" tableColumnId="98"/>
      <queryTableField id="122" name="qtr_Max_Pay_Date" tableColumnId="99"/>
      <queryTableField id="123" name="qtr_Hrs_Wkd" tableColumnId="100"/>
      <queryTableField id="124" name="qtr_Reg_Hrs" tableColumnId="101"/>
      <queryTableField id="125" name="qtr_OT_Hrs" tableColumnId="102"/>
      <queryTableField id="126" name="qtr_DT_Hrs" tableColumnId="103"/>
      <queryTableField id="127" name="qtr_Meal_Prem_Hrs" tableColumnId="104"/>
      <queryTableField id="128" name="qtr_Rest_Prem_Hrs" tableColumnId="105"/>
      <queryTableField id="129" name="qtr_Sick_Hrs" tableColumnId="106"/>
      <queryTableField id="130" name="qtr_Straight_Time_Amt" tableColumnId="107"/>
      <queryTableField id="532" name="qtr_Reg_Amt" tableColumnId="141"/>
      <queryTableField id="131" name="qtr_OT_Amt" tableColumnId="108"/>
      <queryTableField id="132" name="qtr_DT_Amt" tableColumnId="109"/>
      <queryTableField id="133" name="qtr_Meal_Amt" tableColumnId="110"/>
      <queryTableField id="134" name="qtr_Rest_Amt" tableColumnId="111"/>
      <queryTableField id="135" name="qtr_Sick_Amt" tableColumnId="112"/>
      <queryTableField id="136" name="qtr_Oth_RROP_Amt" tableColumnId="113"/>
      <queryTableField id="137" name="qtr_Oth_Amt" tableColumnId="114"/>
      <queryTableField id="138" name="qtr_Rate_Rank" tableColumnId="115"/>
      <queryTableField id="533" name="prior_qtr_Base_Rate" tableColumnId="142"/>
      <queryTableField id="140" name="prior_qtr_Min_Pay_Date" tableColumnId="117"/>
      <queryTableField id="141" name="prior_qtr_Max_Pay_Date" tableColumnId="118"/>
      <queryTableField id="142" name="prior_qtr_Hrs_Wkd" tableColumnId="119"/>
      <queryTableField id="143" name="prior_qtr_Reg_Hrs" tableColumnId="120"/>
      <queryTableField id="144" name="prior_qtr_OT_Hrs" tableColumnId="121"/>
      <queryTableField id="145" name="prior_qtr_DT_Hrs" tableColumnId="122"/>
      <queryTableField id="146" name="prior_qtr_Meal_Prem_Hrs" tableColumnId="123"/>
      <queryTableField id="147" name="prior_qtr_Rest_Prem_Hrs" tableColumnId="124"/>
      <queryTableField id="148" name="prior_qtr_Sick_Hrs" tableColumnId="125"/>
      <queryTableField id="149" name="prior_qtr_Straight_Time_Amt" tableColumnId="126"/>
      <queryTableField id="534" name="prior_qtr_Reg_Amt" tableColumnId="143"/>
      <queryTableField id="150" name="prior_qtr_OT_Amt" tableColumnId="127"/>
      <queryTableField id="151" name="prior_qtr_DT_Amt" tableColumnId="128"/>
      <queryTableField id="152" name="prior_qtr_Meal_Amt" tableColumnId="129"/>
      <queryTableField id="153" name="prior_qtr_Rest_Amt" tableColumnId="130"/>
      <queryTableField id="154" name="prior_qtr_Sick_Amt" tableColumnId="131"/>
      <queryTableField id="155" name="prior_qtr_Oth_RROP_Amt" tableColumnId="132"/>
      <queryTableField id="156" name="prior_qtr_Oth_Amt" tableColumnId="133"/>
      <queryTableField id="157" name="prior_qtr_Rate_Rank" tableColumnId="134"/>
      <queryTableField id="535" name="Bonus" tableColumnId="144"/>
      <queryTableField id="536" name="Commission" tableColumnId="145"/>
      <queryTableField id="537" name="BONUS REVIW" tableColumnId="149"/>
      <queryTableField id="538" name="BONUS (field 4)" tableColumnId="150"/>
      <queryTableField id="539" name="COMMISSION (field 4)" tableColumnId="151"/>
      <queryTableField id="540" name="Bonus_FLSA_rrop" tableColumnId="152"/>
      <queryTableField id="541" name="Commission_FLSA_rrop" tableColumnId="153"/>
      <queryTableField id="542" name="BONUS REVIW_FLSA_rrop" tableColumnId="154"/>
      <queryTableField id="543" name="BONUS (field 4)_FLSA_rrop" tableColumnId="159"/>
      <queryTableField id="544" name="COMMISSION (field 4)_FLSA_rrop" tableColumnId="160"/>
      <queryTableField id="545" name="Bonus_FLSA_rrop_OT_wage" tableColumnId="161"/>
      <queryTableField id="546" name="Bonus_FLSA_rrop_DT_wage" tableColumnId="162"/>
      <queryTableField id="547" name="Bonus_FLSA_rrop_Meal_wage" tableColumnId="163"/>
      <queryTableField id="548" name="Bonus_FLSA_rrop_Rest_wage" tableColumnId="164"/>
      <queryTableField id="549" name="Bonus_FLSA_rrop_Sick_wage" tableColumnId="178"/>
      <queryTableField id="550" name="Commission_FLSA_rrop_OT_wage" tableColumnId="179"/>
      <queryTableField id="551" name="Commission_FLSA_rrop_DT_wage" tableColumnId="180"/>
      <queryTableField id="552" name="Commission_FLSA_rrop_Meal_wage" tableColumnId="181"/>
      <queryTableField id="553" name="Commission_FLSA_rrop_Rest_wage" tableColumnId="182"/>
      <queryTableField id="554" name="Commission_FLSA_rrop_Sick_wage" tableColumnId="183"/>
      <queryTableField id="555" name="BONUS REVIW_FLSA_rrop_OT_wage" tableColumnId="184"/>
      <queryTableField id="556" name="BONUS REVIW_FLSA_rrop_DT_wage" tableColumnId="185"/>
      <queryTableField id="557" name="BONUS REVIW_FLSA_rrop_Meal_wage" tableColumnId="186"/>
      <queryTableField id="558" name="BONUS REVIW_FLSA_rrop_Rest_wage" tableColumnId="187"/>
      <queryTableField id="559" name="BONUS REVIW_FLSA_rrop_Sick_wage" tableColumnId="188"/>
      <queryTableField id="560" name="BONUS (field 4)_FLSA_rrop_OT_wage" tableColumnId="189"/>
      <queryTableField id="561" name="BONUS (field 4)_FLSA_rrop_DT_wage" tableColumnId="190"/>
      <queryTableField id="562" name="BONUS (field 4)_FLSA_rrop_Meal_wage" tableColumnId="191"/>
      <queryTableField id="563" name="BONUS (field 4)_FLSA_rrop_Rest_wage" tableColumnId="192"/>
      <queryTableField id="564" name="BONUS (field 4)_FLSA_rrop_Sick_wage" tableColumnId="193"/>
      <queryTableField id="565" name="COMMISSION (field 4)_FLSA_rrop_OT_wage" tableColumnId="194"/>
      <queryTableField id="566" name="COMMISSION (field 4)_FLSA_rrop_DT_wage" tableColumnId="195"/>
      <queryTableField id="567" name="COMMISSION (field 4)_FLSA_rrop_Meal_wage" tableColumnId="196"/>
      <queryTableField id="568" name="COMMISSION (field 4)_FLSA_rrop_Rest_wage" tableColumnId="197"/>
      <queryTableField id="569" name="COMMISSION (field 4)_FLSA_rrop_Sick_wage" tableColumnId="198"/>
      <queryTableField id="178" name="rrop_by_code_underpayment" tableColumnId="155"/>
      <queryTableField id="179" name="RROP" tableColumnId="156"/>
      <queryTableField id="180" name="Calc_Tot_Wages" tableColumnId="157"/>
      <queryTableField id="181" name="Actual_Wages" tableColumnId="158"/>
      <queryTableField id="570" name="Wage_Diff" tableColumnId="199"/>
      <queryTableField id="571" name="OT_Diff" tableColumnId="200"/>
      <queryTableField id="572" name="DT_Diff" tableColumnId="201"/>
      <queryTableField id="573" name="Meal_Diff" tableColumnId="202"/>
      <queryTableField id="574" name="Rest_Diff" tableColumnId="203"/>
      <queryTableField id="575" name="Sick_Diff" tableColumnId="204"/>
      <queryTableField id="576" name="Net_Overpayment" tableColumnId="205"/>
      <queryTableField id="577" name="OT_Overpayment" tableColumnId="206"/>
      <queryTableField id="578" name="DT_Overpayment" tableColumnId="207"/>
      <queryTableField id="579" name="Meal_Overpayment" tableColumnId="208"/>
      <queryTableField id="580" name="Rest_Overpayment" tableColumnId="209"/>
      <queryTableField id="581" name="Sick_Overpayment" tableColumnId="210"/>
      <queryTableField id="582" name="Net_rrop_dmgs" tableColumnId="211"/>
      <queryTableField id="583" name="OT_rrop_dmgs" tableColumnId="212"/>
      <queryTableField id="584" name="DT_rrop_dmgs" tableColumnId="213"/>
      <queryTableField id="585" name="Meal_rrop_dmgs" tableColumnId="214"/>
      <queryTableField id="586" name="Rest_rrop_dmgs" tableColumnId="215"/>
      <queryTableField id="587" name="Sick_rrop_dmgs" tableColumnId="216"/>
      <queryTableField id="588" name="Gross_Overpayment" tableColumnId="217"/>
      <queryTableField id="589" name="Gross_rrop_dmgs" tableColumnId="218"/>
      <queryTableField id="590" name="rrop_any_underpayment" tableColumnId="219"/>
      <queryTableField id="591" name="rrop_net_underpayment" tableColumnId="220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5" xr16:uid="{8E33F2ED-14D6-47F2-A4A1-3425DD84A183}" autoFormatId="16" applyNumberFormats="0" applyBorderFormats="0" applyFontFormats="0" applyPatternFormats="0" applyAlignmentFormats="0" applyWidthHeightFormats="0">
  <queryTableRefresh nextId="10">
    <queryTableFields count="9">
      <queryTableField id="1" name="Key Group" tableColumnId="1"/>
      <queryTableField id="2" name="Pay Code" tableColumnId="2"/>
      <queryTableField id="3" name="Min Period End" tableColumnId="3"/>
      <queryTableField id="4" name="Max Period End" tableColumnId="4"/>
      <queryTableField id="5" name="Employees" tableColumnId="5"/>
      <queryTableField id="6" name="Pay Periods" tableColumnId="6"/>
      <queryTableField id="7" name="Hours" tableColumnId="7"/>
      <queryTableField id="8" name="Amount" tableColumnId="8"/>
      <queryTableField id="9" name="Avg Amount" tableColumnId="9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8" xr16:uid="{2715B0CB-354C-4348-AE70-C0C706433CA6}" autoFormatId="16" applyNumberFormats="0" applyBorderFormats="0" applyFontFormats="0" applyPatternFormats="0" applyAlignmentFormats="0" applyWidthHeightFormats="0">
  <queryTableRefresh nextId="13">
    <queryTableFields count="10">
      <queryTableField id="3" name="Pay Code" tableColumnId="1"/>
      <queryTableField id="4" name="Records" tableColumnId="2"/>
      <queryTableField id="5" name="Employees" tableColumnId="3"/>
      <queryTableField id="6" name="Hours" tableColumnId="4"/>
      <queryTableField id="7" name="Amount" tableColumnId="5"/>
      <queryTableField id="8" name="Avg Rate" tableColumnId="6"/>
      <queryTableField id="9" name="Avg Mult" tableColumnId="7"/>
      <queryTableField id="10" name="Rate Type" tableColumnId="8"/>
      <queryTableField id="11" name="Rate Type Pct" tableColumnId="9"/>
      <queryTableField id="12" name="Pay Code Category" tableColumnId="10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0" xr16:uid="{2CFA2C63-A717-4609-ABDF-18861707B422}" autoFormatId="16" applyNumberFormats="0" applyBorderFormats="0" applyFontFormats="0" applyPatternFormats="0" applyAlignmentFormats="0" applyWidthHeightFormats="0">
  <queryTableRefresh nextId="10">
    <queryTableFields count="9">
      <queryTableField id="1" name="table" tableColumnId="1"/>
      <queryTableField id="2" name="records_before" tableColumnId="2"/>
      <queryTableField id="3" name="ids_before" tableColumnId="3"/>
      <queryTableField id="4" name="records_removed_class" tableColumnId="4"/>
      <queryTableField id="5" name="ids_removed_class" tableColumnId="5"/>
      <queryTableField id="6" name="records_removed_date" tableColumnId="6"/>
      <queryTableField id="7" name="ids_removed_date" tableColumnId="7"/>
      <queryTableField id="8" name="records_final" tableColumnId="8"/>
      <queryTableField id="9" name="ids_final" tableColumnId="9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A597499-076C-49AB-B7F2-CD88F0B80893}" autoFormatId="16" applyNumberFormats="0" applyBorderFormats="0" applyFontFormats="0" applyPatternFormats="0" applyAlignmentFormats="0" applyWidthHeightFormats="0">
  <queryTableRefresh nextId="11">
    <queryTableFields count="5">
      <queryTableField id="6" name="================================================================================" tableColumnId="6"/>
      <queryTableField id="1" name="Column1" tableColumnId="1"/>
      <queryTableField id="7" name="_1" tableColumnId="7"/>
      <queryTableField id="8" name="_2" tableColumnId="8"/>
      <queryTableField id="9" name="_3" tableColumnId="9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0</v>
    <v>3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2EA83B-0302-4692-BE7D-6EE4BB9E853D}" name="All_Time_and_Pay_IDs" displayName="All_Time_and_Pay_IDs" ref="W1:AE2" tableType="queryTable" insertRow="1" totalsRowShown="0" headerRowDxfId="416" dataDxfId="415">
  <autoFilter ref="W1:AE2" xr:uid="{DA2EA83B-0302-4692-BE7D-6EE4BB9E853D}"/>
  <tableColumns count="9">
    <tableColumn id="1" xr3:uid="{A0AD5249-0996-4E20-9DF1-A7214010710D}" uniqueName="1" name="ID" queryTableFieldId="1" dataDxfId="414"/>
    <tableColumn id="2" xr3:uid="{E150A94B-F420-4BA4-8396-3E2697E8B5F9}" uniqueName="2" name="Class_ID" queryTableFieldId="10" dataDxfId="413"/>
    <tableColumn id="3" xr3:uid="{3EC163E9-4554-4D5A-93C6-242AF9255434}" uniqueName="3" name="Name" queryTableFieldId="11" dataDxfId="412"/>
    <tableColumn id="5" xr3:uid="{A4D4FC42-3B14-4F6A-AE74-F2DB9395F4B3}" uniqueName="5" name="Pay_Name" queryTableFieldId="12" dataDxfId="411"/>
    <tableColumn id="6" xr3:uid="{50DDA9F8-0908-476D-AD56-6457A586DB85}" uniqueName="6" name="Class_Name" queryTableFieldId="13" dataDxfId="410"/>
    <tableColumn id="7" xr3:uid="{784025A9-9E33-4E7B-9ABF-1B6D243B92AD}" uniqueName="7" name="Time_Present" queryTableFieldId="14" dataDxfId="409"/>
    <tableColumn id="8" xr3:uid="{89E8EE3B-98C4-4493-8525-BDADB8F3541D}" uniqueName="8" name="Pay_Present" queryTableFieldId="15" dataDxfId="408"/>
    <tableColumn id="9" xr3:uid="{BF151D06-EBC9-47AE-91B2-53EAED9A5E98}" uniqueName="9" name="Class_Present" queryTableFieldId="16" dataDxfId="407"/>
    <tableColumn id="4" xr3:uid="{E4FDFE5F-04B1-4C43-92E2-8CB8FD71F8C4}" uniqueName="4" name="Source" queryTableFieldId="4" dataDxfId="406"/>
  </tableColumns>
  <tableStyleInfo name="TableStyleMedium13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BB0EFE9-86D8-4BE6-A100-C9420D3EF6A1}" name="Employee_Pay_Period_Comparison" displayName="Employee_Pay_Period_Comparison" ref="A1:Q2" tableType="queryTable" insertRow="1" totalsRowShown="0">
  <autoFilter ref="A1:Q2" xr:uid="{BBB0EFE9-86D8-4BE6-A100-C9420D3EF6A1}"/>
  <tableColumns count="17">
    <tableColumn id="1" xr3:uid="{68D7061D-53A9-4A47-993B-9562241A441E}" uniqueName="1" name="ID" queryTableFieldId="1"/>
    <tableColumn id="2" xr3:uid="{8463CDB0-EC13-460A-8CB3-C61DCD84BD48}" uniqueName="2" name="Time_Periods" queryTableFieldId="2"/>
    <tableColumn id="3" xr3:uid="{A169E3E0-9A25-495E-922D-57C8CF875363}" uniqueName="3" name="Time_First_Date" queryTableFieldId="3" dataDxfId="405"/>
    <tableColumn id="4" xr3:uid="{452C41AB-14C6-4316-88A7-4779935CEEB3}" uniqueName="4" name="Time_Last_Date" queryTableFieldId="4" dataDxfId="404"/>
    <tableColumn id="5" xr3:uid="{78244D91-1ED9-4173-92E6-7D3A89911AF5}" uniqueName="5" name="Time_Records" queryTableFieldId="5"/>
    <tableColumn id="6" xr3:uid="{BF4B58F2-DF90-4BF9-BCEB-3FE0DA97067B}" uniqueName="6" name="Pay_Periods" queryTableFieldId="6"/>
    <tableColumn id="7" xr3:uid="{2224BD8A-3A69-4216-979A-62456965DFE2}" uniqueName="7" name="Pay_First_Date" queryTableFieldId="7" dataDxfId="403"/>
    <tableColumn id="8" xr3:uid="{FB81EAC0-5B6D-46F5-B129-74CBC2E925F2}" uniqueName="8" name="Pay_Last_Date" queryTableFieldId="8" dataDxfId="402"/>
    <tableColumn id="9" xr3:uid="{0CF48591-DDA8-478B-9F2B-BC5AF5720CB2}" uniqueName="9" name="Pay_Records" queryTableFieldId="9"/>
    <tableColumn id="10" xr3:uid="{988CB9A4-F19B-49E4-AA0F-4273745F1CE4}" uniqueName="10" name="Matching_Periods" queryTableFieldId="10"/>
    <tableColumn id="11" xr3:uid="{565CBCE5-8979-4395-9FBA-FC4D6A12837B}" uniqueName="11" name="Time_Only_Periods" queryTableFieldId="11"/>
    <tableColumn id="12" xr3:uid="{4C234324-1F69-42AF-BA55-664B2DAA382F}" uniqueName="12" name="Pay_Only_Periods" queryTableFieldId="12"/>
    <tableColumn id="13" xr3:uid="{FCA271F9-9DAF-44D7-85C1-FE05138C38CD}" uniqueName="13" name="Total_Unique_Periods" queryTableFieldId="13"/>
    <tableColumn id="14" xr3:uid="{CC322845-1E83-4640-AB51-7B2535BA0565}" uniqueName="14" name="Match_Rate" queryTableFieldId="14"/>
    <tableColumn id="15" xr3:uid="{CBB774D5-8764-48E8-A7F3-DEB4ED4E61D1}" uniqueName="15" name="Time_Coverage" queryTableFieldId="15"/>
    <tableColumn id="16" xr3:uid="{DF94CB89-23C3-4A03-B4A5-3640F683D9A4}" uniqueName="16" name="Pay_Coverage" queryTableFieldId="16"/>
    <tableColumn id="17" xr3:uid="{3F22E119-3129-4D37-911B-C439F77AB9B9}" uniqueName="17" name="Data_Status" queryTableFieldId="17"/>
  </tableColumns>
  <tableStyleInfo name="TableStyleMedium13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141ED4D-46B6-4DFD-814C-BC78845F0025}" name="Analysis" displayName="Analysis" ref="A1:M2" tableType="queryTable" insertRow="1" totalsRowShown="0">
  <autoFilter ref="A1:M2" xr:uid="{E141ED4D-46B6-4DFD-814C-BC78845F0025}"/>
  <tableColumns count="13">
    <tableColumn id="1" xr3:uid="{66698E4F-E358-4242-894D-06EA17E2C916}" uniqueName="1" name="Metric Group" queryTableFieldId="1" dataDxfId="401"/>
    <tableColumn id="2" xr3:uid="{EE7DC997-B07D-4E54-A0F3-D4F412E3646F}" uniqueName="2" name="Metric Label" queryTableFieldId="2" dataDxfId="400"/>
    <tableColumn id="3" xr3:uid="{D5895FA3-E73F-4CB5-A9D8-D1A0054D325B}" uniqueName="3" name="Waiver Scenario" queryTableFieldId="3" dataDxfId="399"/>
    <tableColumn id="4" xr3:uid="{5A26E61F-7BD0-45F0-94EA-C2DD25D8FAFF}" uniqueName="4" name="Extrapolated" queryTableFieldId="4" dataDxfId="398"/>
    <tableColumn id="5" xr3:uid="{D9DFDEC7-00BB-4ACF-8934-065AA7AD97BF}" uniqueName="5" name="All Data" queryTableFieldId="5" dataDxfId="397"/>
    <tableColumn id="6" xr3:uid="{23DC7E85-4899-4A08-B82E-4E075E23F32F}" uniqueName="6" name="2020" queryTableFieldId="6" dataDxfId="396"/>
    <tableColumn id="7" xr3:uid="{718610CE-18F8-4485-936C-BDCE70DDD3FC}" uniqueName="7" name="2021" queryTableFieldId="7" dataDxfId="395"/>
    <tableColumn id="8" xr3:uid="{938DD4C2-A807-4152-8E5F-100CEA426C5E}" uniqueName="8" name="2022" queryTableFieldId="8" dataDxfId="394"/>
    <tableColumn id="9" xr3:uid="{0AD857A3-362F-4CB1-8C53-6204BA22A0A2}" uniqueName="9" name="2023" queryTableFieldId="9" dataDxfId="393"/>
    <tableColumn id="10" xr3:uid="{7E0F6206-1E3C-43B7-9A21-0C31BA4BAC79}" uniqueName="10" name="2024" queryTableFieldId="10" dataDxfId="392"/>
    <tableColumn id="11" xr3:uid="{1A19AE05-F283-45E8-B85C-D61A4720C791}" uniqueName="11" name="2025" queryTableFieldId="11" dataDxfId="391"/>
    <tableColumn id="12" xr3:uid="{7DF36FD9-2B10-46AD-93DF-466A2925C946}" uniqueName="12" name="2026" queryTableFieldId="12" dataDxfId="390"/>
    <tableColumn id="13" xr3:uid="{7974C90E-5D46-433A-AD6F-2D6B6618ADF5}" uniqueName="13" name="Barraza-Benitez, Hector" queryTableFieldId="13" dataDxfId="389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CF7FCB6-135C-4F27-81D0-E2D4B8D7445D}" name="Pay_Period_Data" displayName="Pay_Period_Data" ref="A1:VL2" tableType="queryTable" insertRow="1" totalsRowShown="0">
  <autoFilter ref="A1:VL2" xr:uid="{DCF7FCB6-135C-4F27-81D0-E2D4B8D7445D}"/>
  <tableColumns count="584">
    <tableColumn id="1" xr3:uid="{A88BA5D4-5CA9-43B6-817C-406401D83EA9}" uniqueName="1" name="ID_Period_End" queryTableFieldId="1" dataDxfId="388"/>
    <tableColumn id="2" xr3:uid="{136D7DE8-8B6E-4B50-B0C7-EF4AF3DB7E71}" uniqueName="2" name="Pay_Source" queryTableFieldId="2" dataDxfId="387"/>
    <tableColumn id="3" xr3:uid="{02E63420-F56C-488C-97D7-83D1FC0389B1}" uniqueName="3" name="Pay_Name" queryTableFieldId="3" dataDxfId="386"/>
    <tableColumn id="4" xr3:uid="{60BA6CEF-258B-4771-AD32-149CE39A3589}" uniqueName="4" name="Pay_Date" queryTableFieldId="4" dataDxfId="385"/>
    <tableColumn id="5" xr3:uid="{C1E8CA35-75BC-41A3-B5C3-5C89FE5E65CF}" uniqueName="5" name="Pay_ID_Current_Qtr" queryTableFieldId="5" dataDxfId="384"/>
    <tableColumn id="6" xr3:uid="{29FB75EA-7C17-46BE-9BEC-C364A301C915}" uniqueName="6" name="Pay_Hours" queryTableFieldId="6" dataDxfId="383"/>
    <tableColumn id="7" xr3:uid="{CE61446E-F745-4070-9618-290FFE78F674}" uniqueName="7" name="Pay_Amount" queryTableFieldId="7" dataDxfId="382"/>
    <tableColumn id="8" xr3:uid="{EF4444E2-D324-415D-BF26-DD328983B083}" uniqueName="8" name="Base_Rate" queryTableFieldId="8" dataDxfId="381"/>
    <tableColumn id="9" xr3:uid="{936B3971-400B-4C2C-853C-F414E361B727}" uniqueName="9" name="RROP" queryTableFieldId="9" dataDxfId="380"/>
    <tableColumn id="10" xr3:uid="{D1AB4625-940F-448D-A6CD-8A8A5D97E13D}" uniqueName="10" name="double_CA_min_wage" queryTableFieldId="10" dataDxfId="379"/>
    <tableColumn id="11" xr3:uid="{D0BD0E06-7F61-4169-8D88-6EC1C2E3AF59}" uniqueName="11" name="CA_min_wage" queryTableFieldId="11" dataDxfId="378"/>
    <tableColumn id="12" xr3:uid="{D212FF62-2CF4-448F-8B75-D23184C4DB25}" uniqueName="12" name="pp_Hrs_Wkd" queryTableFieldId="12" dataDxfId="377"/>
    <tableColumn id="13" xr3:uid="{237DDAC1-9854-4D2D-848C-2CA38E64CAF1}" uniqueName="13" name="pp_Reg_Hrs" queryTableFieldId="13" dataDxfId="376"/>
    <tableColumn id="14" xr3:uid="{CA097052-01C1-41CA-8E0A-BCD80C87FA15}" uniqueName="14" name="pp_OT_Hrs" queryTableFieldId="14" dataDxfId="375"/>
    <tableColumn id="15" xr3:uid="{6D7DA799-340E-4AB2-9279-DADD74DB2DF4}" uniqueName="15" name="pp_DT_Hrs" queryTableFieldId="15" dataDxfId="374"/>
    <tableColumn id="16" xr3:uid="{CAF11558-8B18-4DCA-A3E3-290CB9EF2D3D}" uniqueName="16" name="pp_Meal_Prem_Hrs" queryTableFieldId="16" dataDxfId="373"/>
    <tableColumn id="17" xr3:uid="{5285A9AE-8C02-445B-AC4E-C5DD4DB39A8B}" uniqueName="17" name="pp_Rest_Prem_Hrs" queryTableFieldId="17" dataDxfId="372"/>
    <tableColumn id="18" xr3:uid="{3C33C9B3-6129-4CFD-AA6B-96913EBF7411}" uniqueName="18" name="pp_Sick_Hrs" queryTableFieldId="18" dataDxfId="371"/>
    <tableColumn id="19" xr3:uid="{9913D4D4-4251-4B51-A2C8-39E9B9AFFDDE}" uniqueName="19" name="pp_Straight_Time_Amt" queryTableFieldId="19" dataDxfId="370"/>
    <tableColumn id="20" xr3:uid="{B532245B-D4EA-4EC0-BC67-8DD78804E639}" uniqueName="20" name="pp_Reg_Amt" queryTableFieldId="20" dataDxfId="369"/>
    <tableColumn id="21" xr3:uid="{5FD2B200-47C0-41B7-990E-65B43604DE17}" uniqueName="21" name="pp_OT_Amt" queryTableFieldId="21" dataDxfId="368"/>
    <tableColumn id="22" xr3:uid="{40800F92-C49D-4715-9F89-2AD4EC5458E5}" uniqueName="22" name="pp_DT_Amt" queryTableFieldId="22" dataDxfId="367"/>
    <tableColumn id="23" xr3:uid="{F908E2CB-72C3-4586-B6F4-93E903ACDC7D}" uniqueName="23" name="pp_Meal_Amt" queryTableFieldId="23" dataDxfId="366"/>
    <tableColumn id="24" xr3:uid="{085F24CA-BEBC-4ECF-BA25-DC86B4C9002B}" uniqueName="24" name="pp_Rest_Amt" queryTableFieldId="24" dataDxfId="365"/>
    <tableColumn id="25" xr3:uid="{37C4F8F0-6D3C-4804-9609-F9715C110B5A}" uniqueName="25" name="pp_Sick_Amt" queryTableFieldId="25" dataDxfId="364"/>
    <tableColumn id="26" xr3:uid="{7BE6875B-1579-4678-BDB7-A535A2806BA7}" uniqueName="26" name="pp_Oth_RROP_Amt" queryTableFieldId="26" dataDxfId="363"/>
    <tableColumn id="27" xr3:uid="{D6CB7C39-C778-4244-849E-9DFCF413DB53}" uniqueName="27" name="pp_Oth_Amt" queryTableFieldId="27" dataDxfId="362"/>
    <tableColumn id="28" xr3:uid="{6252ABFB-FD08-404F-A218-B3F091A05F42}" uniqueName="28" name="rrop_by_code_underpayment" queryTableFieldId="28"/>
    <tableColumn id="29" xr3:uid="{0E1572CE-D89C-456E-B794-B53DD6409BE5}" uniqueName="29" name="Calc_Tot_Wages" queryTableFieldId="29" dataDxfId="361"/>
    <tableColumn id="30" xr3:uid="{18BCBA8A-91E5-4F72-845E-89506DDB5953}" uniqueName="30" name="Actual_Wages" queryTableFieldId="30" dataDxfId="360"/>
    <tableColumn id="31" xr3:uid="{152313E5-F4E0-4C35-932A-0C0336AFD822}" uniqueName="31" name="Wage_Diff" queryTableFieldId="31"/>
    <tableColumn id="32" xr3:uid="{2B163AD1-58B5-4833-8251-3B6C92F5E29E}" uniqueName="32" name="OT_Diff" queryTableFieldId="32"/>
    <tableColumn id="33" xr3:uid="{35D146F2-332D-4C4A-A48D-37047AA0B46E}" uniqueName="33" name="DT_Diff" queryTableFieldId="33"/>
    <tableColumn id="34" xr3:uid="{0AE754B1-7E20-47B1-B925-E55D1E76F75F}" uniqueName="34" name="Meal_Diff" queryTableFieldId="34"/>
    <tableColumn id="35" xr3:uid="{9FD04B71-03F6-466C-9B04-5D481BB8F36D}" uniqueName="35" name="Rest_Diff" queryTableFieldId="35"/>
    <tableColumn id="36" xr3:uid="{249CAEFE-7155-47E1-A591-49A79E76AE50}" uniqueName="36" name="Sick_Diff" queryTableFieldId="36"/>
    <tableColumn id="37" xr3:uid="{CEAA6A4C-0D02-4356-AB53-A94651C29D1F}" uniqueName="37" name="OT_Overpayment" queryTableFieldId="37"/>
    <tableColumn id="38" xr3:uid="{9FAD5741-7B63-4792-89BE-97AA9AC2D2E6}" uniqueName="38" name="DT_Overpayment" queryTableFieldId="38"/>
    <tableColumn id="39" xr3:uid="{7E1721C2-ECF0-49D7-9A34-35369EAF5679}" uniqueName="39" name="Meal_Overpayment" queryTableFieldId="39"/>
    <tableColumn id="40" xr3:uid="{F1E9640E-7FA1-4FCF-BDF8-1B65FED765FB}" uniqueName="40" name="Rest_Overpayment" queryTableFieldId="40"/>
    <tableColumn id="41" xr3:uid="{B4E2BF6D-9BB0-41C1-9D02-A0E04DC18A00}" uniqueName="41" name="Sick_Overpayment" queryTableFieldId="41"/>
    <tableColumn id="42" xr3:uid="{591387E3-DD14-4F39-86D1-D2EA0B9C8CFD}" uniqueName="42" name="OT_rrop_dmgs" queryTableFieldId="42"/>
    <tableColumn id="43" xr3:uid="{E2471121-DABE-444F-8C64-D160A452D390}" uniqueName="43" name="DT_rrop_dmgs" queryTableFieldId="43"/>
    <tableColumn id="44" xr3:uid="{FC448FE3-A631-4534-88EC-992214A2A569}" uniqueName="44" name="Meal_rrop_dmgs" queryTableFieldId="44"/>
    <tableColumn id="45" xr3:uid="{243D3CFD-8B68-4334-9698-ACB1F9FEC609}" uniqueName="45" name="Rest_rrop_dmgs" queryTableFieldId="45"/>
    <tableColumn id="46" xr3:uid="{60734C21-C1EB-4541-A8EA-A11032F3F356}" uniqueName="46" name="Sick_rrop_dmgs" queryTableFieldId="46"/>
    <tableColumn id="47" xr3:uid="{E376815E-98F0-4DD2-8A94-E0790BD6D3C8}" uniqueName="47" name="Gross_Overpayment" queryTableFieldId="47"/>
    <tableColumn id="48" xr3:uid="{15CB47A8-1036-4054-9E5A-8DCCAD115A6C}" uniqueName="48" name="Gross_rrop_dmgs" queryTableFieldId="48"/>
    <tableColumn id="49" xr3:uid="{B0A593FF-ACA2-4BF5-9256-92DA90F550C2}" uniqueName="49" name="Net_Overpayment" queryTableFieldId="49"/>
    <tableColumn id="50" xr3:uid="{5B09614D-2453-4A48-B7E5-32EEE313B1BF}" uniqueName="50" name="Net_rrop_dmgs" queryTableFieldId="50"/>
    <tableColumn id="51" xr3:uid="{1C208004-0F42-4D4A-9FD5-50749C6A94D3}" uniqueName="51" name="rrop_any_underpayment" queryTableFieldId="51"/>
    <tableColumn id="52" xr3:uid="{8845787A-5A92-4E17-B061-3DD2AFCA7F91}" uniqueName="52" name="rrop_net_underpayment" queryTableFieldId="52"/>
    <tableColumn id="53" xr3:uid="{56741CC4-8937-4F67-89D2-E3ADFFDD9830}" uniqueName="53" name="pay_row_id" queryTableFieldId="53" dataDxfId="359"/>
    <tableColumn id="54" xr3:uid="{F8BFA3AB-9471-46FF-BA7F-04807E3AA48F}" uniqueName="54" name="Source" queryTableFieldId="54" dataDxfId="358"/>
    <tableColumn id="55" xr3:uid="{7CA673F0-7520-4DA5-B1FE-8467BDF8C1B4}" uniqueName="55" name="Sheet" queryTableFieldId="55" dataDxfId="357"/>
    <tableColumn id="56" xr3:uid="{52DE5A58-1DC8-4C3A-8488-17F7C42238E9}" uniqueName="56" name="Key_Gps" queryTableFieldId="56" dataDxfId="356"/>
    <tableColumn id="57" xr3:uid="{6D1EF5AC-F7E1-46F9-A7E5-20F56EFDA146}" uniqueName="57" name="ID" queryTableFieldId="57"/>
    <tableColumn id="58" xr3:uid="{21A3AB13-6759-4785-B492-350AE96D49E5}" uniqueName="58" name="Name" queryTableFieldId="58" dataDxfId="355"/>
    <tableColumn id="59" xr3:uid="{FAD3A4BE-DF42-4B48-8109-66DF3FDE529E}" uniqueName="59" name="ID_Date" queryTableFieldId="59" dataDxfId="354"/>
    <tableColumn id="60" xr3:uid="{A2B5BB3F-ED7D-4928-9F15-D248F1E7B938}" uniqueName="60" name="Period_Beg" queryTableFieldId="60" dataDxfId="353"/>
    <tableColumn id="61" xr3:uid="{08015DB3-4AE6-46AA-85E2-8D9BBCD089B5}" uniqueName="61" name="Period_End" queryTableFieldId="61" dataDxfId="352"/>
    <tableColumn id="62" xr3:uid="{2E9CC99A-6B00-4A8E-9C14-46D2454BB79A}" uniqueName="62" name="shift" queryTableFieldId="62"/>
    <tableColumn id="63" xr3:uid="{99BFDA51-202D-463F-B0E1-4448CEFFDD04}" uniqueName="63" name="shift_hrs" queryTableFieldId="63" dataDxfId="351"/>
    <tableColumn id="64" xr3:uid="{1412DE24-2AE7-400D-A5A1-15A76CAD6635}" uniqueName="64" name="Hours" queryTableFieldId="64" dataDxfId="350"/>
    <tableColumn id="65" xr3:uid="{DE73D708-0870-437B-9C90-DCA54056F93F}" uniqueName="65" name="mp" queryTableFieldId="65"/>
    <tableColumn id="66" xr3:uid="{67875DA0-58E9-45C8-8B03-A9FF58345532}" uniqueName="66" name="mp_lt_twenty" queryTableFieldId="66"/>
    <tableColumn id="67" xr3:uid="{5CD78EC3-41B3-4BBE-9F97-17A89E7084B6}" uniqueName="67" name="mp_lt_thirty" queryTableFieldId="67"/>
    <tableColumn id="68" xr3:uid="{677E5320-8CE6-4112-8F3E-CCF130096065}" uniqueName="68" name="mp_thirty" queryTableFieldId="68"/>
    <tableColumn id="69" xr3:uid="{EA5D6536-091F-4E57-9E24-749A5286A1CC}" uniqueName="69" name="mp_gt_thirty" queryTableFieldId="69"/>
    <tableColumn id="70" xr3:uid="{3AFAFB33-0662-49ED-8804-E105AC63E970}" uniqueName="70" name="mp_gt_two_hrs" queryTableFieldId="70"/>
    <tableColumn id="71" xr3:uid="{3A1E3691-FC9A-4D76-9405-21D06AE24C31}" uniqueName="71" name="mp_gt_four_hrs" queryTableFieldId="71"/>
    <tableColumn id="72" xr3:uid="{A3AC3253-F223-4879-B8D1-C64DFABDAC6D}" uniqueName="72" name="MissMP1" queryTableFieldId="72"/>
    <tableColumn id="73" xr3:uid="{EDBED3B9-D883-4A77-A8F5-4D7FA27ACCE9}" uniqueName="73" name="LateMP1" queryTableFieldId="73"/>
    <tableColumn id="74" xr3:uid="{4B265B2E-A616-4EEF-9F44-EDB81B80FAAB}" uniqueName="74" name="ShortMP1" queryTableFieldId="74"/>
    <tableColumn id="75" xr3:uid="{53302E8C-4669-4EFA-B4F9-A204B3D26EF1}" uniqueName="75" name="MissMP2" queryTableFieldId="75"/>
    <tableColumn id="76" xr3:uid="{24392F7D-4FBF-4CE6-B30C-6B44ADAB88C8}" uniqueName="76" name="LateMP2" queryTableFieldId="76"/>
    <tableColumn id="77" xr3:uid="{13FDA708-EBCF-4A47-B8F4-6826D424F65B}" uniqueName="77" name="ShortMP2" queryTableFieldId="77"/>
    <tableColumn id="78" xr3:uid="{1B490982-DBB2-4C1D-9D5F-4F516E2CBE4B}" uniqueName="78" name="mp1_violation" queryTableFieldId="78"/>
    <tableColumn id="79" xr3:uid="{576B8F5B-E342-4B7D-8FD1-BC9FF6CC2D71}" uniqueName="79" name="mp2_violation" queryTableFieldId="79"/>
    <tableColumn id="80" xr3:uid="{8490A0C7-17E6-461F-BDE2-0E40E3857799}" uniqueName="80" name="MissMP1_w" queryTableFieldId="80"/>
    <tableColumn id="81" xr3:uid="{EB333B07-B190-477B-A844-2FE2F18A19A7}" uniqueName="81" name="LateMP1_w" queryTableFieldId="81"/>
    <tableColumn id="82" xr3:uid="{869AA43F-E729-48B8-81E2-1710BCD77AEB}" uniqueName="82" name="ShortMP1_w" queryTableFieldId="82"/>
    <tableColumn id="83" xr3:uid="{85AFB015-4D23-4838-BE37-4A34C393DE95}" uniqueName="83" name="MissMP2_w" queryTableFieldId="83"/>
    <tableColumn id="84" xr3:uid="{1AF702CC-7301-4031-B31E-FF318B7C58D1}" uniqueName="84" name="LateMP2_w" queryTableFieldId="84"/>
    <tableColumn id="85" xr3:uid="{C72322D5-1FC4-46D9-843D-E7DCB2BB1441}" uniqueName="85" name="ShortMP2_w" queryTableFieldId="85"/>
    <tableColumn id="86" xr3:uid="{7AC92C24-5C13-400E-B492-B1C7C4C123C9}" uniqueName="86" name="mp1_violation_w" queryTableFieldId="86"/>
    <tableColumn id="87" xr3:uid="{ED608990-A6C8-4A83-AE1E-A9B84197048F}" uniqueName="87" name="mp2_violation_w" queryTableFieldId="87"/>
    <tableColumn id="88" xr3:uid="{D68FB401-D5B7-44F7-9865-F1B31D5F035E}" uniqueName="88" name="pp_shift_hrs" queryTableFieldId="88" dataDxfId="349"/>
    <tableColumn id="89" xr3:uid="{116165A0-46BE-4787-8526-EE42DBD21FAC}" uniqueName="89" name="pp_Hours" queryTableFieldId="89" dataDxfId="348"/>
    <tableColumn id="90" xr3:uid="{5B62E985-09B4-4E92-9BBC-AE62B2A78CDE}" uniqueName="90" name="Base_Rate_Avg" queryTableFieldId="90" dataDxfId="347"/>
    <tableColumn id="91" xr3:uid="{6F2DB457-5C5D-48DB-B0AD-E8AAA1F752D6}" uniqueName="91" name="i.RROP" queryTableFieldId="91" dataDxfId="346"/>
    <tableColumn id="92" xr3:uid="{7C55728A-6F22-4B7F-AE4E-97D23C450003}" uniqueName="92" name="pp_ot" queryTableFieldId="92" dataDxfId="345"/>
    <tableColumn id="93" xr3:uid="{440C7BC3-35C6-4F94-8BD8-72D6D7EDF798}" uniqueName="93" name="pp_dt" queryTableFieldId="93" dataDxfId="344"/>
    <tableColumn id="94" xr3:uid="{FAF8C97B-6CD3-452D-A38E-03416C6DA56A}" uniqueName="94" name="pp_ca_ot_hrs" queryTableFieldId="94" dataDxfId="343"/>
    <tableColumn id="95" xr3:uid="{4921003C-1CA1-45BE-8CCE-A9AC04A59855}" uniqueName="95" name="pp_ca_dt_hrs" queryTableFieldId="95" dataDxfId="342"/>
    <tableColumn id="96" xr3:uid="{27C0CC7D-32AB-4684-BC39-8671090B1422}" uniqueName="96" name="pp_flsa_ot" queryTableFieldId="96" dataDxfId="341"/>
    <tableColumn id="97" xr3:uid="{E7D72509-4693-42A2-A128-152146440F6C}" uniqueName="97" name="pp_ot_wks" queryTableFieldId="97" dataDxfId="340"/>
    <tableColumn id="98" xr3:uid="{895D579F-C6CB-41B5-850F-B5086DEFB57F}" uniqueName="98" name="mpv_per_pp" queryTableFieldId="98"/>
    <tableColumn id="99" xr3:uid="{9EC02489-960B-4548-B49A-35052EA708CC}" uniqueName="99" name="mpv_per_pp_w" queryTableFieldId="99"/>
    <tableColumn id="100" xr3:uid="{723ADB95-9219-457C-8110-33D113CCB793}" uniqueName="100" name="rpv_per_pp" queryTableFieldId="100"/>
    <tableColumn id="101" xr3:uid="{22D9A47A-8ED6-436B-A8B5-AFA060619ED9}" uniqueName="101" name="mpv_shift_less_prems" queryTableFieldId="101"/>
    <tableColumn id="102" xr3:uid="{4A39F354-048C-4777-AFED-D29B8258B8F7}" uniqueName="102" name="mpv_shift_less_prems_w" queryTableFieldId="102"/>
    <tableColumn id="103" xr3:uid="{7484D0CA-80FE-41E9-81DF-4C4BFC4D8D0B}" uniqueName="103" name="rpv_shift_less_prems" queryTableFieldId="103"/>
    <tableColumn id="104" xr3:uid="{1140850A-9F33-4779-BF18-C3E46A6479E6}" uniqueName="104" name="mpv_per_pp_less_prems" queryTableFieldId="104"/>
    <tableColumn id="105" xr3:uid="{BD4EB3DB-8263-45BF-9D0C-A392B132A1A5}" uniqueName="105" name="mpv_per_pp_less_prems_w" queryTableFieldId="105"/>
    <tableColumn id="106" xr3:uid="{E8F0C57E-F2D8-4C45-8EEB-A22037E61D07}" uniqueName="106" name="rpv_per_pp_less_prems" queryTableFieldId="106"/>
    <tableColumn id="107" xr3:uid="{92E591D1-7131-49EE-BA60-D20F1769F48E}" uniqueName="107" name="mpv_ee" queryTableFieldId="107" dataDxfId="339"/>
    <tableColumn id="108" xr3:uid="{DFCB2A3F-357E-476B-8855-A65F18B8440A}" uniqueName="108" name="mpv_ee_w" queryTableFieldId="108" dataDxfId="338"/>
    <tableColumn id="109" xr3:uid="{314E10B5-47EB-4668-B073-979DC20B5E4D}" uniqueName="109" name="rpv_ee" queryTableFieldId="109" dataDxfId="337"/>
    <tableColumn id="110" xr3:uid="{3E88527E-323B-4EC2-99C1-65BB8CED33E4}" uniqueName="110" name="mpv_ee_less_prems" queryTableFieldId="110"/>
    <tableColumn id="111" xr3:uid="{ED81AD60-3AAF-42C7-A5CA-5584551A6279}" uniqueName="111" name="mpv_ee_less_prems_w" queryTableFieldId="111"/>
    <tableColumn id="112" xr3:uid="{B3C5B1A0-97B7-40F7-BA78-99FAD92494EA}" uniqueName="112" name="rpv_ee_less_prems" queryTableFieldId="112"/>
    <tableColumn id="113" xr3:uid="{5EDCEBA5-A119-4048-ADED-E47328D93798}" uniqueName="113" name="Shifts" queryTableFieldId="113" dataDxfId="336"/>
    <tableColumn id="114" xr3:uid="{CEA46B64-0825-4B08-B151-9E3C8BB3CC7F}" uniqueName="114" name="Shifts_per_workweek" queryTableFieldId="114"/>
    <tableColumn id="115" xr3:uid="{6E2C4321-17DA-4D1F-8E4C-A131FD6301FE}" uniqueName="115" name="Avg_Shift_Length" queryTableFieldId="115"/>
    <tableColumn id="116" xr3:uid="{AC36A53D-931A-4A88-B7B7-6A6740DA97B7}" uniqueName="116" name="Median_Shift_Length" queryTableFieldId="116"/>
    <tableColumn id="117" xr3:uid="{1A2345ED-8191-4030-AB99-53DA6793B307}" uniqueName="117" name="Shifts_gt_3_5" queryTableFieldId="117" dataDxfId="335"/>
    <tableColumn id="118" xr3:uid="{F3E7AD70-BDDF-42A1-B2CA-AFBCB981C8FE}" uniqueName="118" name="Shifts_gt_5" queryTableFieldId="118" dataDxfId="334"/>
    <tableColumn id="119" xr3:uid="{873F564D-5431-43EF-8785-AE22EC5879EC}" uniqueName="119" name="Shifts_gt_5_lte_6" queryTableFieldId="119" dataDxfId="333"/>
    <tableColumn id="120" xr3:uid="{DB386AE3-DD5D-43E1-ADB4-29C8B72290DE}" uniqueName="120" name="Shifts_gt_6" queryTableFieldId="120" dataDxfId="332"/>
    <tableColumn id="121" xr3:uid="{8357AD21-0888-401B-A722-5CF77411D2F3}" uniqueName="121" name="Shifts_e_8" queryTableFieldId="121" dataDxfId="331"/>
    <tableColumn id="122" xr3:uid="{9779D597-0495-4D72-B35E-9E12C9738BA7}" uniqueName="122" name="Shifts_gt_8" queryTableFieldId="122" dataDxfId="330"/>
    <tableColumn id="123" xr3:uid="{7207DB60-5319-49CB-B25F-616EA1373045}" uniqueName="123" name="Shifts_gt_10" queryTableFieldId="123" dataDxfId="329"/>
    <tableColumn id="124" xr3:uid="{1BC7F915-E196-45C8-B178-1EC3E444EA72}" uniqueName="124" name="Shifts_gt_10_lte_12" queryTableFieldId="124" dataDxfId="328"/>
    <tableColumn id="125" xr3:uid="{14668D72-7242-4289-AAAC-9B9F052C95A3}" uniqueName="125" name="Shifts_gt_12" queryTableFieldId="125" dataDxfId="327"/>
    <tableColumn id="126" xr3:uid="{5725DE90-7E73-41DF-9815-CB80BC933835}" uniqueName="126" name="Shifts_gt_14" queryTableFieldId="126" dataDxfId="326"/>
    <tableColumn id="127" xr3:uid="{6BC88CDE-9074-4DE9-AAB1-6003B77B9E70}" uniqueName="127" name="perc_shifts_gt_3_5" queryTableFieldId="127"/>
    <tableColumn id="128" xr3:uid="{2FEBDE85-1164-4FF7-8353-630DA9047424}" uniqueName="128" name="perc_shifts_gt_5" queryTableFieldId="128"/>
    <tableColumn id="129" xr3:uid="{C8B0C16A-21B4-452C-90E6-1215570AA0FD}" uniqueName="129" name="perc_shifts_gt_5_lte_6" queryTableFieldId="129"/>
    <tableColumn id="130" xr3:uid="{1B798A65-1903-4B46-8C78-DEC990C4D36D}" uniqueName="130" name="perc_shifts_gt_6" queryTableFieldId="130"/>
    <tableColumn id="131" xr3:uid="{F4D5226B-F1B0-4414-9D8F-9E04363F0B10}" uniqueName="131" name="perc_shifts_e_8" queryTableFieldId="131"/>
    <tableColumn id="132" xr3:uid="{B98F7E64-BBB5-4A3B-90E8-3F4A8129AFAC}" uniqueName="132" name="perc_shifts_gt_8" queryTableFieldId="132"/>
    <tableColumn id="133" xr3:uid="{403299D5-7EE8-46F7-BA45-56401E606D1E}" uniqueName="133" name="perc_shifts_gt_10" queryTableFieldId="133"/>
    <tableColumn id="134" xr3:uid="{59CE8ED0-977F-4A3E-9ED2-C5309AC3169B}" uniqueName="134" name="perc_shifts_gt_10_lte_12" queryTableFieldId="134"/>
    <tableColumn id="135" xr3:uid="{F2F34552-9C79-4132-8901-40F8D82CE256}" uniqueName="135" name="perc_shifts_gt_12" queryTableFieldId="135"/>
    <tableColumn id="136" xr3:uid="{3D125673-4C12-474C-B6F5-2A5E03656D61}" uniqueName="136" name="perc_shifts_gt_14" queryTableFieldId="136"/>
    <tableColumn id="137" xr3:uid="{73EA1157-3504-4496-A08A-315A71511AD8}" uniqueName="137" name="perc_mp" queryTableFieldId="137"/>
    <tableColumn id="138" xr3:uid="{DE023024-9843-402F-9C41-C5C428577360}" uniqueName="138" name="perc_mp_lt_thirty" queryTableFieldId="138"/>
    <tableColumn id="139" xr3:uid="{2F4DF260-E113-4F61-8A75-D320BE662C13}" uniqueName="139" name="perc_mp_thirty" queryTableFieldId="139"/>
    <tableColumn id="140" xr3:uid="{EEE804FE-C631-4F04-9DAD-4E0469E31E8A}" uniqueName="140" name="perc_mp_gt_thirty" queryTableFieldId="140"/>
    <tableColumn id="141" xr3:uid="{A18965BC-841C-457F-B9D0-9B76851DE8AF}" uniqueName="141" name="mpv_rate" queryTableFieldId="141"/>
    <tableColumn id="142" xr3:uid="{DAEEBC33-60A8-4687-BBBC-82B9484AA1F0}" uniqueName="142" name="mpv_rate_w" queryTableFieldId="142"/>
    <tableColumn id="143" xr3:uid="{B649275A-4C23-4C93-9A27-DC3FEA41FC1F}" uniqueName="143" name="mpv_rate_less_prems" queryTableFieldId="143"/>
    <tableColumn id="144" xr3:uid="{875B8E1C-31D1-42E7-AA86-31B3B5C23301}" uniqueName="144" name="mpv_rate_less_prems_w" queryTableFieldId="144"/>
    <tableColumn id="145" xr3:uid="{73B7F8D4-C65A-4E66-BC7B-ED3E088770DA}" uniqueName="145" name="mpv_ee_rate_less_prems" queryTableFieldId="145"/>
    <tableColumn id="146" xr3:uid="{B235B7D8-1A50-4259-BDBA-2D73F4A0DB73}" uniqueName="146" name="mpv_ee_rate_less_prems_w" queryTableFieldId="146"/>
    <tableColumn id="147" xr3:uid="{6C93D114-F27D-4C8B-ADCE-1DBE9A4867EF}" uniqueName="147" name="rpv_rate" queryTableFieldId="147"/>
    <tableColumn id="148" xr3:uid="{C94FB5FC-7B71-48DF-B65C-7F555B171F4D}" uniqueName="148" name="rpv_rate_less_prems" queryTableFieldId="148"/>
    <tableColumn id="149" xr3:uid="{E493B7C2-1225-44E5-BA4E-347E1B902C05}" uniqueName="149" name="rpv_ee_rate_less_prems" queryTableFieldId="149"/>
    <tableColumn id="150" xr3:uid="{F7350505-2444-4109-AA22-80A63F938F33}" uniqueName="150" name="shift_row_id" queryTableFieldId="150" dataDxfId="325"/>
    <tableColumn id="151" xr3:uid="{CBB4C85C-FF27-429A-B024-88BA63486810}" uniqueName="151" name="has_shift" queryTableFieldId="151" dataDxfId="324"/>
    <tableColumn id="152" xr3:uid="{4EB1CB38-B928-45EA-A429-F84F7F31D5B4}" uniqueName="152" name="has_pay" queryTableFieldId="152" dataDxfId="323"/>
    <tableColumn id="153" xr3:uid="{E539AD73-5096-4DAE-9312-A9914DE7B597}" uniqueName="153" name="ee_flag" queryTableFieldId="153" dataDxfId="322"/>
    <tableColumn id="154" xr3:uid="{8EF158B9-E4FB-4178-9A3C-CAE758D3B8C9}" uniqueName="154" name="RROP_ee" queryTableFieldId="154" dataDxfId="321"/>
    <tableColumn id="155" xr3:uid="{AE62FD35-AF3D-434E-A090-AE819D45AE52}" uniqueName="155" name="mp_dmgs" queryTableFieldId="155"/>
    <tableColumn id="156" xr3:uid="{E64F7DD9-6768-4DB2-9E6F-4F23EC803C36}" uniqueName="156" name="mp_dmgs_w" queryTableFieldId="156"/>
    <tableColumn id="157" xr3:uid="{8720864B-533F-43BD-86B0-3BA9E308884F}" uniqueName="157" name="mp_dmgs_less_prems" queryTableFieldId="157"/>
    <tableColumn id="158" xr3:uid="{E8F4DF30-A832-4B12-A6D6-A82E30DAA3DB}" uniqueName="158" name="mp_dmgs_less_prems_w" queryTableFieldId="158"/>
    <tableColumn id="159" xr3:uid="{AFD1C6E0-0F8A-4B8F-8679-8454A9EA96D9}" uniqueName="159" name="rp_dmgs" queryTableFieldId="159"/>
    <tableColumn id="160" xr3:uid="{B457BF74-7CF4-457D-8030-F082ADCA6846}" uniqueName="160" name="rp_dmgs_less_prems" queryTableFieldId="160"/>
    <tableColumn id="161" xr3:uid="{395953E6-D5E3-43D9-81F4-E4B4C5DF3B16}" uniqueName="161" name="otc_dmgs" queryTableFieldId="161"/>
    <tableColumn id="162" xr3:uid="{5477B71C-1BB7-4320-B0A6-04307BFAEABB}" uniqueName="162" name="unreimb_exp_dmgs" queryTableFieldId="162"/>
    <tableColumn id="163" xr3:uid="{45BCC50D-7AC3-4C2A-97CA-59A76A516660}" uniqueName="163" name="clock_rounding_dmgs" queryTableFieldId="163"/>
    <tableColumn id="164" xr3:uid="{FC386334-CE3D-4C4C-AFAC-ED87AF224EAE}" uniqueName="164" name="min_wage_dmgs" queryTableFieldId="164"/>
    <tableColumn id="165" xr3:uid="{AAF3E9C5-21F9-4E6D-9252-B87A6F9E3E89}" uniqueName="165" name="unpaid_ot_hrs" queryTableFieldId="165" dataDxfId="320"/>
    <tableColumn id="166" xr3:uid="{930862A3-373A-461A-BF65-D5665F7D554F}" uniqueName="166" name="unpaid_dt_hrs" queryTableFieldId="166" dataDxfId="319"/>
    <tableColumn id="167" xr3:uid="{30A64725-BF12-4A41-8828-DB7071C906D4}" uniqueName="167" name="unpaid_hrs_total" queryTableFieldId="167" dataDxfId="318"/>
    <tableColumn id="168" xr3:uid="{55B21529-E85F-4A75-8AAB-A0C71C9AFD8E}" uniqueName="168" name="unpaid_ot_dmgs_raw" queryTableFieldId="168" dataDxfId="317"/>
    <tableColumn id="169" xr3:uid="{32CCDB8B-D315-4525-949D-A9A130BABA44}" uniqueName="169" name="unpaid_ot_dmgs" queryTableFieldId="169"/>
    <tableColumn id="170" xr3:uid="{F60E536D-28C5-49D7-97EC-54A5C140E010}" uniqueName="170" name="mp_ee_dmgs_less_prems" queryTableFieldId="170"/>
    <tableColumn id="171" xr3:uid="{EAE5F3DF-50D7-432D-AC70-420AE3C4F4D2}" uniqueName="171" name="mp_ee_dmgs_less_prems_w" queryTableFieldId="171"/>
    <tableColumn id="172" xr3:uid="{E99D9D0C-E257-49A2-A3B9-861DC4FE06FC}" uniqueName="172" name="rp_ee_dmgs_less_prems" queryTableFieldId="172"/>
    <tableColumn id="173" xr3:uid="{3C867472-F1A2-4426-8C8C-33FF7980D855}" uniqueName="173" name="tot_principal_dmgs" queryTableFieldId="173"/>
    <tableColumn id="174" xr3:uid="{46CAFDFB-78E3-4881-9893-9DD171DBAFD1}" uniqueName="174" name="tot_principal_dmgs_less_prems" queryTableFieldId="174"/>
    <tableColumn id="175" xr3:uid="{4F47EDA1-EBE5-4894-B0CC-93C84AFADA95}" uniqueName="175" name="tot_principal_dmgs_w" queryTableFieldId="175"/>
    <tableColumn id="176" xr3:uid="{9C497844-EB1B-4F9C-8117-F5D9141FCE22}" uniqueName="176" name="tot_principal_dmgs_less_prems_w" queryTableFieldId="176"/>
    <tableColumn id="177" xr3:uid="{5793A077-F78B-4620-9154-0C71B3E5B6AE}" uniqueName="177" name="Credit_Amount" queryTableFieldId="177"/>
    <tableColumn id="178" xr3:uid="{7259A855-780D-48C1-B60C-C423D7C2EAB9}" uniqueName="178" name="tot_principal_dmgs_less_credits" queryTableFieldId="178"/>
    <tableColumn id="179" xr3:uid="{CAA7CD09-6C5E-45CC-A73F-60A2485C18D8}" uniqueName="179" name="tot_principal_dmgs_less_prems_and_credits" queryTableFieldId="179"/>
    <tableColumn id="180" xr3:uid="{401305C0-35B0-4504-A2BF-CB718B2EEC67}" uniqueName="180" name="tot_principal_dmgs_less_credits_w" queryTableFieldId="180"/>
    <tableColumn id="181" xr3:uid="{83644A57-1481-4811-8616-24ECDCB40E89}" uniqueName="181" name="tot_principal_dmgs_less_prems_and_credits_w" queryTableFieldId="181"/>
    <tableColumn id="182" xr3:uid="{9ABE44D8-1BD5-48B2-B947-F2D06C2A7298}" uniqueName="182" name="interest_months" queryTableFieldId="182" dataDxfId="316"/>
    <tableColumn id="183" xr3:uid="{AECD5D1E-62C9-4356-B866-67BD65151AC4}" uniqueName="183" name="interest" queryTableFieldId="183"/>
    <tableColumn id="184" xr3:uid="{54A01921-44E2-4CA1-B1DE-7141C7DA9597}" uniqueName="184" name="interest_less_prems" queryTableFieldId="184"/>
    <tableColumn id="185" xr3:uid="{92C41EA0-FC98-494B-AB67-61BA6DB37359}" uniqueName="185" name="interest_w" queryTableFieldId="185"/>
    <tableColumn id="186" xr3:uid="{A0C5A2C0-F00A-41B0-8B4D-C5B6069782AA}" uniqueName="186" name="interest_less_prems_w" queryTableFieldId="186"/>
    <tableColumn id="187" xr3:uid="{D2CF5330-E2D2-427D-BE68-3508862C889C}" uniqueName="187" name="interest_less_credits" queryTableFieldId="187"/>
    <tableColumn id="188" xr3:uid="{57F00FF4-96E1-4B7A-83BB-98460B6B4079}" uniqueName="188" name="interest_less_prems_and_credits" queryTableFieldId="188"/>
    <tableColumn id="189" xr3:uid="{CA74732A-1787-4213-9DEB-0CE794627928}" uniqueName="189" name="interest_less_credits_w" queryTableFieldId="189"/>
    <tableColumn id="190" xr3:uid="{5387E8B8-A1F9-4E5C-AB11-8B2931956005}" uniqueName="190" name="interest_less_prems_and_credits_w" queryTableFieldId="190"/>
    <tableColumn id="191" xr3:uid="{C94E42DF-AD32-4F88-B838-210A239704BD}" uniqueName="191" name="tot_dmgs" queryTableFieldId="191"/>
    <tableColumn id="192" xr3:uid="{A921F9A9-78A2-4858-BFE0-91B99527EC50}" uniqueName="192" name="tot_dmgs_less_prems" queryTableFieldId="192"/>
    <tableColumn id="193" xr3:uid="{EB908931-AAE9-47E8-9FC7-66C6A867B576}" uniqueName="193" name="tot_dmgs_w" queryTableFieldId="193"/>
    <tableColumn id="194" xr3:uid="{F907CD69-D77E-431B-8FEC-570A7B0D14C6}" uniqueName="194" name="tot_dmgs_less_prems_w" queryTableFieldId="194"/>
    <tableColumn id="195" xr3:uid="{9D93A7A6-4B9F-4DD5-84AD-40F1AA301790}" uniqueName="195" name="tot_dmgs_less_credits" queryTableFieldId="195"/>
    <tableColumn id="196" xr3:uid="{7A412B66-5E44-4B69-801B-C252B9E05D45}" uniqueName="196" name="tot_dmgs_less_prems_and_credits" queryTableFieldId="196"/>
    <tableColumn id="197" xr3:uid="{729237FE-1283-4350-B408-5DEE974505B4}" uniqueName="197" name="tot_dmgs_less_credits_w" queryTableFieldId="197"/>
    <tableColumn id="198" xr3:uid="{94C863E4-B5B3-4F54-B8C1-48C6524FDCDE}" uniqueName="198" name="tot_dmgs_less_prems_and_credits_w" queryTableFieldId="198"/>
    <tableColumn id="199" xr3:uid="{7A8540E0-770F-42C7-8102-F9217D2A603D}" uniqueName="199" name="has_dmgs" queryTableFieldId="199"/>
    <tableColumn id="200" xr3:uid="{A32EF476-2028-437D-AD36-CCED48BABB9B}" uniqueName="200" name="has_dmgs_less_prems" queryTableFieldId="200"/>
    <tableColumn id="201" xr3:uid="{DA9DEF81-C7DF-4386-926B-22C57BDF41A3}" uniqueName="201" name="has_dmgs_w" queryTableFieldId="201"/>
    <tableColumn id="202" xr3:uid="{4ABEA9EC-4974-4D2C-81EE-DAAA8A7818B0}" uniqueName="202" name="has_dmgs_less_prems_w" queryTableFieldId="202"/>
    <tableColumn id="203" xr3:uid="{8C5E70D9-12E8-41B3-85E6-8B715B761B04}" uniqueName="203" name="has_dmgs_less_credits" queryTableFieldId="203"/>
    <tableColumn id="204" xr3:uid="{8A6B121A-F9B4-45E8-93E3-3FAE09079E15}" uniqueName="204" name="has_dmgs_less_prems_and_credits" queryTableFieldId="204"/>
    <tableColumn id="205" xr3:uid="{03B3AFEC-7F7F-49D3-87BD-63D20A5DFDE8}" uniqueName="205" name="has_dmgs_less_credits_w" queryTableFieldId="205"/>
    <tableColumn id="206" xr3:uid="{EF99E854-0AD8-42AD-87C2-821105B1ACC0}" uniqueName="206" name="has_dmgs_less_prems_and_credits_w" queryTableFieldId="206"/>
    <tableColumn id="207" xr3:uid="{4754B29E-699A-4C29-B6AF-BF8F9A36845A}" uniqueName="207" name="pp_count" queryTableFieldId="207" dataDxfId="315"/>
    <tableColumn id="208" xr3:uid="{32AC6C3C-F8DC-43DA-819D-59383AA97266}" uniqueName="208" name="wsv_pp_count" queryTableFieldId="208" dataDxfId="314"/>
    <tableColumn id="209" xr3:uid="{2B8A614D-9056-449A-805E-4FF97F5A9F80}" uniqueName="209" name="wsv_penalty_flag" queryTableFieldId="209" dataDxfId="313"/>
    <tableColumn id="210" xr3:uid="{D5F44384-7CD6-4834-BE40-ED3BCDCC5307}" uniqueName="210" name="wsv_flag_count" queryTableFieldId="210"/>
    <tableColumn id="211" xr3:uid="{49F50844-F40F-49DC-8C00-12FC34458F09}" uniqueName="211" name="wsv_penalty" queryTableFieldId="211"/>
    <tableColumn id="212" xr3:uid="{A97343AE-129D-40BE-B945-530B7BBBDF91}" uniqueName="212" name="wsv_penalty_flag_less_prems" queryTableFieldId="212" dataDxfId="312"/>
    <tableColumn id="213" xr3:uid="{05CC02BA-91D8-4ED3-8022-E3641EFB5424}" uniqueName="213" name="wsv_flag_count_less_prems" queryTableFieldId="213" dataDxfId="311"/>
    <tableColumn id="214" xr3:uid="{6018C8C0-6D6C-4661-A733-D3C0628F8249}" uniqueName="214" name="wsv_penalty_less_prems" queryTableFieldId="214" dataDxfId="310"/>
    <tableColumn id="215" xr3:uid="{E5B00922-AAF4-4601-94AA-9EC0435B752F}" uniqueName="215" name="wsv_penalty_flag_w" queryTableFieldId="215" dataDxfId="309"/>
    <tableColumn id="216" xr3:uid="{89C26A55-BFD8-451C-BBD3-FF2CA2CE0B0F}" uniqueName="216" name="wsv_flag_count_w" queryTableFieldId="216"/>
    <tableColumn id="217" xr3:uid="{BEB62D50-5970-45BF-B4A0-266FA11F24A5}" uniqueName="217" name="wsv_penalty_w" queryTableFieldId="217"/>
    <tableColumn id="218" xr3:uid="{6FDA9270-FC51-49A0-9C91-181A10E37DA3}" uniqueName="218" name="wsv_penalty_flag_less_prems_w" queryTableFieldId="218" dataDxfId="308"/>
    <tableColumn id="219" xr3:uid="{80280D1C-A1D2-4110-8B06-9599C4AA9BB0}" uniqueName="219" name="wsv_flag_count_less_prems_w" queryTableFieldId="219" dataDxfId="307"/>
    <tableColumn id="220" xr3:uid="{B4F663D8-8EE8-42E8-82C4-77BBA9619A87}" uniqueName="220" name="wsv_penalty_less_prems_w" queryTableFieldId="220" dataDxfId="306"/>
    <tableColumn id="221" xr3:uid="{00DF913E-621A-4715-B6C2-13441AE368D1}" uniqueName="221" name="wsv_penalty_flag_less_credits" queryTableFieldId="221" dataDxfId="305"/>
    <tableColumn id="222" xr3:uid="{4F768AA7-9F1C-476B-98D0-F97730456353}" uniqueName="222" name="wsv_flag_count_less_credits" queryTableFieldId="222" dataDxfId="304"/>
    <tableColumn id="223" xr3:uid="{B077DA38-4EFD-42DD-9E27-DECAE87A80F0}" uniqueName="223" name="wsv_penalty_less_credits" queryTableFieldId="223" dataDxfId="303"/>
    <tableColumn id="224" xr3:uid="{0BB6D5E7-8F0C-4A0E-9B87-19984B5F08EC}" uniqueName="224" name="wsv_penalty_flag_less_prems_and_credits" queryTableFieldId="224" dataDxfId="302"/>
    <tableColumn id="225" xr3:uid="{5083ACCD-B6BB-4AD8-A807-8EB8DC630136}" uniqueName="225" name="wsv_flag_count_less_prems_and_credits" queryTableFieldId="225" dataDxfId="301"/>
    <tableColumn id="226" xr3:uid="{A8367725-365D-448A-B65F-95E2C3798ADE}" uniqueName="226" name="wsv_penalty_less_prems_and_credits" queryTableFieldId="226" dataDxfId="300"/>
    <tableColumn id="227" xr3:uid="{7A187F45-FD72-4E12-8C9E-00B9BFD5F002}" uniqueName="227" name="wsv_penalty_flag_less_credits_w" queryTableFieldId="227" dataDxfId="299"/>
    <tableColumn id="228" xr3:uid="{20F30000-983C-488F-8D2A-CB10F78A23B1}" uniqueName="228" name="wsv_flag_count_less_credits_w" queryTableFieldId="228" dataDxfId="298"/>
    <tableColumn id="229" xr3:uid="{E5DBC601-C60F-4E08-B158-5780BD3C24B5}" uniqueName="229" name="wsv_penalty_less_credits_w" queryTableFieldId="229" dataDxfId="297"/>
    <tableColumn id="230" xr3:uid="{3F220C55-33AF-4194-A882-3A1384F6BCD1}" uniqueName="230" name="wsv_penalty_flag_less_prems_and_credits_w" queryTableFieldId="230" dataDxfId="296"/>
    <tableColumn id="231" xr3:uid="{1CC53041-46F7-4917-B3CF-63838B8BB6C1}" uniqueName="231" name="wsv_flag_count_less_prems_and_credits_w" queryTableFieldId="231" dataDxfId="295"/>
    <tableColumn id="232" xr3:uid="{BB2BE45C-0C08-4C93-90E3-7D85BCEF5F63}" uniqueName="232" name="wsv_penalty_less_prems_and_credits_w" queryTableFieldId="232" dataDxfId="294"/>
    <tableColumn id="233" xr3:uid="{381EBA98-1BF8-4D9D-85E6-CFA6318C9FFE}" uniqueName="233" name="active" queryTableFieldId="233"/>
    <tableColumn id="234" xr3:uid="{9DB97A61-367E-49A0-B7C0-AA086DEF29FF}" uniqueName="234" name="final_Base_Rate" queryTableFieldId="234"/>
    <tableColumn id="235" xr3:uid="{41F47B24-05BC-4F60-82BF-E2F178623910}" uniqueName="235" name="final_RROP" queryTableFieldId="235"/>
    <tableColumn id="236" xr3:uid="{D61A44E6-EB17-4C4B-B05B-4F8442F59339}" uniqueName="236" name="wt_rate" queryTableFieldId="236" dataDxfId="293"/>
    <tableColumn id="237" xr3:uid="{0EEDD35D-DF0B-48A9-B1C5-F11A3FB4494E}" uniqueName="237" name="has_wt_period" queryTableFieldId="237"/>
    <tableColumn id="238" xr3:uid="{5C7C9651-503A-4E0F-8E9C-BCC46C3992BE}" uniqueName="238" name="wt_penalty" queryTableFieldId="238"/>
    <tableColumn id="239" xr3:uid="{4ACED888-ED48-4908-AB82-D3B8C5CCFFE9}" uniqueName="239" name="wt_penalty_less_prems" queryTableFieldId="239" dataDxfId="292"/>
    <tableColumn id="240" xr3:uid="{A2B19D4E-F61B-446D-A4E7-3F346CBA244E}" uniqueName="240" name="wt_penalty_w" queryTableFieldId="240"/>
    <tableColumn id="241" xr3:uid="{B4F5096C-C68F-48EF-B50F-B627EAFB2D5E}" uniqueName="241" name="wt_penalty_less_prems_w" queryTableFieldId="241" dataDxfId="291"/>
    <tableColumn id="242" xr3:uid="{F3EDFA51-32D4-4B16-8F10-A4962D31C23C}" uniqueName="242" name="wt_penalty_less_credits" queryTableFieldId="242" dataDxfId="290"/>
    <tableColumn id="243" xr3:uid="{4AD71529-07AA-4DDB-B744-D90AD3040543}" uniqueName="243" name="wt_penalty_less_prems_and_credits" queryTableFieldId="243" dataDxfId="289"/>
    <tableColumn id="244" xr3:uid="{F9181020-A44C-431D-9CEF-D1287446828C}" uniqueName="244" name="wt_penalty_less_credits_w" queryTableFieldId="244" dataDxfId="288"/>
    <tableColumn id="245" xr3:uid="{BB7D1DF2-F705-4A9B-BA1D-6BB66D7E1197}" uniqueName="245" name="wt_penalty_less_prems_and_credits_w" queryTableFieldId="245" dataDxfId="287"/>
    <tableColumn id="246" xr3:uid="{BBF8DFE0-72FB-43E6-81B0-18E861C7598F}" uniqueName="246" name="tot_dmgs_w_penalties" queryTableFieldId="246"/>
    <tableColumn id="247" xr3:uid="{AF129535-FE4E-4E7E-8165-925A9331A675}" uniqueName="247" name="tot_dmgs_w_penalties_less_prems" queryTableFieldId="247"/>
    <tableColumn id="248" xr3:uid="{F7B1CD6B-10DB-4015-A814-1A66CB3F65F5}" uniqueName="248" name="tot_dmgs_w_penalties_w" queryTableFieldId="248"/>
    <tableColumn id="249" xr3:uid="{03CC0F2E-17BF-4B6C-8A5D-A4187BBD17CE}" uniqueName="249" name="tot_dmgs_w_penalties_less_prems_w" queryTableFieldId="249"/>
    <tableColumn id="250" xr3:uid="{67492E83-6074-4289-957B-AA30E19441EA}" uniqueName="250" name="tot_dmgs_w_penalties_less_credits" queryTableFieldId="250"/>
    <tableColumn id="251" xr3:uid="{2CCB1048-E8B2-40FB-8F74-772028FE90C7}" uniqueName="251" name="tot_dmgs_w_penalties_less_prems_and_credits" queryTableFieldId="251"/>
    <tableColumn id="252" xr3:uid="{1CD16699-B17B-45BF-8876-C35FE37A783F}" uniqueName="252" name="tot_dmgs_w_penalties_less_credits_w" queryTableFieldId="252"/>
    <tableColumn id="253" xr3:uid="{3F59CA83-CAD1-4BFE-8B22-F8ED26280CBD}" uniqueName="253" name="tot_dmgs_w_penalties_less_prems_and_credits_w" queryTableFieldId="253"/>
    <tableColumn id="254" xr3:uid="{3594696C-B525-44C5-8740-33EFE69606D3}" uniqueName="254" name="paga_ee_flag" queryTableFieldId="254" dataDxfId="286"/>
    <tableColumn id="255" xr3:uid="{513FA05D-4232-4BD1-A69B-C2360CB88805}" uniqueName="255" name="in_PAGA_period" queryTableFieldId="255"/>
    <tableColumn id="256" xr3:uid="{0AD1A7DC-E1A3-4D52-8C0B-5CB753049252}" uniqueName="256" name="PAGA_meal_flag" queryTableFieldId="256"/>
    <tableColumn id="257" xr3:uid="{DAE59A7A-0075-4AA9-BAE1-A279B40CF03D}" uniqueName="257" name="PAGA_meal_flag_count" queryTableFieldId="257"/>
    <tableColumn id="258" xr3:uid="{B399EE99-0B16-423C-8B91-37088C2D56AF}" uniqueName="258" name="PAGA_meal_penalties" queryTableFieldId="258"/>
    <tableColumn id="259" xr3:uid="{28580ED4-D08C-4182-A6B4-142AC77B9C18}" uniqueName="259" name="PAGA_rest_flag" queryTableFieldId="259"/>
    <tableColumn id="260" xr3:uid="{9A083A9B-226C-4172-BCEA-25CC711A4C84}" uniqueName="260" name="PAGA_rest_flag_count" queryTableFieldId="260"/>
    <tableColumn id="261" xr3:uid="{07CB4682-1CA6-47F7-B786-C820558AA011}" uniqueName="261" name="PAGA_rest_penalties" queryTableFieldId="261"/>
    <tableColumn id="262" xr3:uid="{014EADF5-9ADF-439A-AE8A-B3BBAA47C16F}" uniqueName="262" name="PAGA_rrop_flag" queryTableFieldId="262"/>
    <tableColumn id="263" xr3:uid="{5B8DE7CF-109C-43BC-B3A7-83A6D06C9CC3}" uniqueName="263" name="PAGA_rrop_flag_count" queryTableFieldId="263"/>
    <tableColumn id="264" xr3:uid="{1B5D6E32-16A3-4F82-835C-2051B31161E0}" uniqueName="264" name="PAGA_rrop_penalties" queryTableFieldId="264"/>
    <tableColumn id="265" xr3:uid="{B25278E8-F403-4131-BC1E-95CC5576F0FC}" uniqueName="265" name="PAGA_226_flag" queryTableFieldId="265"/>
    <tableColumn id="266" xr3:uid="{6A79F815-6F37-41A3-9924-81ADD137DB36}" uniqueName="266" name="PAGA_226_flag_count" queryTableFieldId="266"/>
    <tableColumn id="267" xr3:uid="{44545311-9111-4199-9E9C-CBCCA52886BE}" uniqueName="267" name="PAGA_226_penalties" queryTableFieldId="267"/>
    <tableColumn id="268" xr3:uid="{74120CE1-B3DE-4CA1-9ECE-6E56130ED543}" uniqueName="268" name="PAGA_558_flag" queryTableFieldId="268"/>
    <tableColumn id="269" xr3:uid="{58AE9C0B-AB06-44B1-9263-20FD13FB2D28}" uniqueName="269" name="PAGA_558_flag_count" queryTableFieldId="269"/>
    <tableColumn id="270" xr3:uid="{B158F936-9B18-4C89-A0B0-DD2BA4B7F419}" uniqueName="270" name="PAGA_558_penalties" queryTableFieldId="270"/>
    <tableColumn id="271" xr3:uid="{5220D534-3E6F-4119-A9A7-9A132AC80A13}" uniqueName="271" name="PAGA_1197_1_flag" queryTableFieldId="271"/>
    <tableColumn id="272" xr3:uid="{7B6CC9D9-39BD-4B30-9249-592ECC741E63}" uniqueName="272" name="PAGA_1197_1_flag_count" queryTableFieldId="272"/>
    <tableColumn id="273" xr3:uid="{5276893A-C680-463D-B3C4-DF815449F32B}" uniqueName="273" name="PAGA_1197_1_penalties" queryTableFieldId="273"/>
    <tableColumn id="274" xr3:uid="{A54CF91A-096F-4FE4-BFA4-B0BF8CC9BEFD}" uniqueName="274" name="PAGA_1174_flag" queryTableFieldId="274" dataDxfId="285"/>
    <tableColumn id="275" xr3:uid="{46996D25-1DCB-40BE-8A75-4F3C43C17D05}" uniqueName="275" name="PAGA_1174_penalties" queryTableFieldId="275"/>
    <tableColumn id="276" xr3:uid="{AF1E8572-10FE-4CCF-B82C-C030F3E59B07}" uniqueName="276" name="PAGA_2802_flag" queryTableFieldId="276"/>
    <tableColumn id="277" xr3:uid="{E0AC5CF7-CAB2-4D39-A245-868A96B864A6}" uniqueName="277" name="PAGA_2802_flag_count" queryTableFieldId="277"/>
    <tableColumn id="278" xr3:uid="{D1880185-A9D0-4AA3-A8F8-83942B9FFC1C}" uniqueName="278" name="PAGA_2802_penalties" queryTableFieldId="278"/>
    <tableColumn id="279" xr3:uid="{AA8FFAA7-D522-49EA-84D6-4630D4D315E4}" uniqueName="279" name="PAGA_203_flag" queryTableFieldId="279" dataDxfId="284"/>
    <tableColumn id="280" xr3:uid="{DC5BCDE7-BADA-4A52-A889-D257ABF2D1F3}" uniqueName="280" name="PAGA_203_penalties" queryTableFieldId="280"/>
    <tableColumn id="281" xr3:uid="{4386494E-130C-42BF-B539-C9CD8B782E62}" uniqueName="281" name="has_paga_penalties" queryTableFieldId="281" dataDxfId="283"/>
    <tableColumn id="282" xr3:uid="{D2928D5D-FEAC-44EA-ABE7-4753CC0ECF8F}" uniqueName="282" name="PAGA_tot" queryTableFieldId="282"/>
    <tableColumn id="283" xr3:uid="{D524F056-2557-4C02-A701-6D0E21010CD9}" uniqueName="283" name="PAGA_meal_flag_w" queryTableFieldId="283"/>
    <tableColumn id="284" xr3:uid="{4118A9B6-8C97-47CB-9631-3E344B6D4263}" uniqueName="284" name="PAGA_meal_flag_count_w" queryTableFieldId="284"/>
    <tableColumn id="285" xr3:uid="{58169280-F521-4628-A686-E45BA754CCFD}" uniqueName="285" name="PAGA_meal_penalties_w" queryTableFieldId="285"/>
    <tableColumn id="286" xr3:uid="{426E8427-8120-40EB-BBE7-01C00B2AD67B}" uniqueName="286" name="PAGA_rest_flag_w" queryTableFieldId="286" dataDxfId="282"/>
    <tableColumn id="287" xr3:uid="{4DA1E787-B291-434E-90BF-ECA7BF2829D1}" uniqueName="287" name="PAGA_rest_flag_count_w" queryTableFieldId="287" dataDxfId="281"/>
    <tableColumn id="288" xr3:uid="{1F4BD1A7-EC15-44E7-A48F-BD0CC114B3F2}" uniqueName="288" name="PAGA_rest_penalties_w" queryTableFieldId="288" dataDxfId="280"/>
    <tableColumn id="289" xr3:uid="{B823FA7C-6161-4658-916B-791587A16F5E}" uniqueName="289" name="PAGA_rrop_flag_w" queryTableFieldId="289" dataDxfId="279"/>
    <tableColumn id="290" xr3:uid="{8457529D-2B82-45B3-90BB-238ADD64E521}" uniqueName="290" name="PAGA_rrop_flag_count_w" queryTableFieldId="290" dataDxfId="278"/>
    <tableColumn id="291" xr3:uid="{B3787384-1B70-4674-A553-749EA0EC92C5}" uniqueName="291" name="PAGA_rrop_penalties_w" queryTableFieldId="291" dataDxfId="277"/>
    <tableColumn id="292" xr3:uid="{7A96CF26-D998-464F-AB6B-FACCECCDB2EE}" uniqueName="292" name="PAGA_226_flag_w" queryTableFieldId="292"/>
    <tableColumn id="293" xr3:uid="{ECE9F508-C6D0-4FA5-98A8-FE6B374F7F19}" uniqueName="293" name="PAGA_226_flag_count_w" queryTableFieldId="293"/>
    <tableColumn id="294" xr3:uid="{C3D3D00F-6E04-41DD-B6F1-FEDCDD6D5EF3}" uniqueName="294" name="PAGA_226_penalties_w" queryTableFieldId="294"/>
    <tableColumn id="295" xr3:uid="{DD81B494-2F8A-409A-B186-57D7B6C82741}" uniqueName="295" name="PAGA_558_flag_w" queryTableFieldId="295"/>
    <tableColumn id="296" xr3:uid="{B3670F91-3990-414F-AA31-91131F876FA4}" uniqueName="296" name="PAGA_558_flag_count_w" queryTableFieldId="296"/>
    <tableColumn id="297" xr3:uid="{AE20ABC2-90F5-48F1-8605-BCD040FDC44D}" uniqueName="297" name="PAGA_558_penalties_w" queryTableFieldId="297"/>
    <tableColumn id="298" xr3:uid="{3C62C26B-2195-4D3D-8BBB-B59908DE5083}" uniqueName="298" name="PAGA_1197_1_flag_w" queryTableFieldId="298" dataDxfId="276"/>
    <tableColumn id="299" xr3:uid="{536D6E83-A250-456F-8F10-A4F31A6886A3}" uniqueName="299" name="PAGA_1197_1_flag_count_w" queryTableFieldId="299" dataDxfId="275"/>
    <tableColumn id="300" xr3:uid="{8FE47235-E173-4191-B257-ED88DF7F19CE}" uniqueName="300" name="PAGA_1197_1_penalties_w" queryTableFieldId="300" dataDxfId="274"/>
    <tableColumn id="301" xr3:uid="{4681F7AC-A436-47C8-AF30-43C643F2AF36}" uniqueName="301" name="PAGA_1174_flag_w" queryTableFieldId="301" dataDxfId="273"/>
    <tableColumn id="302" xr3:uid="{7BACFA1A-2AA2-459C-8D93-66E04B31B72A}" uniqueName="302" name="PAGA_1174_penalties_w" queryTableFieldId="302" dataDxfId="272"/>
    <tableColumn id="303" xr3:uid="{45C485D0-9300-4984-9123-A58D9A9E6BDA}" uniqueName="303" name="PAGA_2802_flag_w" queryTableFieldId="303" dataDxfId="271"/>
    <tableColumn id="304" xr3:uid="{A79AB06B-4B61-4460-9DD5-E24F79371FCA}" uniqueName="304" name="PAGA_2802_flag_count_w" queryTableFieldId="304" dataDxfId="270"/>
    <tableColumn id="305" xr3:uid="{0D23C209-B4E9-415C-8070-507C01DC15A1}" uniqueName="305" name="PAGA_2802_penalties_w" queryTableFieldId="305" dataDxfId="269"/>
    <tableColumn id="306" xr3:uid="{A5C62226-B5A1-4D49-8A21-1B47D290AFAA}" uniqueName="306" name="PAGA_203_flag_w" queryTableFieldId="306" dataDxfId="268"/>
    <tableColumn id="307" xr3:uid="{29AB0D5D-6C31-44E6-978B-F70DFE355A05}" uniqueName="307" name="PAGA_203_penalties_w" queryTableFieldId="307" dataDxfId="267"/>
    <tableColumn id="308" xr3:uid="{9BFDC68A-134F-4D92-B22B-40E5CE2C3134}" uniqueName="308" name="PAGA_tot_w" queryTableFieldId="308"/>
    <tableColumn id="309" xr3:uid="{BF77AC5C-986E-45B9-8931-64050AB27939}" uniqueName="309" name="PAGA_meal_flag_less_prems" queryTableFieldId="309"/>
    <tableColumn id="310" xr3:uid="{8F93AEF1-5E6A-445E-BA7E-A0200B44641C}" uniqueName="310" name="PAGA_meal_flag_count_less_prems" queryTableFieldId="310"/>
    <tableColumn id="311" xr3:uid="{7DF51BE5-87BB-4EEF-9A18-A52CFAF61972}" uniqueName="311" name="PAGA_meal_penalties_less_prems" queryTableFieldId="311"/>
    <tableColumn id="312" xr3:uid="{4690442E-8808-4E69-8A63-49FB407440B2}" uniqueName="312" name="PAGA_rest_flag_less_prems" queryTableFieldId="312"/>
    <tableColumn id="313" xr3:uid="{12D12BC8-E7A7-4E25-A5F6-AABDC070F12C}" uniqueName="313" name="PAGA_rest_flag_count_less_prems" queryTableFieldId="313"/>
    <tableColumn id="314" xr3:uid="{92717AD0-0830-4215-A0F9-9B3A7BA7A0D7}" uniqueName="314" name="PAGA_rest_penalties_less_prems" queryTableFieldId="314"/>
    <tableColumn id="315" xr3:uid="{7562E243-789D-4D98-9173-16F687AC1643}" uniqueName="315" name="PAGA_rrop_flag_less_prems" queryTableFieldId="315" dataDxfId="266"/>
    <tableColumn id="316" xr3:uid="{F30CF554-8BF5-4DF5-AE7D-E78540FE5EF9}" uniqueName="316" name="PAGA_rrop_flag_count_less_prems" queryTableFieldId="316"/>
    <tableColumn id="317" xr3:uid="{6FE4BFFC-AA59-4E80-BC4A-10050643C3C4}" uniqueName="317" name="PAGA_rrop_penalties_less_prems" queryTableFieldId="317"/>
    <tableColumn id="318" xr3:uid="{FA2D38FD-A499-483D-9BD6-AA42A044AB8E}" uniqueName="318" name="PAGA_226_flag_less_prems" queryTableFieldId="318"/>
    <tableColumn id="319" xr3:uid="{204AC4FE-E06B-4428-B977-3E54A5A86847}" uniqueName="319" name="PAGA_226_flag_count_less_prems" queryTableFieldId="319"/>
    <tableColumn id="320" xr3:uid="{3A79AFD3-B1E6-497C-83AD-F9FFD69BAC30}" uniqueName="320" name="PAGA_226_penalties_less_prems" queryTableFieldId="320"/>
    <tableColumn id="321" xr3:uid="{359C8005-70A8-477C-8F5A-10E22B4026DF}" uniqueName="321" name="PAGA_558_flag_less_prems" queryTableFieldId="321"/>
    <tableColumn id="322" xr3:uid="{588EA8C5-F1A3-4B67-972E-BE610F70E674}" uniqueName="322" name="PAGA_558_flag_count_less_prems" queryTableFieldId="322"/>
    <tableColumn id="323" xr3:uid="{C2BDF5BB-B184-4BD0-BCE8-B02C6A056F51}" uniqueName="323" name="PAGA_558_penalties_less_prems" queryTableFieldId="323"/>
    <tableColumn id="324" xr3:uid="{94B06709-173D-477C-BFDA-22BCC78887D0}" uniqueName="324" name="PAGA_1197_1_flag_less_prems" queryTableFieldId="324" dataDxfId="265"/>
    <tableColumn id="325" xr3:uid="{362D11CB-1D46-4757-B29A-F4A058E10256}" uniqueName="325" name="PAGA_1197_1_flag_count_less_prems" queryTableFieldId="325"/>
    <tableColumn id="326" xr3:uid="{64341C9C-A907-4360-8BB6-C99D34AB6D7F}" uniqueName="326" name="PAGA_1197_1_penalties_less_prems" queryTableFieldId="326"/>
    <tableColumn id="327" xr3:uid="{4933E713-86A5-4725-BFC2-C4749930E529}" uniqueName="327" name="PAGA_1174_flag_less_prems" queryTableFieldId="327" dataDxfId="264"/>
    <tableColumn id="328" xr3:uid="{A2B81C5E-C068-41F8-98BA-92BDC2C15F82}" uniqueName="328" name="PAGA_1174_penalties_less_prems" queryTableFieldId="328"/>
    <tableColumn id="329" xr3:uid="{8D28EDF8-0C10-4B78-A9DB-65B3EC103E48}" uniqueName="329" name="PAGA_2802_flag_less_prems" queryTableFieldId="329" dataDxfId="263"/>
    <tableColumn id="330" xr3:uid="{A62A2C41-D490-4095-AA25-FC5675D3A297}" uniqueName="330" name="PAGA_2802_flag_count_less_prems" queryTableFieldId="330"/>
    <tableColumn id="331" xr3:uid="{4CCF96C3-C6F6-416C-842B-47AE03AB9F1F}" uniqueName="331" name="PAGA_2802_penalties_less_prems" queryTableFieldId="331"/>
    <tableColumn id="332" xr3:uid="{91B26A5C-5488-4021-8D46-297D6D6AFC56}" uniqueName="332" name="PAGA_203_flag_less_prems" queryTableFieldId="332" dataDxfId="262"/>
    <tableColumn id="333" xr3:uid="{CC7DDED7-6D14-4060-B97F-F75C3E1EEA72}" uniqueName="333" name="PAGA_203_penalties_less_prems" queryTableFieldId="333"/>
    <tableColumn id="334" xr3:uid="{0C2D042F-91E0-4F15-9E0C-99B26665B70E}" uniqueName="334" name="PAGA_tot_less_prems" queryTableFieldId="334"/>
    <tableColumn id="335" xr3:uid="{2903227B-C265-4C55-842D-89696AF802F5}" uniqueName="335" name="PAGA_meal_flag_less_prems_w" queryTableFieldId="335"/>
    <tableColumn id="336" xr3:uid="{D32D727A-C9CE-488A-83F2-B1C59A6BB287}" uniqueName="336" name="PAGA_meal_flag_count_less_prems_w" queryTableFieldId="336"/>
    <tableColumn id="337" xr3:uid="{D71A568E-53EC-4F00-B89C-3FCFFDD5538D}" uniqueName="337" name="PAGA_meal_penalties_less_prems_w" queryTableFieldId="337"/>
    <tableColumn id="338" xr3:uid="{F03F5D0D-9C1D-4780-A5EF-05E6125658E4}" uniqueName="338" name="PAGA_rest_flag_less_prems_w" queryTableFieldId="338" dataDxfId="261"/>
    <tableColumn id="339" xr3:uid="{464C760D-B077-449B-A8EA-BE2C81C6CC4C}" uniqueName="339" name="PAGA_rest_flag_count_less_prems_w" queryTableFieldId="339" dataDxfId="260"/>
    <tableColumn id="340" xr3:uid="{5A1FC58B-25EE-4AF0-A147-AFE0FD35933B}" uniqueName="340" name="PAGA_rest_penalties_less_prems_w" queryTableFieldId="340" dataDxfId="259"/>
    <tableColumn id="341" xr3:uid="{908BAF26-4A4B-43CF-8206-25546489256E}" uniqueName="341" name="PAGA_rrop_flag_less_prems_w" queryTableFieldId="341" dataDxfId="258"/>
    <tableColumn id="342" xr3:uid="{7C540F5E-992A-490B-AB58-84182FF2ED84}" uniqueName="342" name="PAGA_rrop_flag_count_less_prems_w" queryTableFieldId="342" dataDxfId="257"/>
    <tableColumn id="343" xr3:uid="{88ED2D16-CECF-4293-9646-82C3B03134D6}" uniqueName="343" name="PAGA_rrop_penalties_less_prems_w" queryTableFieldId="343" dataDxfId="256"/>
    <tableColumn id="344" xr3:uid="{0C87105F-F029-4175-B08B-E8188649E1B2}" uniqueName="344" name="PAGA_226_flag_less_prems_w" queryTableFieldId="344"/>
    <tableColumn id="345" xr3:uid="{97CC0B7C-351B-4667-9132-268E142DCFF3}" uniqueName="345" name="PAGA_226_flag_count_less_prems_w" queryTableFieldId="345"/>
    <tableColumn id="346" xr3:uid="{026501EB-7A35-4D92-9417-03B32209EFD4}" uniqueName="346" name="PAGA_226_penalties_less_prems_w" queryTableFieldId="346"/>
    <tableColumn id="347" xr3:uid="{05DE12CC-C54A-4D45-B9BE-29AC8E14362F}" uniqueName="347" name="PAGA_558_flag_less_prems_w" queryTableFieldId="347"/>
    <tableColumn id="348" xr3:uid="{3319A7DC-71FF-4B24-ABB4-82A0D50DADE0}" uniqueName="348" name="PAGA_558_flag_count_less_prems_w" queryTableFieldId="348"/>
    <tableColumn id="349" xr3:uid="{9A9A26CE-9908-4788-BB10-676D3970E04D}" uniqueName="349" name="PAGA_558_penalties_less_prems_w" queryTableFieldId="349"/>
    <tableColumn id="350" xr3:uid="{6C3AC962-0741-4131-82A4-D78081BB8773}" uniqueName="350" name="PAGA_1197_1_flag_less_prems_w" queryTableFieldId="350" dataDxfId="255"/>
    <tableColumn id="351" xr3:uid="{FADF4C8E-B2EB-4EAA-89B0-D18184DCCD5F}" uniqueName="351" name="PAGA_1197_1_flag_count_less_prems_w" queryTableFieldId="351" dataDxfId="254"/>
    <tableColumn id="352" xr3:uid="{E645A797-2CD3-4961-BEF3-1DF7EA7A8F2C}" uniqueName="352" name="PAGA_1197_1_penalties_less_prems_w" queryTableFieldId="352" dataDxfId="253"/>
    <tableColumn id="353" xr3:uid="{91F0907E-F582-47F2-930C-BCFC8835E6CD}" uniqueName="353" name="PAGA_1174_flag_less_prems_w" queryTableFieldId="353" dataDxfId="252"/>
    <tableColumn id="354" xr3:uid="{4C0D82DE-12BE-49E0-8E2A-538313139B1E}" uniqueName="354" name="PAGA_1174_penalties_less_prems_w" queryTableFieldId="354" dataDxfId="251"/>
    <tableColumn id="355" xr3:uid="{7AAFA51F-8EAC-48DC-A53C-207C78D13C10}" uniqueName="355" name="PAGA_2802_flag_less_prems_w" queryTableFieldId="355" dataDxfId="250"/>
    <tableColumn id="356" xr3:uid="{2269D5CE-7E62-4BAF-9247-AE09D2879A2A}" uniqueName="356" name="PAGA_2802_flag_count_less_prems_w" queryTableFieldId="356" dataDxfId="249"/>
    <tableColumn id="357" xr3:uid="{C13EE79E-7F60-4BD7-B597-32D815A7645F}" uniqueName="357" name="PAGA_2802_penalties_less_prems_w" queryTableFieldId="357" dataDxfId="248"/>
    <tableColumn id="358" xr3:uid="{EAA8B692-042E-4A3F-967A-2369284E8F24}" uniqueName="358" name="PAGA_203_flag_less_prems_w" queryTableFieldId="358" dataDxfId="247"/>
    <tableColumn id="359" xr3:uid="{CD62DC1E-7003-4118-B704-B553324C2F4B}" uniqueName="359" name="PAGA_203_penalties_less_prems_w" queryTableFieldId="359" dataDxfId="246"/>
    <tableColumn id="360" xr3:uid="{7487C556-3382-4D8C-B449-BF1AA97B9D90}" uniqueName="360" name="PAGA_tot_less_prems_w" queryTableFieldId="360"/>
    <tableColumn id="361" xr3:uid="{861D4974-CE44-4479-873D-BC4D30F296AE}" uniqueName="361" name="PAGA_meal_flag_less_credits" queryTableFieldId="361"/>
    <tableColumn id="362" xr3:uid="{E3F6D9D9-53B7-4B04-B784-7138A8413A8C}" uniqueName="362" name="PAGA_meal_flag_count_less_credits" queryTableFieldId="362"/>
    <tableColumn id="363" xr3:uid="{35DB407E-DE47-4ADE-8E15-1A4A3F166C8B}" uniqueName="363" name="PAGA_meal_penalties_less_credits" queryTableFieldId="363"/>
    <tableColumn id="364" xr3:uid="{514E4F2B-B537-4C17-9EC5-155894645C09}" uniqueName="364" name="PAGA_rest_flag_less_credits" queryTableFieldId="364"/>
    <tableColumn id="365" xr3:uid="{4156C1C9-981D-48A2-90DF-CDDDBD12A6AA}" uniqueName="365" name="PAGA_rest_flag_count_less_credits" queryTableFieldId="365"/>
    <tableColumn id="366" xr3:uid="{1464DEE5-A66A-4350-8855-B2D784F3CE77}" uniqueName="366" name="PAGA_rest_penalties_less_credits" queryTableFieldId="366"/>
    <tableColumn id="367" xr3:uid="{318C90F2-1A96-46A2-9FC6-52817E0E04B9}" uniqueName="367" name="PAGA_rrop_flag_less_credits" queryTableFieldId="367"/>
    <tableColumn id="368" xr3:uid="{D0402EE3-4F20-4F41-86A9-7F2B4A42B597}" uniqueName="368" name="PAGA_rrop_flag_count_less_credits" queryTableFieldId="368"/>
    <tableColumn id="369" xr3:uid="{0AD62F1C-D317-4160-ADE8-F9A762FDA0EE}" uniqueName="369" name="PAGA_rrop_penalties_less_credits" queryTableFieldId="369"/>
    <tableColumn id="370" xr3:uid="{F2A02ED0-1A23-48A7-9D5D-EEB038722CBD}" uniqueName="370" name="PAGA_226_flag_less_credits" queryTableFieldId="370"/>
    <tableColumn id="371" xr3:uid="{864DF455-4B8B-404B-B8E7-39475751CB30}" uniqueName="371" name="PAGA_226_flag_count_less_credits" queryTableFieldId="371"/>
    <tableColumn id="372" xr3:uid="{4EA1C9AB-8EE3-4B7D-8034-41046B8256DC}" uniqueName="372" name="PAGA_226_penalties_less_credits" queryTableFieldId="372"/>
    <tableColumn id="373" xr3:uid="{406FBB7E-A308-40DE-821F-63053E3E5F10}" uniqueName="373" name="PAGA_558_flag_less_credits" queryTableFieldId="373"/>
    <tableColumn id="374" xr3:uid="{653AE937-DEEE-4D5A-85CE-0CC3D2119D9B}" uniqueName="374" name="PAGA_558_flag_count_less_credits" queryTableFieldId="374"/>
    <tableColumn id="375" xr3:uid="{EDB74CA1-EA5C-4782-AB23-09166AC7F0D8}" uniqueName="375" name="PAGA_558_penalties_less_credits" queryTableFieldId="375"/>
    <tableColumn id="376" xr3:uid="{49F6C0C6-7C44-4D0A-80A0-B9A11EF824C1}" uniqueName="376" name="PAGA_1197_1_flag_less_credits" queryTableFieldId="376"/>
    <tableColumn id="377" xr3:uid="{488C7486-8A0C-44D0-A76F-7D0D4EF4BC7C}" uniqueName="377" name="PAGA_1197_1_flag_count_less_credits" queryTableFieldId="377"/>
    <tableColumn id="378" xr3:uid="{2D68B33D-57FE-4ED4-9560-14E40DA3C2CC}" uniqueName="378" name="PAGA_1197_1_penalties_less_credits" queryTableFieldId="378"/>
    <tableColumn id="379" xr3:uid="{2A3B4003-3F2F-4BEB-AA59-568D43748E1F}" uniqueName="379" name="PAGA_1174_flag_less_credits" queryTableFieldId="379" dataDxfId="245"/>
    <tableColumn id="380" xr3:uid="{BA33AA10-CE81-4170-A670-30682C8D56B8}" uniqueName="380" name="PAGA_1174_penalties_less_credits" queryTableFieldId="380"/>
    <tableColumn id="381" xr3:uid="{339520AC-7495-4D35-BF9F-87109D715404}" uniqueName="381" name="PAGA_2802_flag_less_credits" queryTableFieldId="381"/>
    <tableColumn id="382" xr3:uid="{1FA2044C-DC9E-425D-85B3-A461FF06C1EB}" uniqueName="382" name="PAGA_2802_flag_count_less_credits" queryTableFieldId="382"/>
    <tableColumn id="383" xr3:uid="{DB1BA043-6F29-4AAA-8058-128869B2F5A7}" uniqueName="383" name="PAGA_2802_penalties_less_credits" queryTableFieldId="383"/>
    <tableColumn id="384" xr3:uid="{71E02FB6-E301-4F29-B1B5-D074E5780706}" uniqueName="384" name="PAGA_203_flag_less_credits" queryTableFieldId="384" dataDxfId="244"/>
    <tableColumn id="385" xr3:uid="{DCD1D249-B600-4BA3-819E-5987ABBAD314}" uniqueName="385" name="PAGA_203_penalties_less_credits" queryTableFieldId="385"/>
    <tableColumn id="386" xr3:uid="{3302346F-C7CB-4CB0-804A-7BF2B326E14A}" uniqueName="386" name="PAGA_tot_less_credits" queryTableFieldId="386"/>
    <tableColumn id="387" xr3:uid="{05A89F24-261C-45FA-9904-D5DC8C3158B1}" uniqueName="387" name="PAGA_meal_flag_less_prems_and_credits" queryTableFieldId="387"/>
    <tableColumn id="388" xr3:uid="{230CC23E-97CD-47B8-A9F1-C8FF0024E688}" uniqueName="388" name="PAGA_meal_flag_count_less_prems_and_credits" queryTableFieldId="388"/>
    <tableColumn id="389" xr3:uid="{A3BC3E8F-F91D-4A32-AF07-6B6E8BCE136B}" uniqueName="389" name="PAGA_meal_penalties_less_prems_and_credits" queryTableFieldId="389"/>
    <tableColumn id="390" xr3:uid="{23844C06-9C23-4B9F-8DB8-D4D975E7422B}" uniqueName="390" name="PAGA_rest_flag_less_prems_and_credits" queryTableFieldId="390"/>
    <tableColumn id="391" xr3:uid="{CB826367-1C53-45DB-9889-8D8343910595}" uniqueName="391" name="PAGA_rest_flag_count_less_prems_and_credits" queryTableFieldId="391"/>
    <tableColumn id="392" xr3:uid="{4C7F0F48-BCE5-4448-8B30-B497E4C58A34}" uniqueName="392" name="PAGA_rest_penalties_less_prems_and_credits" queryTableFieldId="392"/>
    <tableColumn id="393" xr3:uid="{4DBB88F5-54B5-4C03-AE0A-80B6FE01AED6}" uniqueName="393" name="PAGA_rrop_flag_less_prems_and_credits" queryTableFieldId="393"/>
    <tableColumn id="394" xr3:uid="{48A2C5B7-9A5B-411A-8A47-4A8562FAC8C0}" uniqueName="394" name="PAGA_rrop_flag_count_less_prems_and_credits" queryTableFieldId="394"/>
    <tableColumn id="395" xr3:uid="{01DCD50E-12DD-466C-B9AF-6E47AFC30D56}" uniqueName="395" name="PAGA_rrop_penalties_less_prems_and_credits" queryTableFieldId="395"/>
    <tableColumn id="396" xr3:uid="{C76D34CF-1ADD-4F82-A06B-C0FD7601B30B}" uniqueName="396" name="PAGA_226_flag_less_prems_and_credits" queryTableFieldId="396"/>
    <tableColumn id="397" xr3:uid="{B08961AB-254D-4BA6-B290-130661F7D012}" uniqueName="397" name="PAGA_226_flag_count_less_prems_and_credits" queryTableFieldId="397"/>
    <tableColumn id="398" xr3:uid="{D8046BBC-B1F7-4BF5-99EE-EC0EA39D2CAC}" uniqueName="398" name="PAGA_226_penalties_less_prems_and_credits" queryTableFieldId="398"/>
    <tableColumn id="399" xr3:uid="{DA95DE1B-E56D-4EF6-8BCF-046C019E39B5}" uniqueName="399" name="PAGA_558_flag_less_prems_and_credits" queryTableFieldId="399"/>
    <tableColumn id="400" xr3:uid="{A96083E1-563F-4B0E-AB1B-99B8D6896574}" uniqueName="400" name="PAGA_558_flag_count_less_prems_and_credits" queryTableFieldId="400"/>
    <tableColumn id="401" xr3:uid="{B16F9CF5-2579-4663-B3C1-E71834CED499}" uniqueName="401" name="PAGA_558_penalties_less_prems_and_credits" queryTableFieldId="401"/>
    <tableColumn id="402" xr3:uid="{A1CE55A1-F0CF-475F-9D59-C77234EB3E3E}" uniqueName="402" name="PAGA_1197_1_flag_less_prems_and_credits" queryTableFieldId="402"/>
    <tableColumn id="403" xr3:uid="{1441F52A-C95D-4829-A0B1-3F4CEA559193}" uniqueName="403" name="PAGA_1197_1_flag_count_less_prems_and_credits" queryTableFieldId="403"/>
    <tableColumn id="404" xr3:uid="{20207053-C62F-4320-8B9C-73913AAAA4E9}" uniqueName="404" name="PAGA_1197_1_penalties_less_prems_and_credits" queryTableFieldId="404"/>
    <tableColumn id="405" xr3:uid="{89517A3C-C202-4FB9-90DD-4463B97D4C82}" uniqueName="405" name="PAGA_1174_flag_less_prems_and_credits" queryTableFieldId="405" dataDxfId="243"/>
    <tableColumn id="406" xr3:uid="{6B6CD9B3-CC9D-4DBF-AFD5-8083F7EBB028}" uniqueName="406" name="PAGA_1174_penalties_less_prems_and_credits" queryTableFieldId="406"/>
    <tableColumn id="407" xr3:uid="{5EAA154A-B6E0-4228-BD0F-AA87CC90DCDB}" uniqueName="407" name="PAGA_2802_flag_less_prems_and_credits" queryTableFieldId="407"/>
    <tableColumn id="408" xr3:uid="{0C4CEB05-F70C-4F04-A079-65187F115717}" uniqueName="408" name="PAGA_2802_flag_count_less_prems_and_credits" queryTableFieldId="408"/>
    <tableColumn id="409" xr3:uid="{6576094F-22DA-462F-B3AC-8A13B534471A}" uniqueName="409" name="PAGA_2802_penalties_less_prems_and_credits" queryTableFieldId="409"/>
    <tableColumn id="410" xr3:uid="{68699E48-2092-4B7D-AA9C-9C9FB5BDA31B}" uniqueName="410" name="PAGA_203_flag_less_prems_and_credits" queryTableFieldId="410" dataDxfId="242"/>
    <tableColumn id="411" xr3:uid="{70F8E7AE-F380-4EE2-8A53-A9458B15B7A5}" uniqueName="411" name="PAGA_203_penalties_less_prems_and_credits" queryTableFieldId="411"/>
    <tableColumn id="412" xr3:uid="{C1FFE553-61E5-4619-9D24-AF8DB6383E89}" uniqueName="412" name="PAGA_tot_less_prems_and_credits" queryTableFieldId="412"/>
    <tableColumn id="413" xr3:uid="{81D4C58E-6546-4FDC-9408-377340E2BA5E}" uniqueName="413" name="PAGA_meal_flag_less_credits_w" queryTableFieldId="413"/>
    <tableColumn id="414" xr3:uid="{B7CFB8F1-437A-4934-810B-77F971E64475}" uniqueName="414" name="PAGA_meal_flag_count_less_credits_w" queryTableFieldId="414"/>
    <tableColumn id="415" xr3:uid="{052221D7-6237-48D7-B20F-FBF759B31299}" uniqueName="415" name="PAGA_meal_penalties_less_credits_w" queryTableFieldId="415"/>
    <tableColumn id="416" xr3:uid="{720A61F7-DEDF-4F6F-B56F-EF9B3FFA4AF0}" uniqueName="416" name="PAGA_rest_flag_less_credits_w" queryTableFieldId="416"/>
    <tableColumn id="417" xr3:uid="{C3E528ED-FCE4-46A0-9665-A974FE9D98B2}" uniqueName="417" name="PAGA_rest_flag_count_less_credits_w" queryTableFieldId="417"/>
    <tableColumn id="418" xr3:uid="{9B5F56FC-F57A-4099-A657-D693E3A8CC35}" uniqueName="418" name="PAGA_rest_penalties_less_credits_w" queryTableFieldId="418"/>
    <tableColumn id="419" xr3:uid="{57BB5F87-D07B-46AC-AA5B-1BE610BEE143}" uniqueName="419" name="PAGA_rrop_flag_less_credits_w" queryTableFieldId="419"/>
    <tableColumn id="420" xr3:uid="{34072A76-DBCB-4C1E-9F01-8F05222291D2}" uniqueName="420" name="PAGA_rrop_flag_count_less_credits_w" queryTableFieldId="420"/>
    <tableColumn id="421" xr3:uid="{4F65FD01-3D07-4F12-BD09-9FA437B344B9}" uniqueName="421" name="PAGA_rrop_penalties_less_credits_w" queryTableFieldId="421"/>
    <tableColumn id="422" xr3:uid="{739CE72E-B65F-4578-AD70-9141FB032373}" uniqueName="422" name="PAGA_226_flag_less_credits_w" queryTableFieldId="422"/>
    <tableColumn id="423" xr3:uid="{B3AA4FC0-910E-454E-A0C3-95FFFB080EE3}" uniqueName="423" name="PAGA_226_flag_count_less_credits_w" queryTableFieldId="423"/>
    <tableColumn id="424" xr3:uid="{BCD119FA-C6C4-46E9-8BCA-C796CF62A843}" uniqueName="424" name="PAGA_226_penalties_less_credits_w" queryTableFieldId="424"/>
    <tableColumn id="425" xr3:uid="{459B6DB6-CE6F-42B5-9D49-4B5DA19F8DBB}" uniqueName="425" name="PAGA_558_flag_less_credits_w" queryTableFieldId="425"/>
    <tableColumn id="426" xr3:uid="{92BB3B09-5351-42E4-8614-9186804DC172}" uniqueName="426" name="PAGA_558_flag_count_less_credits_w" queryTableFieldId="426"/>
    <tableColumn id="427" xr3:uid="{FE81BFDF-68B1-403B-BCAF-E7814C0F7612}" uniqueName="427" name="PAGA_558_penalties_less_credits_w" queryTableFieldId="427"/>
    <tableColumn id="428" xr3:uid="{3966FEAB-3279-4807-A37C-CF16B1A3EBFC}" uniqueName="428" name="PAGA_1197_1_flag_less_credits_w" queryTableFieldId="428"/>
    <tableColumn id="429" xr3:uid="{DF9EB778-0C4C-46A5-8469-D63F5E38343A}" uniqueName="429" name="PAGA_1197_1_flag_count_less_credits_w" queryTableFieldId="429"/>
    <tableColumn id="430" xr3:uid="{971267B5-4249-46FA-BD3E-D9DB8A8AD9EC}" uniqueName="430" name="PAGA_1197_1_penalties_less_credits_w" queryTableFieldId="430"/>
    <tableColumn id="431" xr3:uid="{CC7346BD-D48F-4FC7-BD80-0864BD3462F1}" uniqueName="431" name="PAGA_1174_flag_less_credits_w" queryTableFieldId="431" dataDxfId="241"/>
    <tableColumn id="432" xr3:uid="{09BB975A-53F0-46D4-913F-4DD8B6925A77}" uniqueName="432" name="PAGA_1174_penalties_less_credits_w" queryTableFieldId="432"/>
    <tableColumn id="433" xr3:uid="{4134AD88-9649-4D55-845C-090CD052096F}" uniqueName="433" name="PAGA_2802_flag_less_credits_w" queryTableFieldId="433"/>
    <tableColumn id="434" xr3:uid="{4B3FD0A1-5C8C-48F4-8D73-A7FECE6D4B4D}" uniqueName="434" name="PAGA_2802_flag_count_less_credits_w" queryTableFieldId="434"/>
    <tableColumn id="435" xr3:uid="{88EDF0F5-C872-4DDD-B780-BBD5253F140F}" uniqueName="435" name="PAGA_2802_penalties_less_credits_w" queryTableFieldId="435"/>
    <tableColumn id="436" xr3:uid="{41EE4A28-2962-4E21-AB66-BA0A62334AA9}" uniqueName="436" name="PAGA_203_flag_less_credits_w" queryTableFieldId="436" dataDxfId="240"/>
    <tableColumn id="437" xr3:uid="{ED44527E-5A7F-4557-AB33-3A8AF15150FB}" uniqueName="437" name="PAGA_203_penalties_less_credits_w" queryTableFieldId="437"/>
    <tableColumn id="438" xr3:uid="{C88FA368-3F3F-448C-82B1-7D440243DD67}" uniqueName="438" name="PAGA_tot_less_credits_w" queryTableFieldId="438"/>
    <tableColumn id="439" xr3:uid="{3DC29188-AF86-4DDF-ACE8-67F2FA7021DC}" uniqueName="439" name="PAGA_meal_flag_less_prems_and_credits_w" queryTableFieldId="439"/>
    <tableColumn id="440" xr3:uid="{408DB806-5109-488C-BC85-11B6E1543442}" uniqueName="440" name="PAGA_meal_flag_count_less_prems_and_credits_w" queryTableFieldId="440"/>
    <tableColumn id="441" xr3:uid="{5739C44B-72D7-4E02-B8B1-5BC585D77651}" uniqueName="441" name="PAGA_meal_penalties_less_prems_and_credits_w" queryTableFieldId="441"/>
    <tableColumn id="442" xr3:uid="{894077DB-B41D-40B8-A7DC-576F004B058D}" uniqueName="442" name="PAGA_rest_flag_less_prems_and_credits_w" queryTableFieldId="442"/>
    <tableColumn id="443" xr3:uid="{423D2DF6-1C29-4E1C-9C32-91238E66A33B}" uniqueName="443" name="PAGA_rest_flag_count_less_prems_and_credits_w" queryTableFieldId="443"/>
    <tableColumn id="444" xr3:uid="{532BDD12-0C85-4465-8DD4-C8E714085675}" uniqueName="444" name="PAGA_rest_penalties_less_prems_and_credits_w" queryTableFieldId="444"/>
    <tableColumn id="445" xr3:uid="{A5483192-6E27-44A6-893F-0E9A3A06A0E7}" uniqueName="445" name="PAGA_rrop_flag_less_prems_and_credits_w" queryTableFieldId="445"/>
    <tableColumn id="446" xr3:uid="{DB2B1F8E-BD68-48A5-8624-2E6D3AAF9ABC}" uniqueName="446" name="PAGA_rrop_flag_count_less_prems_and_credits_w" queryTableFieldId="446"/>
    <tableColumn id="447" xr3:uid="{97E1D944-D22A-4F40-89D6-A3851EA733FA}" uniqueName="447" name="PAGA_rrop_penalties_less_prems_and_credits_w" queryTableFieldId="447"/>
    <tableColumn id="448" xr3:uid="{84F4CD6C-BEE9-4C3C-8437-571086D1E426}" uniqueName="448" name="PAGA_226_flag_less_prems_and_credits_w" queryTableFieldId="448"/>
    <tableColumn id="449" xr3:uid="{2389D5A0-26E6-4B35-8967-5EB3B26A1057}" uniqueName="449" name="PAGA_226_flag_count_less_prems_and_credits_w" queryTableFieldId="449"/>
    <tableColumn id="450" xr3:uid="{97B972EA-AD2A-402A-8DBA-561232C7691B}" uniqueName="450" name="PAGA_226_penalties_less_prems_and_credits_w" queryTableFieldId="450"/>
    <tableColumn id="451" xr3:uid="{E0158E85-12B6-43A2-8481-19953177B506}" uniqueName="451" name="PAGA_558_flag_less_prems_and_credits_w" queryTableFieldId="451"/>
    <tableColumn id="452" xr3:uid="{96B9085A-EC95-4489-A03D-5EA3C115AAB0}" uniqueName="452" name="PAGA_558_flag_count_less_prems_and_credits_w" queryTableFieldId="452"/>
    <tableColumn id="453" xr3:uid="{D486F1C3-378F-45B4-9E71-44BCC762DC39}" uniqueName="453" name="PAGA_558_penalties_less_prems_and_credits_w" queryTableFieldId="453"/>
    <tableColumn id="454" xr3:uid="{38E68C07-1F49-4C0D-8B95-AF64C7442FC2}" uniqueName="454" name="PAGA_1197_1_flag_less_prems_and_credits_w" queryTableFieldId="454"/>
    <tableColumn id="455" xr3:uid="{56BCA400-F878-4097-A051-6326D33E0619}" uniqueName="455" name="PAGA_1197_1_flag_count_less_prems_and_credits_w" queryTableFieldId="455"/>
    <tableColumn id="456" xr3:uid="{B32D2B2A-903B-4371-B854-8B1706FAD25D}" uniqueName="456" name="PAGA_1197_1_penalties_less_prems_and_credits_w" queryTableFieldId="456"/>
    <tableColumn id="457" xr3:uid="{7ED1AA14-7CD0-4AA8-B6A5-CB8B979FADCB}" uniqueName="457" name="PAGA_1174_flag_less_prems_and_credits_w" queryTableFieldId="457" dataDxfId="239"/>
    <tableColumn id="458" xr3:uid="{81F976E2-4BFE-4A1C-A301-FA6485F3DC00}" uniqueName="458" name="PAGA_1174_penalties_less_prems_and_credits_w" queryTableFieldId="458"/>
    <tableColumn id="459" xr3:uid="{7FE24C2C-5DF0-4C1A-8BB3-68F7AFAB93C0}" uniqueName="459" name="PAGA_2802_flag_less_prems_and_credits_w" queryTableFieldId="459"/>
    <tableColumn id="460" xr3:uid="{4D5450C3-B157-46C1-80FB-C14CE57100C9}" uniqueName="460" name="PAGA_2802_flag_count_less_prems_and_credits_w" queryTableFieldId="460"/>
    <tableColumn id="461" xr3:uid="{393C048F-E9F9-449B-BF83-2B7567A3A994}" uniqueName="461" name="PAGA_2802_penalties_less_prems_and_credits_w" queryTableFieldId="461"/>
    <tableColumn id="462" xr3:uid="{6E8BC57C-1049-4996-A5A2-C5568B89B629}" uniqueName="462" name="PAGA_203_flag_less_prems_and_credits_w" queryTableFieldId="462" dataDxfId="238"/>
    <tableColumn id="463" xr3:uid="{1E26F121-E3CD-4209-AE8D-AF9087A9FBED}" uniqueName="463" name="PAGA_203_penalties_less_prems_and_credits_w" queryTableFieldId="463"/>
    <tableColumn id="464" xr3:uid="{9457008F-9D32-4AC8-9C4D-D3D97EF54DAE}" uniqueName="464" name="PAGA_tot_less_prems_and_credits_w" queryTableFieldId="464"/>
    <tableColumn id="465" xr3:uid="{3D99DC2C-0947-4998-A8F3-6D27AC7E69EC}" uniqueName="465" name="ee_has_dmgs" queryTableFieldId="465" dataDxfId="237"/>
    <tableColumn id="466" xr3:uid="{49ADA6DF-53FA-48A1-85EB-5EDFBAFBC80F}" uniqueName="466" name="ee_has_dmgs_less_prems" queryTableFieldId="466" dataDxfId="236"/>
    <tableColumn id="467" xr3:uid="{6C8BC936-0095-4FA0-8BB3-5ABE079FC86A}" uniqueName="467" name="ee_has_dmgs_w" queryTableFieldId="467" dataDxfId="235"/>
    <tableColumn id="468" xr3:uid="{7E0D9A3D-62F1-43F9-9C40-1C2FFC4C2623}" uniqueName="468" name="ee_has_dmgs_less_prems_w" queryTableFieldId="468" dataDxfId="234"/>
    <tableColumn id="469" xr3:uid="{7765243C-978D-47FC-A16E-F215502B44B3}" uniqueName="469" name="ee_has_dmgs_less_credits" queryTableFieldId="469" dataDxfId="233"/>
    <tableColumn id="470" xr3:uid="{492DB963-A274-41EE-A07E-E6C59F99E5C3}" uniqueName="470" name="ee_has_dmgs_less_prems_and_credits" queryTableFieldId="470" dataDxfId="232"/>
    <tableColumn id="471" xr3:uid="{2EED6EC8-CA41-4BDC-B7DB-BD485F1794CA}" uniqueName="471" name="ee_has_dmgs_less_credits_w" queryTableFieldId="471" dataDxfId="231"/>
    <tableColumn id="472" xr3:uid="{D13307D7-96F6-4030-AE2C-EBE190436FD4}" uniqueName="472" name="ee_has_dmgs_less_prems_and_credits_w" queryTableFieldId="472" dataDxfId="230"/>
    <tableColumn id="473" xr3:uid="{DC2655CA-3471-417F-9DCA-4D58B4F0385D}" uniqueName="473" name="has_wsv_penalties" queryTableFieldId="473"/>
    <tableColumn id="474" xr3:uid="{86F8A409-2921-4292-BD78-D6E17F5B08BB}" uniqueName="474" name="ee_has_wsv_penalties" queryTableFieldId="474" dataDxfId="229"/>
    <tableColumn id="475" xr3:uid="{6DAC0F48-829C-4BC3-93BF-D3A46741CE19}" uniqueName="475" name="has_wsv_penalties_less_prems" queryTableFieldId="475"/>
    <tableColumn id="476" xr3:uid="{5ADDC40B-C16F-457E-A427-7A1F56E64CC2}" uniqueName="476" name="ee_has_wsv_penalties_less_prems" queryTableFieldId="476" dataDxfId="228"/>
    <tableColumn id="477" xr3:uid="{241E6398-4C89-4DF3-9F66-7FCC473162D7}" uniqueName="477" name="has_wsv_penalties_w" queryTableFieldId="477"/>
    <tableColumn id="478" xr3:uid="{CD57CA25-234D-4925-9408-1C37BD22AB08}" uniqueName="478" name="ee_has_wsv_penalties_w" queryTableFieldId="478" dataDxfId="227"/>
    <tableColumn id="479" xr3:uid="{78AC8400-A725-4254-92E4-34948443DBB7}" uniqueName="479" name="has_wsv_penalties_less_prems_w" queryTableFieldId="479"/>
    <tableColumn id="480" xr3:uid="{8E71C7CB-E3E8-441A-B3DD-3EF4A433A4F0}" uniqueName="480" name="ee_has_wsv_penalties_less_prems_w" queryTableFieldId="480" dataDxfId="226"/>
    <tableColumn id="481" xr3:uid="{76E592D5-DA70-4CA1-A09D-85533997FD7E}" uniqueName="481" name="has_wsv_penalties_less_credits" queryTableFieldId="481"/>
    <tableColumn id="482" xr3:uid="{353963E9-91D3-4B4E-A291-587318903088}" uniqueName="482" name="ee_has_wsv_penalties_less_credits" queryTableFieldId="482" dataDxfId="225"/>
    <tableColumn id="483" xr3:uid="{583AEE99-3F9D-42FA-9203-5C2AA8302C31}" uniqueName="483" name="has_wsv_penalties_less_prems_and_credits" queryTableFieldId="483"/>
    <tableColumn id="484" xr3:uid="{64333175-3B47-4FF9-9332-DC1F403D156E}" uniqueName="484" name="ee_has_wsv_penalties_less_prems_and_credits" queryTableFieldId="484" dataDxfId="224"/>
    <tableColumn id="485" xr3:uid="{45764259-2D75-44BC-9ADE-B114997A2ADE}" uniqueName="485" name="has_wsv_penalties_less_credits_w" queryTableFieldId="485"/>
    <tableColumn id="486" xr3:uid="{01151C7D-B02E-4F2F-B62A-7314C0E65EF6}" uniqueName="486" name="ee_has_wsv_penalties_less_credits_w" queryTableFieldId="486" dataDxfId="223"/>
    <tableColumn id="487" xr3:uid="{CCB2DB3E-394F-45FF-8E7C-F1C527485C77}" uniqueName="487" name="has_wsv_penalties_less_prems_and_credits_w" queryTableFieldId="487"/>
    <tableColumn id="488" xr3:uid="{CDF22EF1-2DB0-4357-A13E-3EA32CA33B63}" uniqueName="488" name="ee_has_wsv_penalties_less_prems_and_credits_w" queryTableFieldId="488" dataDxfId="222"/>
    <tableColumn id="489" xr3:uid="{90001C7F-000F-4E16-9822-1BABD704BA3B}" uniqueName="489" name="has_wt_penalties" queryTableFieldId="489"/>
    <tableColumn id="490" xr3:uid="{254FBC14-17A5-489E-A143-F1737F20AA11}" uniqueName="490" name="ee_has_wt_penalties" queryTableFieldId="490" dataDxfId="221"/>
    <tableColumn id="491" xr3:uid="{E2D475F1-F153-47C6-B5F6-0B80B8F95172}" uniqueName="491" name="has_wt_penalties_less_prems" queryTableFieldId="491"/>
    <tableColumn id="492" xr3:uid="{D91EDE65-44DD-4DB1-8186-514B90EA728B}" uniqueName="492" name="ee_has_wt_penalties_less_prems" queryTableFieldId="492" dataDxfId="220"/>
    <tableColumn id="493" xr3:uid="{BB08AAFD-9F48-4B02-81DE-7215ADF621C9}" uniqueName="493" name="has_wt_penalties_w" queryTableFieldId="493"/>
    <tableColumn id="494" xr3:uid="{22B1EBEC-E954-4018-B4AA-BB4822BC5086}" uniqueName="494" name="ee_has_wt_penalties_w" queryTableFieldId="494" dataDxfId="219"/>
    <tableColumn id="495" xr3:uid="{64E57E5E-88C6-4FEF-8A9D-CBC63D8FA008}" uniqueName="495" name="has_wt_penalties_less_prems_w" queryTableFieldId="495"/>
    <tableColumn id="496" xr3:uid="{B1E1A2D9-375F-465D-A524-84A4F37C8A39}" uniqueName="496" name="ee_has_wt_penalties_less_prems_w" queryTableFieldId="496" dataDxfId="218"/>
    <tableColumn id="497" xr3:uid="{BD8D0660-773F-4C27-BB3C-4D12908B6727}" uniqueName="497" name="has_wt_penalties_less_credits" queryTableFieldId="497"/>
    <tableColumn id="498" xr3:uid="{BF6467DB-9C59-4887-AD55-A9436A0B4C12}" uniqueName="498" name="ee_has_wt_penalties_less_credits" queryTableFieldId="498" dataDxfId="217"/>
    <tableColumn id="499" xr3:uid="{305FA20E-0831-4A02-A2B2-151961D17429}" uniqueName="499" name="has_wt_penalties_less_prems_and_credits" queryTableFieldId="499"/>
    <tableColumn id="500" xr3:uid="{7CDC5597-1E22-4D84-89F4-C420B5488B91}" uniqueName="500" name="ee_has_wt_penalties_less_prems_and_credits" queryTableFieldId="500" dataDxfId="216"/>
    <tableColumn id="501" xr3:uid="{9234D972-C560-4BE6-B1B7-64EBE4B87588}" uniqueName="501" name="has_wt_penalties_less_credits_w" queryTableFieldId="501"/>
    <tableColumn id="502" xr3:uid="{CD425366-147F-4B5E-9164-1879D6F57CB2}" uniqueName="502" name="ee_has_wt_penalties_less_credits_w" queryTableFieldId="502" dataDxfId="215"/>
    <tableColumn id="503" xr3:uid="{BF1C83DD-D808-4B7F-8862-84900081B176}" uniqueName="503" name="has_wt_penalties_less_prems_and_credits_w" queryTableFieldId="503"/>
    <tableColumn id="504" xr3:uid="{AB879F6A-9744-4DF1-AEA7-D52DA393986B}" uniqueName="504" name="ee_has_wt_penalties_less_prems_and_credits_w" queryTableFieldId="504" dataDxfId="214"/>
    <tableColumn id="505" xr3:uid="{2480C515-E33E-4CCE-8C97-3EF638C52C4C}" uniqueName="505" name="ee_has_paga_penalties" queryTableFieldId="505" dataDxfId="213"/>
    <tableColumn id="506" xr3:uid="{86D9E338-A42D-4EF7-9479-C02EB4CD3A8E}" uniqueName="506" name="ee_has_paga_meal" queryTableFieldId="506" dataDxfId="212"/>
    <tableColumn id="507" xr3:uid="{37ED9851-C41C-4203-9F44-95E8E297112A}" uniqueName="507" name="ee_has_paga_rest" queryTableFieldId="507" dataDxfId="211"/>
    <tableColumn id="508" xr3:uid="{DBF3EA3C-2EF6-4F55-9172-36EC1DC7B872}" uniqueName="508" name="ee_has_paga_rrop" queryTableFieldId="508" dataDxfId="210"/>
    <tableColumn id="509" xr3:uid="{304E3F25-06E0-4047-AA13-2035F4A90A89}" uniqueName="509" name="ee_has_paga_226" queryTableFieldId="509" dataDxfId="209"/>
    <tableColumn id="510" xr3:uid="{8DCAAAB3-CF6E-4B64-BB5C-91EA232639CC}" uniqueName="510" name="ee_has_paga_558" queryTableFieldId="510" dataDxfId="208"/>
    <tableColumn id="511" xr3:uid="{D25B40CE-FB02-43ED-82F0-76B3D462DBE1}" uniqueName="511" name="ee_has_paga_1197_1" queryTableFieldId="511" dataDxfId="207"/>
    <tableColumn id="512" xr3:uid="{6C1A403D-B4FA-4B6E-855C-43F597A1DDA3}" uniqueName="512" name="ee_has_paga_1174" queryTableFieldId="512" dataDxfId="206"/>
    <tableColumn id="513" xr3:uid="{BE6DB6E9-9343-4E0B-BF52-734151AE67FF}" uniqueName="513" name="ee_has_paga_2802" queryTableFieldId="513" dataDxfId="205"/>
    <tableColumn id="514" xr3:uid="{0306063D-4E10-4B61-B630-54BE1B2629BF}" uniqueName="514" name="ee_has_paga_203" queryTableFieldId="514" dataDxfId="204"/>
    <tableColumn id="515" xr3:uid="{E0E2F989-CC7E-45B4-ADEB-580C70670B91}" uniqueName="515" name="ee_has_paga_penalties_w" queryTableFieldId="515" dataDxfId="203"/>
    <tableColumn id="516" xr3:uid="{9C59F5F1-F53C-4F51-82AB-9572B9F672C2}" uniqueName="516" name="ee_has_paga_meal_w" queryTableFieldId="516" dataDxfId="202"/>
    <tableColumn id="517" xr3:uid="{67F5E4A2-6E7B-494B-8AE2-C1ECD580668C}" uniqueName="517" name="ee_has_paga_rest_w" queryTableFieldId="517" dataDxfId="201"/>
    <tableColumn id="518" xr3:uid="{A698D4F4-FFDF-4B37-887A-C01E47BA6300}" uniqueName="518" name="ee_has_paga_rrop_w" queryTableFieldId="518" dataDxfId="200"/>
    <tableColumn id="519" xr3:uid="{ADA94387-32DB-4DC5-A08E-54392FA4B69C}" uniqueName="519" name="ee_has_paga_226_w" queryTableFieldId="519" dataDxfId="199"/>
    <tableColumn id="520" xr3:uid="{4241DD2F-8BEF-4441-9770-6277E6B19A9E}" uniqueName="520" name="ee_has_paga_558_w" queryTableFieldId="520" dataDxfId="198"/>
    <tableColumn id="521" xr3:uid="{1C2D449D-534D-4E5F-9F65-6C7F51E34762}" uniqueName="521" name="ee_has_paga_1197_1_w" queryTableFieldId="521" dataDxfId="197"/>
    <tableColumn id="522" xr3:uid="{3031B184-C672-45E0-B980-F81E25245D24}" uniqueName="522" name="ee_has_paga_1174_w" queryTableFieldId="522" dataDxfId="196"/>
    <tableColumn id="523" xr3:uid="{716EEB53-172C-4782-AB5C-83C93805D2B5}" uniqueName="523" name="ee_has_paga_2802_w" queryTableFieldId="523" dataDxfId="195"/>
    <tableColumn id="524" xr3:uid="{2F88FA44-E8BC-401D-B30B-7A6D6EBD2D82}" uniqueName="524" name="ee_has_paga_203_w" queryTableFieldId="524" dataDxfId="194"/>
    <tableColumn id="525" xr3:uid="{9464BD7C-C13A-452B-BF99-D45B806E5619}" uniqueName="525" name="ee_has_paga_penalties_less_prems" queryTableFieldId="525" dataDxfId="193"/>
    <tableColumn id="526" xr3:uid="{79520965-BD6C-46F0-8399-AF2BBF5ACA83}" uniqueName="526" name="ee_has_paga_meal_less_prems" queryTableFieldId="526" dataDxfId="192"/>
    <tableColumn id="527" xr3:uid="{90584FB1-9D8A-4B62-82FC-90DCA7DD3F73}" uniqueName="527" name="ee_has_paga_rest_less_prems" queryTableFieldId="527" dataDxfId="191"/>
    <tableColumn id="528" xr3:uid="{30E51956-1D90-4FDC-96AC-C538545187E3}" uniqueName="528" name="ee_has_paga_rrop_less_prems" queryTableFieldId="528" dataDxfId="190"/>
    <tableColumn id="529" xr3:uid="{642E5408-0D7B-42D0-85AB-8815152C6EFE}" uniqueName="529" name="ee_has_paga_226_less_prems" queryTableFieldId="529" dataDxfId="189"/>
    <tableColumn id="530" xr3:uid="{E0F87833-0CD4-443E-842D-0010BF182692}" uniqueName="530" name="ee_has_paga_558_less_prems" queryTableFieldId="530" dataDxfId="188"/>
    <tableColumn id="531" xr3:uid="{4C7ADEDF-9DB8-41B5-8B3D-4AB971ABC7DB}" uniqueName="531" name="ee_has_paga_1197_1_less_prems" queryTableFieldId="531" dataDxfId="187"/>
    <tableColumn id="532" xr3:uid="{324BB483-DF5A-4BF4-A9C1-1BDAE8F528BB}" uniqueName="532" name="ee_has_paga_1174_less_prems" queryTableFieldId="532" dataDxfId="186"/>
    <tableColumn id="533" xr3:uid="{523EE005-E44B-40BF-B15E-297C25295664}" uniqueName="533" name="ee_has_paga_2802_less_prems" queryTableFieldId="533" dataDxfId="185"/>
    <tableColumn id="534" xr3:uid="{F651E94C-C4D2-4EAF-BF5C-776A2D0F6B44}" uniqueName="534" name="ee_has_paga_203_less_prems" queryTableFieldId="534" dataDxfId="184"/>
    <tableColumn id="535" xr3:uid="{C58D3C5E-BF52-415C-A38D-64BC01EA8552}" uniqueName="535" name="ee_has_paga_penalties_less_prems_w" queryTableFieldId="535" dataDxfId="183"/>
    <tableColumn id="536" xr3:uid="{6AB007E5-546B-4AAC-B5AE-22E37D6A0791}" uniqueName="536" name="ee_has_paga_meal_less_prems_w" queryTableFieldId="536" dataDxfId="182"/>
    <tableColumn id="537" xr3:uid="{6C1AE007-3B80-410D-8226-B3BC10668B6F}" uniqueName="537" name="ee_has_paga_rest_less_prems_w" queryTableFieldId="537" dataDxfId="181"/>
    <tableColumn id="538" xr3:uid="{AC90433A-7ECD-4052-96D8-8D22882B4D80}" uniqueName="538" name="ee_has_paga_rrop_less_prems_w" queryTableFieldId="538" dataDxfId="180"/>
    <tableColumn id="539" xr3:uid="{D4B8617F-93A0-4E07-90D8-26A0EE128468}" uniqueName="539" name="ee_has_paga_226_less_prems_w" queryTableFieldId="539" dataDxfId="179"/>
    <tableColumn id="540" xr3:uid="{20659F20-6BEF-458C-BA59-9A30EC545C6B}" uniqueName="540" name="ee_has_paga_558_less_prems_w" queryTableFieldId="540" dataDxfId="178"/>
    <tableColumn id="541" xr3:uid="{90906A0C-175D-4DE3-BFFB-14B1491437DA}" uniqueName="541" name="ee_has_paga_1197_1_less_prems_w" queryTableFieldId="541" dataDxfId="177"/>
    <tableColumn id="542" xr3:uid="{63A8B3D1-9D92-4D86-B7D0-D0D11043371B}" uniqueName="542" name="ee_has_paga_1174_less_prems_w" queryTableFieldId="542" dataDxfId="176"/>
    <tableColumn id="543" xr3:uid="{2754C434-476F-40B4-8DDA-180D3013CB3C}" uniqueName="543" name="ee_has_paga_2802_less_prems_w" queryTableFieldId="543" dataDxfId="175"/>
    <tableColumn id="544" xr3:uid="{653A0BD7-93D1-45FF-8E8E-5F27489DBD5B}" uniqueName="544" name="ee_has_paga_203_less_prems_w" queryTableFieldId="544" dataDxfId="174"/>
    <tableColumn id="545" xr3:uid="{EE7FE162-C29A-4F77-92B5-3186FB2F77CE}" uniqueName="545" name="ee_has_paga_penalties_less_credits" queryTableFieldId="545" dataDxfId="173"/>
    <tableColumn id="546" xr3:uid="{2008B124-0385-49F8-B4CC-9C59EE98D878}" uniqueName="546" name="ee_has_paga_meal_less_credits" queryTableFieldId="546" dataDxfId="172"/>
    <tableColumn id="547" xr3:uid="{4CAE5804-8E79-492E-9A84-9288EDB2953C}" uniqueName="547" name="ee_has_paga_rest_less_credits" queryTableFieldId="547" dataDxfId="171"/>
    <tableColumn id="548" xr3:uid="{8282675B-D9AC-423F-8EE1-26158FB3E7EE}" uniqueName="548" name="ee_has_paga_rrop_less_credits" queryTableFieldId="548" dataDxfId="170"/>
    <tableColumn id="549" xr3:uid="{6FBB52D6-ED7A-4E9E-86F0-CAF30A93C11D}" uniqueName="549" name="ee_has_paga_226_less_credits" queryTableFieldId="549" dataDxfId="169"/>
    <tableColumn id="550" xr3:uid="{91CC8AE7-935C-4F86-8003-E7E80C0E1B25}" uniqueName="550" name="ee_has_paga_558_less_credits" queryTableFieldId="550" dataDxfId="168"/>
    <tableColumn id="551" xr3:uid="{D59DA356-16CD-42FB-8B65-562CA65980D8}" uniqueName="551" name="ee_has_paga_1197_1_less_credits" queryTableFieldId="551" dataDxfId="167"/>
    <tableColumn id="552" xr3:uid="{B6C30391-3551-4BCB-B620-098DE97D0A7D}" uniqueName="552" name="ee_has_paga_1174_less_credits" queryTableFieldId="552" dataDxfId="166"/>
    <tableColumn id="553" xr3:uid="{82C1116F-B510-4D30-8162-D3BA12EEC4D5}" uniqueName="553" name="ee_has_paga_2802_less_credits" queryTableFieldId="553" dataDxfId="165"/>
    <tableColumn id="554" xr3:uid="{6258D6C3-241B-4C89-8377-F817178FECAA}" uniqueName="554" name="ee_has_paga_203_less_credits" queryTableFieldId="554" dataDxfId="164"/>
    <tableColumn id="555" xr3:uid="{957D18A1-1AD2-4BB6-8EAB-A000CB06E98F}" uniqueName="555" name="ee_has_paga_penalties_less_prems_and_credits" queryTableFieldId="555" dataDxfId="163"/>
    <tableColumn id="556" xr3:uid="{9D93ACEE-2028-4B54-88EF-F35C8B5D6305}" uniqueName="556" name="ee_has_paga_meal_less_prems_and_credits" queryTableFieldId="556" dataDxfId="162"/>
    <tableColumn id="557" xr3:uid="{0DB857B7-8F18-41FF-BCD9-91475114B1D0}" uniqueName="557" name="ee_has_paga_rest_less_prems_and_credits" queryTableFieldId="557" dataDxfId="161"/>
    <tableColumn id="558" xr3:uid="{73596404-4349-40F1-90E6-B9002C7068B4}" uniqueName="558" name="ee_has_paga_rrop_less_prems_and_credits" queryTableFieldId="558" dataDxfId="160"/>
    <tableColumn id="559" xr3:uid="{E82772D9-3971-4CB4-B982-2162130EE6A9}" uniqueName="559" name="ee_has_paga_226_less_prems_and_credits" queryTableFieldId="559" dataDxfId="159"/>
    <tableColumn id="560" xr3:uid="{6974F490-4B92-4457-BB05-0F89FC26D745}" uniqueName="560" name="ee_has_paga_558_less_prems_and_credits" queryTableFieldId="560" dataDxfId="158"/>
    <tableColumn id="561" xr3:uid="{9CDCDAF4-4FF2-4BA7-A411-38689CD14012}" uniqueName="561" name="ee_has_paga_1197_1_less_prems_and_credits" queryTableFieldId="561" dataDxfId="157"/>
    <tableColumn id="562" xr3:uid="{1852EFC1-1EC8-4C1C-95F7-F4C59A594311}" uniqueName="562" name="ee_has_paga_1174_less_prems_and_credits" queryTableFieldId="562" dataDxfId="156"/>
    <tableColumn id="563" xr3:uid="{AF4264C3-5A8B-474D-9F3E-F81193F57DE2}" uniqueName="563" name="ee_has_paga_2802_less_prems_and_credits" queryTableFieldId="563" dataDxfId="155"/>
    <tableColumn id="564" xr3:uid="{DFD5D870-28EC-4BD8-A67D-BEC7FBE720E0}" uniqueName="564" name="ee_has_paga_203_less_prems_and_credits" queryTableFieldId="564" dataDxfId="154"/>
    <tableColumn id="565" xr3:uid="{BAAF5C44-3944-49F3-9E0C-B7466C1C525B}" uniqueName="565" name="ee_has_paga_penalties_less_credits_w" queryTableFieldId="565" dataDxfId="153"/>
    <tableColumn id="566" xr3:uid="{B7135640-0CB2-455B-AF4A-F32403DC797B}" uniqueName="566" name="ee_has_paga_meal_less_credits_w" queryTableFieldId="566" dataDxfId="152"/>
    <tableColumn id="567" xr3:uid="{CC0C5B82-3B1A-418D-9636-CDC8E80AFCCA}" uniqueName="567" name="ee_has_paga_rest_less_credits_w" queryTableFieldId="567" dataDxfId="151"/>
    <tableColumn id="568" xr3:uid="{CF7C0C14-A1DB-4BA4-8787-78183B410EFE}" uniqueName="568" name="ee_has_paga_rrop_less_credits_w" queryTableFieldId="568" dataDxfId="150"/>
    <tableColumn id="569" xr3:uid="{B8C7CE01-E1E2-450F-8264-BFFF79A3A6F2}" uniqueName="569" name="ee_has_paga_226_less_credits_w" queryTableFieldId="569" dataDxfId="149"/>
    <tableColumn id="570" xr3:uid="{6A147B17-B90D-44F4-8AD4-0209763D236B}" uniqueName="570" name="ee_has_paga_558_less_credits_w" queryTableFieldId="570" dataDxfId="148"/>
    <tableColumn id="571" xr3:uid="{9F9C8864-6CB4-432A-97B2-D0395578DAC6}" uniqueName="571" name="ee_has_paga_1197_1_less_credits_w" queryTableFieldId="571" dataDxfId="147"/>
    <tableColumn id="572" xr3:uid="{623F0507-B2D7-47B9-BC13-546E707061E2}" uniqueName="572" name="ee_has_paga_1174_less_credits_w" queryTableFieldId="572" dataDxfId="146"/>
    <tableColumn id="573" xr3:uid="{6458585F-7E68-4CF2-81F5-413272076923}" uniqueName="573" name="ee_has_paga_2802_less_credits_w" queryTableFieldId="573" dataDxfId="145"/>
    <tableColumn id="574" xr3:uid="{AEC77BF2-3AAB-43DD-9D07-784CD8C42AB5}" uniqueName="574" name="ee_has_paga_203_less_credits_w" queryTableFieldId="574" dataDxfId="144"/>
    <tableColumn id="575" xr3:uid="{9503CCBB-4158-4E6C-BC7F-44A06B677545}" uniqueName="575" name="ee_has_paga_penalties_less_prems_and_credits_w" queryTableFieldId="575" dataDxfId="143"/>
    <tableColumn id="576" xr3:uid="{863B702C-CB83-4E1D-ADF5-D1C737F76CDD}" uniqueName="576" name="ee_has_paga_meal_less_prems_and_credits_w" queryTableFieldId="576" dataDxfId="142"/>
    <tableColumn id="577" xr3:uid="{5AF619A2-98F5-48E7-BCD5-B2E83C3BE833}" uniqueName="577" name="ee_has_paga_rest_less_prems_and_credits_w" queryTableFieldId="577" dataDxfId="141"/>
    <tableColumn id="578" xr3:uid="{C90F6106-54A6-4C7A-A74B-13AC5373D53B}" uniqueName="578" name="ee_has_paga_rrop_less_prems_and_credits_w" queryTableFieldId="578" dataDxfId="140"/>
    <tableColumn id="579" xr3:uid="{6317DAE6-AEC1-4014-B98D-0BC7761A50A5}" uniqueName="579" name="ee_has_paga_226_less_prems_and_credits_w" queryTableFieldId="579" dataDxfId="139"/>
    <tableColumn id="580" xr3:uid="{C68F14D3-D5BF-40A1-AB08-68D44071283C}" uniqueName="580" name="ee_has_paga_558_less_prems_and_credits_w" queryTableFieldId="580" dataDxfId="138"/>
    <tableColumn id="581" xr3:uid="{1784E5C4-93F1-4E41-865D-814124D91CF2}" uniqueName="581" name="ee_has_paga_1197_1_less_prems_and_credits_w" queryTableFieldId="581" dataDxfId="137"/>
    <tableColumn id="582" xr3:uid="{6F980183-8826-4A02-BCEA-CA1D3C65D0D3}" uniqueName="582" name="ee_has_paga_1174_less_prems_and_credits_w" queryTableFieldId="582" dataDxfId="136"/>
    <tableColumn id="583" xr3:uid="{1AF29629-2281-4A97-A725-8839B3D5F9F2}" uniqueName="583" name="ee_has_paga_2802_less_prems_and_credits_w" queryTableFieldId="583" dataDxfId="135"/>
    <tableColumn id="584" xr3:uid="{933813EA-0208-46A2-9BE1-DDC2B7C6DF8E}" uniqueName="584" name="ee_has_paga_203_less_prems_and_credits_w" queryTableFieldId="584" dataDxfId="134"/>
  </tableColumns>
  <tableStyleInfo name="TableStyleMedium6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54FE0A8-B912-46B8-8459-3CD4F09D89DB}" name="Employee_Data" displayName="Employee_Data" ref="A1:MK2" tableType="queryTable" insertRow="1" totalsRowShown="0">
  <autoFilter ref="A1:MK2" xr:uid="{B54FE0A8-B912-46B8-8459-3CD4F09D89DB}"/>
  <tableColumns count="349">
    <tableColumn id="1" xr3:uid="{12598850-8177-46A4-85A9-DD3AF9DFE7D8}" uniqueName="1" name="ID" queryTableFieldId="99"/>
    <tableColumn id="2" xr3:uid="{07A38F65-36F5-45D3-AF68-E66C6309BFA9}" uniqueName="2" name="Name" queryTableFieldId="100" dataDxfId="133"/>
    <tableColumn id="3" xr3:uid="{0F31D13B-6D81-413E-A537-D27301F137FB}" uniqueName="3" name="Pay_Name" queryTableFieldId="101" dataDxfId="132"/>
    <tableColumn id="4" xr3:uid="{89839FC2-3F51-4615-A962-D3EF1E030F72}" uniqueName="4" name="Source" queryTableFieldId="102" dataDxfId="131"/>
    <tableColumn id="5" xr3:uid="{AFAD30C5-79F6-47F8-80BE-1CED98A64D02}" uniqueName="5" name="Pay_Source" queryTableFieldId="103" dataDxfId="130"/>
    <tableColumn id="6" xr3:uid="{19F63E0C-8269-46EC-AD9F-164C0E7EBFED}" uniqueName="6" name="Sheet" queryTableFieldId="104" dataDxfId="129"/>
    <tableColumn id="7" xr3:uid="{62225B1C-10C9-4F09-81B3-7AC81CA3A6C6}" uniqueName="7" name="Key_Gps" queryTableFieldId="105" dataDxfId="128"/>
    <tableColumn id="8" xr3:uid="{C590F78D-130E-4B70-976A-0E49448CDABB}" uniqueName="8" name="active" queryTableFieldId="106"/>
    <tableColumn id="9" xr3:uid="{5FE5089F-9DD7-4833-9190-C0273AAA6D0D}" uniqueName="9" name="shift" queryTableFieldId="107"/>
    <tableColumn id="10" xr3:uid="{2A7E95C0-EA64-4320-A300-DA710FE3BE37}" uniqueName="10" name="mp" queryTableFieldId="108"/>
    <tableColumn id="11" xr3:uid="{5EC2D86E-45D5-42C0-9B7E-85B1D91859AC}" uniqueName="11" name="mp_lt_twenty" queryTableFieldId="109"/>
    <tableColumn id="12" xr3:uid="{1F4500B2-E5BE-4024-9476-60EF12EBBE11}" uniqueName="12" name="mp_lt_thirty" queryTableFieldId="110"/>
    <tableColumn id="13" xr3:uid="{A02AE805-958B-455A-A259-4E2F72CFC8E4}" uniqueName="13" name="mp_thirty" queryTableFieldId="111"/>
    <tableColumn id="14" xr3:uid="{76978002-6B2E-41E7-A25A-101FC7A1C546}" uniqueName="14" name="mp_gt_thirty" queryTableFieldId="112"/>
    <tableColumn id="15" xr3:uid="{6243737C-1BF1-47BC-9E09-60CEFC7E6EA2}" uniqueName="15" name="mp_gt_two_hrs" queryTableFieldId="113"/>
    <tableColumn id="16" xr3:uid="{0C28CE4B-DA41-4E36-B8B9-BC345C0E49EF}" uniqueName="16" name="mp_gt_four_hrs" queryTableFieldId="114"/>
    <tableColumn id="17" xr3:uid="{E54EE04C-7028-4C44-B696-D6182D60D1B9}" uniqueName="17" name="MissMP1" queryTableFieldId="115"/>
    <tableColumn id="18" xr3:uid="{BE37DB8E-68E9-4160-AB3A-CF19F4A53BCA}" uniqueName="18" name="LateMP1" queryTableFieldId="116"/>
    <tableColumn id="19" xr3:uid="{87AF8FA8-365D-49F2-910B-B8DA4795CBA2}" uniqueName="19" name="ShortMP1" queryTableFieldId="117"/>
    <tableColumn id="20" xr3:uid="{DD655157-2581-4ADD-B8DF-503851064DDE}" uniqueName="20" name="MissMP2" queryTableFieldId="118"/>
    <tableColumn id="21" xr3:uid="{ABE4E5DB-C2D5-4B42-B170-C31946C9598D}" uniqueName="21" name="LateMP2" queryTableFieldId="119"/>
    <tableColumn id="22" xr3:uid="{411D92A5-A6F3-44B0-A970-571A7C827523}" uniqueName="22" name="ShortMP2" queryTableFieldId="120"/>
    <tableColumn id="23" xr3:uid="{799DAF49-D0A6-4C8A-B0A5-CB0512FD7823}" uniqueName="23" name="mp1_violation" queryTableFieldId="121"/>
    <tableColumn id="24" xr3:uid="{7AA76502-6DBC-42C6-A313-2024401A4D09}" uniqueName="24" name="mp2_violation" queryTableFieldId="122"/>
    <tableColumn id="25" xr3:uid="{457B8FAD-602E-4A03-A020-6EFFE9F4C945}" uniqueName="25" name="MissMP1_w" queryTableFieldId="123"/>
    <tableColumn id="26" xr3:uid="{F59AD0B1-0089-432A-80BC-FEB52FD84A42}" uniqueName="26" name="LateMP1_w" queryTableFieldId="124"/>
    <tableColumn id="27" xr3:uid="{E1CCA2E3-25D6-47A8-BEA5-08A768D81888}" uniqueName="27" name="ShortMP1_w" queryTableFieldId="125"/>
    <tableColumn id="28" xr3:uid="{C3D9EAEE-AF1D-423B-AFC3-AF23E5661716}" uniqueName="28" name="MissMP2_w" queryTableFieldId="126"/>
    <tableColumn id="29" xr3:uid="{E6CB1774-42E3-4401-A34B-B4296EC8FCE9}" uniqueName="29" name="LateMP2_w" queryTableFieldId="127"/>
    <tableColumn id="30" xr3:uid="{26AB02A0-7606-4EB7-9E08-AEEEBE043023}" uniqueName="30" name="ShortMP2_w" queryTableFieldId="128"/>
    <tableColumn id="31" xr3:uid="{1D480ABD-6EA1-46D4-A04E-4825D88328FC}" uniqueName="31" name="mp1_violation_w" queryTableFieldId="129"/>
    <tableColumn id="32" xr3:uid="{9C61CDB9-0420-483F-BF04-A12A8778B4AC}" uniqueName="32" name="mp2_violation_w" queryTableFieldId="130"/>
    <tableColumn id="33" xr3:uid="{070953EE-14C9-4A77-B13D-9FDC55B0966D}" uniqueName="33" name="mpv_per_pp" queryTableFieldId="131"/>
    <tableColumn id="34" xr3:uid="{3AA7D4BA-101A-49D7-AE70-E0587A5A1B7E}" uniqueName="34" name="mpv_per_pp_w" queryTableFieldId="132"/>
    <tableColumn id="35" xr3:uid="{E481A7C5-CBF5-4494-AE38-2D550C632EDE}" uniqueName="35" name="rpv_per_pp" queryTableFieldId="133"/>
    <tableColumn id="36" xr3:uid="{FE7C1E9F-086E-48ED-8F06-8AD50B49B660}" uniqueName="36" name="mpv_shift_less_prems" queryTableFieldId="134"/>
    <tableColumn id="37" xr3:uid="{8B65AFC1-F6D5-4319-9963-D395BD3895CA}" uniqueName="37" name="mpv_shift_less_prems_w" queryTableFieldId="135"/>
    <tableColumn id="38" xr3:uid="{370EBD2D-A7F0-488E-B329-B32A5BCE03F2}" uniqueName="38" name="rpv_shift_less_prems" queryTableFieldId="136"/>
    <tableColumn id="39" xr3:uid="{C1AE364F-826F-4415-ACB1-EE322FB34D73}" uniqueName="39" name="mpv_per_pp_less_prems" queryTableFieldId="137"/>
    <tableColumn id="40" xr3:uid="{61636CB4-25BE-4A20-AF74-31C5B90ACED0}" uniqueName="40" name="mpv_per_pp_less_prems_w" queryTableFieldId="138"/>
    <tableColumn id="41" xr3:uid="{D0C46AF6-8B60-491C-AA4F-AD76394B97E9}" uniqueName="41" name="rpv_per_pp_less_prems" queryTableFieldId="139"/>
    <tableColumn id="42" xr3:uid="{02775E38-12EA-49FA-A11A-A27A18227ACF}" uniqueName="42" name="mp_dmgs" queryTableFieldId="140"/>
    <tableColumn id="43" xr3:uid="{71377A4A-F13A-41E5-8CEB-1DE4E55F7C39}" uniqueName="43" name="mp_dmgs_w" queryTableFieldId="141"/>
    <tableColumn id="44" xr3:uid="{57272EB3-A934-475E-9A33-7712626676A8}" uniqueName="44" name="mp_dmgs_less_prems" queryTableFieldId="142"/>
    <tableColumn id="45" xr3:uid="{97508A6F-DAAB-41F4-94D9-57A3788F200F}" uniqueName="45" name="mp_dmgs_less_prems_w" queryTableFieldId="143"/>
    <tableColumn id="46" xr3:uid="{B665B915-8385-4219-8012-9E8612FBF0BD}" uniqueName="46" name="rp_dmgs" queryTableFieldId="144"/>
    <tableColumn id="47" xr3:uid="{B3C4B48D-C67F-43EC-9FFD-BF4A3C768076}" uniqueName="47" name="rp_dmgs_less_prems" queryTableFieldId="145"/>
    <tableColumn id="48" xr3:uid="{B8E3E510-D880-4B21-895F-A30C70613555}" uniqueName="48" name="rrop_by_code_underpayment" queryTableFieldId="146"/>
    <tableColumn id="49" xr3:uid="{D8B29483-A804-4926-8C69-4EE9B882A076}" uniqueName="49" name="Wage_Diff" queryTableFieldId="147"/>
    <tableColumn id="50" xr3:uid="{D47B59D2-992D-48FC-AD7C-56CF80D08E96}" uniqueName="50" name="OT_Diff" queryTableFieldId="148"/>
    <tableColumn id="51" xr3:uid="{6EC0C217-F02F-43A8-BD87-2DF12C089A38}" uniqueName="51" name="DT_Diff" queryTableFieldId="149"/>
    <tableColumn id="52" xr3:uid="{C9C7E207-5C48-4A89-A1DC-78DDC412CAB0}" uniqueName="52" name="Meal_Diff" queryTableFieldId="150"/>
    <tableColumn id="53" xr3:uid="{B3F45927-8140-48C4-B8D6-44CAC134BE7D}" uniqueName="53" name="Rest_Diff" queryTableFieldId="151"/>
    <tableColumn id="54" xr3:uid="{FE0A4370-1D58-46ED-8B6F-E1A089E9FFA9}" uniqueName="54" name="Sick_Diff" queryTableFieldId="152"/>
    <tableColumn id="55" xr3:uid="{758317C7-BBF1-4BCB-9582-96D03FBE40A0}" uniqueName="55" name="OT_Overpayment" queryTableFieldId="153"/>
    <tableColumn id="56" xr3:uid="{0B80341D-AB32-4B33-BBEB-C74D235FB792}" uniqueName="56" name="DT_Overpayment" queryTableFieldId="154"/>
    <tableColumn id="57" xr3:uid="{AEDA0802-2DEF-4CDC-B3C4-B6A015CF7E84}" uniqueName="57" name="Meal_Overpayment" queryTableFieldId="155"/>
    <tableColumn id="58" xr3:uid="{EF65D28A-1951-4EBA-BA76-5D973F5084CD}" uniqueName="58" name="Rest_Overpayment" queryTableFieldId="156"/>
    <tableColumn id="59" xr3:uid="{909449DB-FCE4-4D8E-AE1C-51245169A39B}" uniqueName="59" name="Sick_Overpayment" queryTableFieldId="157"/>
    <tableColumn id="60" xr3:uid="{539746CA-C514-4C15-9C89-F8F473A92A6E}" uniqueName="60" name="OT_rrop_dmgs" queryTableFieldId="158"/>
    <tableColumn id="61" xr3:uid="{3F402BDF-4088-4B56-8FF0-6211DA4A86E1}" uniqueName="61" name="DT_rrop_dmgs" queryTableFieldId="159"/>
    <tableColumn id="62" xr3:uid="{0E4C38FE-C069-48A6-96F7-5517F6EE1ECB}" uniqueName="62" name="Meal_rrop_dmgs" queryTableFieldId="160"/>
    <tableColumn id="63" xr3:uid="{F1C6CE95-FBA0-46E1-BE0B-BCC2E3DF4D24}" uniqueName="63" name="Rest_rrop_dmgs" queryTableFieldId="161"/>
    <tableColumn id="64" xr3:uid="{A2D5B8CA-CA55-4F19-A118-9AC3C7C1E053}" uniqueName="64" name="Sick_rrop_dmgs" queryTableFieldId="162"/>
    <tableColumn id="65" xr3:uid="{FD8C9448-489C-49A8-9ECD-0B9A385E6743}" uniqueName="65" name="Gross_Overpayment" queryTableFieldId="163"/>
    <tableColumn id="66" xr3:uid="{6F4DC846-6F89-4327-8A7A-C278EFD03989}" uniqueName="66" name="Gross_rrop_dmgs" queryTableFieldId="164"/>
    <tableColumn id="67" xr3:uid="{B75E6C31-FF93-4E25-B239-ADC96BC237E6}" uniqueName="67" name="Net_Overpayment" queryTableFieldId="165"/>
    <tableColumn id="68" xr3:uid="{071C804D-833A-4BC1-9E60-FCCFCEE1F42F}" uniqueName="68" name="Net_rrop_dmgs" queryTableFieldId="166"/>
    <tableColumn id="69" xr3:uid="{BDFC5DF6-9291-4914-A4E5-69A08A2423C0}" uniqueName="69" name="rrop_any_underpayment" queryTableFieldId="167"/>
    <tableColumn id="70" xr3:uid="{05F7FA45-BEFF-4902-8451-C4C89A8785F4}" uniqueName="70" name="rrop_net_underpayment" queryTableFieldId="168"/>
    <tableColumn id="71" xr3:uid="{D25F8103-32BF-44D8-BE35-B425ECB42A48}" uniqueName="71" name="otc_dmgs" queryTableFieldId="169"/>
    <tableColumn id="72" xr3:uid="{F7AB84CE-46BB-4430-A4A8-B6AABCCA6011}" uniqueName="72" name="unreimb_exp_dmgs" queryTableFieldId="170"/>
    <tableColumn id="73" xr3:uid="{AD275F7C-E0FA-4BDA-A44C-28C422FCDC05}" uniqueName="73" name="clock_rounding_dmgs" queryTableFieldId="171"/>
    <tableColumn id="74" xr3:uid="{43140488-CC51-4B9F-92AD-793BAB574D86}" uniqueName="74" name="unpaid_ot_dmgs" queryTableFieldId="172"/>
    <tableColumn id="75" xr3:uid="{513F25F6-40B5-4153-ABDE-8D3372142E2E}" uniqueName="75" name="min_wage_dmgs" queryTableFieldId="173"/>
    <tableColumn id="76" xr3:uid="{287A85FC-26E4-46BB-BEA0-8340805E85AD}" uniqueName="76" name="tot_principal_dmgs" queryTableFieldId="174"/>
    <tableColumn id="77" xr3:uid="{394DED97-480F-4DE7-8DA8-C67E7442A829}" uniqueName="77" name="tot_principal_dmgs_less_prems" queryTableFieldId="175"/>
    <tableColumn id="78" xr3:uid="{4E441799-0546-40A8-B35E-9EE11465E948}" uniqueName="78" name="tot_principal_dmgs_w" queryTableFieldId="176"/>
    <tableColumn id="79" xr3:uid="{4F3B350F-B5BD-41D0-B034-4E3B2249F31A}" uniqueName="79" name="tot_principal_dmgs_less_prems_w" queryTableFieldId="177"/>
    <tableColumn id="80" xr3:uid="{93F83B74-8A05-44BD-B984-5AD2FBB5BE77}" uniqueName="80" name="Credit_Amount" queryTableFieldId="178"/>
    <tableColumn id="81" xr3:uid="{CB16556F-52F4-4BEF-8B8C-89F94EEB7C69}" uniqueName="81" name="tot_principal_dmgs_less_credits" queryTableFieldId="179"/>
    <tableColumn id="82" xr3:uid="{A32F861C-7731-456A-AA21-961965773146}" uniqueName="82" name="tot_principal_dmgs_less_prems_and_credits" queryTableFieldId="180"/>
    <tableColumn id="83" xr3:uid="{B2BA90D3-2A4A-43BA-BB6E-4925F5B6205E}" uniqueName="83" name="tot_principal_dmgs_less_credits_w" queryTableFieldId="181"/>
    <tableColumn id="84" xr3:uid="{771782E9-3C7B-4CDC-BC97-E8C033F22C78}" uniqueName="84" name="tot_principal_dmgs_less_prems_and_credits_w" queryTableFieldId="182"/>
    <tableColumn id="85" xr3:uid="{7371AF2D-712B-4FF2-9537-92264ADEFBE2}" uniqueName="85" name="has_dmgs" queryTableFieldId="183"/>
    <tableColumn id="86" xr3:uid="{B1661A8E-8F3E-4161-AA8A-95960CC70F20}" uniqueName="86" name="has_dmgs_less_prems" queryTableFieldId="184"/>
    <tableColumn id="87" xr3:uid="{B1D36E39-9E83-4762-AB28-029CECFFA727}" uniqueName="87" name="has_dmgs_w" queryTableFieldId="185"/>
    <tableColumn id="88" xr3:uid="{E1294521-2221-4C2C-B357-734130BD3FEA}" uniqueName="88" name="has_dmgs_less_prems_w" queryTableFieldId="186"/>
    <tableColumn id="89" xr3:uid="{0BEAF210-9C5D-4BDA-839F-D301E9DDC41E}" uniqueName="89" name="has_dmgs_less_credits" queryTableFieldId="187"/>
    <tableColumn id="90" xr3:uid="{81394505-7E9A-4A7C-952F-9E81715A5566}" uniqueName="90" name="has_dmgs_less_prems_and_credits" queryTableFieldId="188"/>
    <tableColumn id="91" xr3:uid="{9095B754-D4B9-41AE-8E56-E303B2AC523A}" uniqueName="91" name="has_dmgs_less_credits_w" queryTableFieldId="189"/>
    <tableColumn id="92" xr3:uid="{415AFD5F-A0EB-495E-9DC3-6ECD54409C8D}" uniqueName="92" name="has_dmgs_less_prems_and_credits_w" queryTableFieldId="190"/>
    <tableColumn id="93" xr3:uid="{B462347F-3E79-4DB0-B713-FED6B2006EB0}" uniqueName="93" name="has_wsv_penalties" queryTableFieldId="191"/>
    <tableColumn id="94" xr3:uid="{16C8DD06-6882-4A56-ACBD-3F2FF6CF6FCA}" uniqueName="94" name="has_wsv_penalties_less_prems" queryTableFieldId="192"/>
    <tableColumn id="95" xr3:uid="{7E066DAC-EDBA-4D1F-989F-E62B003343D6}" uniqueName="95" name="has_wsv_penalties_w" queryTableFieldId="193"/>
    <tableColumn id="96" xr3:uid="{8F707778-B27D-48E3-9647-30DEDD302CF6}" uniqueName="96" name="has_wsv_penalties_less_prems_w" queryTableFieldId="194"/>
    <tableColumn id="97" xr3:uid="{74702610-28D1-4E94-A89C-F988E1F51C7D}" uniqueName="97" name="has_wsv_penalties_less_credits" queryTableFieldId="195"/>
    <tableColumn id="98" xr3:uid="{87EE4A95-0EA6-4906-8CD3-865ABD8EAC99}" uniqueName="98" name="has_wsv_penalties_less_prems_and_credits" queryTableFieldId="196"/>
    <tableColumn id="99" xr3:uid="{612CE0DB-AB9D-428A-9BA8-E97AAFFE4F59}" uniqueName="99" name="has_wsv_penalties_less_credits_w" queryTableFieldId="197"/>
    <tableColumn id="100" xr3:uid="{42F7B630-6054-4C84-A7C6-C2990B08A2AD}" uniqueName="100" name="has_wsv_penalties_less_prems_and_credits_w" queryTableFieldId="198"/>
    <tableColumn id="101" xr3:uid="{3E35CFFC-368C-4C1B-BE2F-3DC662CA7422}" uniqueName="101" name="has_wt_penalties" queryTableFieldId="199"/>
    <tableColumn id="102" xr3:uid="{B3D740E8-5915-4226-B1E8-89C9801FD9DE}" uniqueName="102" name="has_wt_penalties_less_prems" queryTableFieldId="200"/>
    <tableColumn id="103" xr3:uid="{84EE88B4-590E-4397-BC57-7794F9C81340}" uniqueName="103" name="has_wt_penalties_w" queryTableFieldId="201"/>
    <tableColumn id="104" xr3:uid="{46F23034-3182-4751-BBEC-800851632FDD}" uniqueName="104" name="has_wt_penalties_less_prems_w" queryTableFieldId="202"/>
    <tableColumn id="105" xr3:uid="{1F5BAC8F-BB48-4CB8-B4F2-1E26690A2ED6}" uniqueName="105" name="has_wt_penalties_less_credits" queryTableFieldId="203"/>
    <tableColumn id="106" xr3:uid="{59383678-FB1B-4E07-98BD-0717EB936E05}" uniqueName="106" name="has_wt_penalties_less_prems_and_credits" queryTableFieldId="204"/>
    <tableColumn id="107" xr3:uid="{97766D14-947D-492A-A26C-C9EA2CD016D1}" uniqueName="107" name="has_wt_penalties_less_credits_w" queryTableFieldId="205"/>
    <tableColumn id="108" xr3:uid="{B0588D7D-D944-4AC1-9FED-0759E30CF4EA}" uniqueName="108" name="has_wt_penalties_less_prems_and_credits_w" queryTableFieldId="206"/>
    <tableColumn id="109" xr3:uid="{BDBD47B7-7BE3-474E-B74F-021443B12FB2}" uniqueName="109" name="PAGA_meal_flag" queryTableFieldId="207"/>
    <tableColumn id="110" xr3:uid="{6DD3F351-86ED-40F5-B6C6-EF053B1E6338}" uniqueName="110" name="PAGA_rest_flag" queryTableFieldId="208"/>
    <tableColumn id="111" xr3:uid="{E0570CE9-65F1-48A0-B4BB-9E7E47109DDC}" uniqueName="111" name="PAGA_rrop_flag" queryTableFieldId="209"/>
    <tableColumn id="112" xr3:uid="{ADECC285-7D7E-43EB-B998-D87564E92CB8}" uniqueName="112" name="PAGA_226_flag" queryTableFieldId="210"/>
    <tableColumn id="113" xr3:uid="{274C4550-DECC-416E-820F-1A81F3ADD270}" uniqueName="113" name="PAGA_558_flag" queryTableFieldId="211"/>
    <tableColumn id="114" xr3:uid="{6A45016E-EFB0-4C07-B388-BA370E825A6D}" uniqueName="114" name="PAGA_1197_1_flag" queryTableFieldId="212"/>
    <tableColumn id="115" xr3:uid="{AE4D8D75-D7EB-4075-ACC2-7628359FC6CF}" uniqueName="115" name="PAGA_2802_flag" queryTableFieldId="213"/>
    <tableColumn id="116" xr3:uid="{DB3A2A6C-61E2-470A-848E-41C874E42689}" uniqueName="116" name="PAGA_meal_flag_w" queryTableFieldId="214"/>
    <tableColumn id="117" xr3:uid="{693BA4ED-7F61-4334-9C4F-3F3D3C270A82}" uniqueName="117" name="PAGA_226_flag_w" queryTableFieldId="215"/>
    <tableColumn id="118" xr3:uid="{B06E5921-65E0-4ADA-AC3D-2158A3A54708}" uniqueName="118" name="PAGA_558_flag_w" queryTableFieldId="216"/>
    <tableColumn id="119" xr3:uid="{D4E1B2EB-B917-4724-90CD-5DFFB57333AC}" uniqueName="119" name="PAGA_meal_flag_less_prems" queryTableFieldId="217"/>
    <tableColumn id="120" xr3:uid="{9608702B-C7C8-4CB1-945C-BF66E4F0F285}" uniqueName="120" name="PAGA_rest_flag_less_prems" queryTableFieldId="218"/>
    <tableColumn id="121" xr3:uid="{514B8516-502D-453F-A924-AAC6967581C1}" uniqueName="121" name="PAGA_226_flag_less_prems" queryTableFieldId="219"/>
    <tableColumn id="122" xr3:uid="{F420B8F9-DA5D-46A2-A364-F32AA80D5020}" uniqueName="122" name="PAGA_558_flag_less_prems" queryTableFieldId="220"/>
    <tableColumn id="123" xr3:uid="{7C078DE9-8CE9-4BF4-AB6E-47A8E4659F14}" uniqueName="123" name="PAGA_meal_flag_less_prems_w" queryTableFieldId="221"/>
    <tableColumn id="124" xr3:uid="{42263D9E-17C8-41A4-8C4A-73C334676560}" uniqueName="124" name="PAGA_226_flag_less_prems_w" queryTableFieldId="222"/>
    <tableColumn id="125" xr3:uid="{0AA254DB-C269-426F-84D6-90333C9192AD}" uniqueName="125" name="PAGA_558_flag_less_prems_w" queryTableFieldId="223"/>
    <tableColumn id="126" xr3:uid="{2A700C85-AB20-4D93-BE37-A0F8830DB3F0}" uniqueName="126" name="PAGA_meal_flag_less_credits" queryTableFieldId="224"/>
    <tableColumn id="127" xr3:uid="{633A65E8-818D-4AE5-BF5B-E8F5B00EB191}" uniqueName="127" name="PAGA_rest_flag_less_credits" queryTableFieldId="225"/>
    <tableColumn id="128" xr3:uid="{BC420097-E4C2-45E5-A104-320EC6251709}" uniqueName="128" name="PAGA_rrop_flag_less_credits" queryTableFieldId="226"/>
    <tableColumn id="129" xr3:uid="{BEF5D2BB-BC43-4094-92CC-76A80B9BFA96}" uniqueName="129" name="PAGA_226_flag_less_credits" queryTableFieldId="227"/>
    <tableColumn id="130" xr3:uid="{1B528F70-5E2A-48D2-B558-E248B85B197A}" uniqueName="130" name="PAGA_558_flag_less_credits" queryTableFieldId="228"/>
    <tableColumn id="131" xr3:uid="{12FE760C-B6E9-4F0A-8F5D-1A654CC5A77A}" uniqueName="131" name="PAGA_1197_1_flag_less_credits" queryTableFieldId="229"/>
    <tableColumn id="132" xr3:uid="{B2273D3D-80A1-45B7-8F30-282650618C89}" uniqueName="132" name="PAGA_2802_flag_less_credits" queryTableFieldId="230"/>
    <tableColumn id="133" xr3:uid="{9EF31508-48AF-494D-9C1B-899C1E2E0E16}" uniqueName="133" name="PAGA_meal_flag_less_prems_and_credits" queryTableFieldId="231"/>
    <tableColumn id="134" xr3:uid="{C1DB39D1-D2FA-4ACD-8A6B-35928D73D1C6}" uniqueName="134" name="PAGA_rest_flag_less_prems_and_credits" queryTableFieldId="232"/>
    <tableColumn id="135" xr3:uid="{7EE443B8-09BD-46BE-B3DA-BDF790ED18F6}" uniqueName="135" name="PAGA_rrop_flag_less_prems_and_credits" queryTableFieldId="233"/>
    <tableColumn id="136" xr3:uid="{E56A9C13-FF69-4C5C-AAFA-989096701C8E}" uniqueName="136" name="PAGA_226_flag_less_prems_and_credits" queryTableFieldId="234"/>
    <tableColumn id="137" xr3:uid="{0CD1A3F3-0DB1-4D2B-A63C-D03A6D9A902E}" uniqueName="137" name="PAGA_558_flag_less_prems_and_credits" queryTableFieldId="235"/>
    <tableColumn id="138" xr3:uid="{6FABFA75-7F23-4D8F-B806-1919FAF58135}" uniqueName="138" name="PAGA_1197_1_flag_less_prems_and_credits" queryTableFieldId="236"/>
    <tableColumn id="139" xr3:uid="{61F21C8E-050F-4EB1-9606-BE8231EE00DE}" uniqueName="139" name="PAGA_2802_flag_less_prems_and_credits" queryTableFieldId="237"/>
    <tableColumn id="140" xr3:uid="{CDE48BAB-20DA-4095-9BC4-344B7BD3D0A6}" uniqueName="140" name="PAGA_meal_flag_less_credits_w" queryTableFieldId="238"/>
    <tableColumn id="141" xr3:uid="{83E8B8D8-DAAE-47B6-BA95-D647DDD2C83F}" uniqueName="141" name="PAGA_rest_flag_less_credits_w" queryTableFieldId="239"/>
    <tableColumn id="142" xr3:uid="{F93A847E-D89F-495C-872A-67AA65CC6097}" uniqueName="142" name="PAGA_rrop_flag_less_credits_w" queryTableFieldId="240"/>
    <tableColumn id="143" xr3:uid="{FFC8A6A8-5C0A-40EA-8279-6A60631F2BBF}" uniqueName="143" name="PAGA_226_flag_less_credits_w" queryTableFieldId="241"/>
    <tableColumn id="144" xr3:uid="{520AC5A3-0F3B-47A6-86DF-89E8115F7F0A}" uniqueName="144" name="PAGA_558_flag_less_credits_w" queryTableFieldId="242"/>
    <tableColumn id="145" xr3:uid="{003F423E-9DDE-4D20-B966-4AF99C2ECFE1}" uniqueName="145" name="PAGA_1197_1_flag_less_credits_w" queryTableFieldId="243"/>
    <tableColumn id="146" xr3:uid="{E89D4984-C044-4C8F-BFAB-2D82A7E0FC47}" uniqueName="146" name="PAGA_2802_flag_less_credits_w" queryTableFieldId="244"/>
    <tableColumn id="147" xr3:uid="{96B7B90B-D90B-4061-9257-CC18A8BBBF9B}" uniqueName="147" name="PAGA_meal_flag_less_prems_and_credits_w" queryTableFieldId="245"/>
    <tableColumn id="148" xr3:uid="{E445546D-1FFB-4C62-B6E2-27D979F31206}" uniqueName="148" name="PAGA_rest_flag_less_prems_and_credits_w" queryTableFieldId="246"/>
    <tableColumn id="149" xr3:uid="{1F093A6E-9A39-4C0A-BC5E-4F127C2E57C4}" uniqueName="149" name="PAGA_rrop_flag_less_prems_and_credits_w" queryTableFieldId="247"/>
    <tableColumn id="150" xr3:uid="{F9AB0FAF-BB96-4E64-AA42-50AA1FF338FB}" uniqueName="150" name="PAGA_226_flag_less_prems_and_credits_w" queryTableFieldId="248"/>
    <tableColumn id="151" xr3:uid="{8BB2F053-A33F-47BD-BC72-3CAC3F21E210}" uniqueName="151" name="PAGA_558_flag_less_prems_and_credits_w" queryTableFieldId="249"/>
    <tableColumn id="152" xr3:uid="{853F6EDA-B2BE-49E4-B0E1-D3D20B3392F9}" uniqueName="152" name="PAGA_1197_1_flag_less_prems_and_credits_w" queryTableFieldId="250"/>
    <tableColumn id="153" xr3:uid="{DE05D929-A840-41C5-8EF6-893694FBABF0}" uniqueName="153" name="PAGA_2802_flag_less_prems_and_credits_w" queryTableFieldId="251"/>
    <tableColumn id="154" xr3:uid="{38C6DB82-E933-4DBD-9EB5-6DBB458AFF42}" uniqueName="154" name="interest" queryTableFieldId="252"/>
    <tableColumn id="155" xr3:uid="{B6E010D1-3FC0-4934-A1D4-D92DA2D9D7A1}" uniqueName="155" name="interest_less_prems" queryTableFieldId="253"/>
    <tableColumn id="156" xr3:uid="{A257888C-3DC8-4459-8545-DBC2E7029C4A}" uniqueName="156" name="interest_w" queryTableFieldId="254"/>
    <tableColumn id="157" xr3:uid="{AC404D72-C0C1-4AE4-92EF-ABB9B03F2B06}" uniqueName="157" name="interest_less_prems_w" queryTableFieldId="255"/>
    <tableColumn id="158" xr3:uid="{02818C84-6A55-4ACC-A39D-339195390AD9}" uniqueName="158" name="interest_less_credits" queryTableFieldId="256"/>
    <tableColumn id="159" xr3:uid="{13F2CABE-49A2-47C8-9603-05C66B2DEC4A}" uniqueName="159" name="interest_less_prems_and_credits" queryTableFieldId="257"/>
    <tableColumn id="160" xr3:uid="{7BC3D54D-D3DE-46F0-ADDC-FCE2CC085418}" uniqueName="160" name="interest_less_credits_w" queryTableFieldId="258"/>
    <tableColumn id="161" xr3:uid="{0B90143A-8ECA-4CD8-98D8-F8BD8436CAD5}" uniqueName="161" name="interest_less_prems_and_credits_w" queryTableFieldId="259"/>
    <tableColumn id="162" xr3:uid="{1C8A0E75-4DB0-45B5-A362-F4AF4B19D80B}" uniqueName="162" name="tot_dmgs" queryTableFieldId="260"/>
    <tableColumn id="163" xr3:uid="{E4750480-BE1D-47FA-B0EF-D9EADD7AC942}" uniqueName="163" name="tot_dmgs_less_prems" queryTableFieldId="261"/>
    <tableColumn id="164" xr3:uid="{51446739-0F20-4385-9A26-EFDCE4CFD899}" uniqueName="164" name="tot_dmgs_w" queryTableFieldId="262"/>
    <tableColumn id="165" xr3:uid="{A392783C-0683-48D6-96C1-868D995A648B}" uniqueName="165" name="tot_dmgs_less_prems_w" queryTableFieldId="263"/>
    <tableColumn id="166" xr3:uid="{1F51231D-8C9B-4FA6-9453-5C961C9DF2CA}" uniqueName="166" name="tot_dmgs_less_credits" queryTableFieldId="264"/>
    <tableColumn id="167" xr3:uid="{4F4C0F72-2252-4F57-83BC-50851FC8F15F}" uniqueName="167" name="tot_dmgs_less_prems_and_credits" queryTableFieldId="265"/>
    <tableColumn id="168" xr3:uid="{7ABB2AE2-E2FE-4E70-BDC4-651929EE8085}" uniqueName="168" name="tot_dmgs_less_credits_w" queryTableFieldId="266"/>
    <tableColumn id="169" xr3:uid="{AC2DB2BE-A3FC-4565-8142-9464D8D6FFB5}" uniqueName="169" name="tot_dmgs_less_prems_and_credits_w" queryTableFieldId="267"/>
    <tableColumn id="170" xr3:uid="{7AAFB6F2-4B5E-41A0-A976-624A2919B6F6}" uniqueName="170" name="tot_dmgs_w_penalties" queryTableFieldId="268"/>
    <tableColumn id="171" xr3:uid="{A998BB34-F6D7-4948-BA7F-E94DA4749C13}" uniqueName="171" name="tot_dmgs_w_penalties_less_prems" queryTableFieldId="269"/>
    <tableColumn id="172" xr3:uid="{C634911F-50ED-433D-B035-EBD1B11E0310}" uniqueName="172" name="tot_dmgs_w_penalties_w" queryTableFieldId="270"/>
    <tableColumn id="173" xr3:uid="{98F22071-BF02-456A-B340-44A0DF088696}" uniqueName="173" name="tot_dmgs_w_penalties_less_prems_w" queryTableFieldId="271"/>
    <tableColumn id="174" xr3:uid="{C0617A09-FD2B-4880-83B9-3BA4E7474458}" uniqueName="174" name="tot_dmgs_w_penalties_less_credits" queryTableFieldId="272"/>
    <tableColumn id="175" xr3:uid="{578137B1-EC87-460A-859A-7BAC8AA0B74A}" uniqueName="175" name="tot_dmgs_w_penalties_less_prems_and_credits" queryTableFieldId="273"/>
    <tableColumn id="176" xr3:uid="{9409B9DA-BD66-4C87-82E3-4A1B8C444B84}" uniqueName="176" name="tot_dmgs_w_penalties_less_credits_w" queryTableFieldId="274"/>
    <tableColumn id="177" xr3:uid="{C0359E75-4138-480F-9079-3DDB6C31224E}" uniqueName="177" name="tot_dmgs_w_penalties_less_prems_and_credits_w" queryTableFieldId="275"/>
    <tableColumn id="178" xr3:uid="{5C487B5F-E3E5-44CB-A805-DF6A327A1BE3}" uniqueName="178" name="Pay_Date" queryTableFieldId="276" dataDxfId="127"/>
    <tableColumn id="179" xr3:uid="{A72DDB7C-2DC1-455D-983B-E280B7D6DD86}" uniqueName="179" name="Period_Beg" queryTableFieldId="277" dataDxfId="126"/>
    <tableColumn id="180" xr3:uid="{960710DC-9179-4551-AFD6-F9BF627025C0}" uniqueName="180" name="Period_End" queryTableFieldId="278" dataDxfId="125"/>
    <tableColumn id="181" xr3:uid="{14458EC7-CC2D-4319-B346-4A9C7D0A665B}" uniqueName="181" name="Shifts_per_workweek" queryTableFieldId="279"/>
    <tableColumn id="182" xr3:uid="{D3025588-7DD1-4FDA-8775-A1755C9C9D12}" uniqueName="182" name="Avg_Shift_Length" queryTableFieldId="280"/>
    <tableColumn id="183" xr3:uid="{53C85533-3C55-4D83-A73B-09630ACB9255}" uniqueName="183" name="Median_Shift_Length" queryTableFieldId="281"/>
    <tableColumn id="184" xr3:uid="{187DC185-DA05-4774-9C26-3CA848E883A1}" uniqueName="184" name="perc_shifts_gt_3_5" queryTableFieldId="282"/>
    <tableColumn id="185" xr3:uid="{C71C0FA3-3450-452E-98A9-0790D17D3C41}" uniqueName="185" name="perc_shifts_gt_5" queryTableFieldId="283"/>
    <tableColumn id="186" xr3:uid="{8B720573-FC85-434C-BA45-9FC9B33F6C8C}" uniqueName="186" name="perc_shifts_gt_5_lte_6" queryTableFieldId="284"/>
    <tableColumn id="187" xr3:uid="{45433261-7355-4913-8462-AB37BD204508}" uniqueName="187" name="perc_shifts_gt_6" queryTableFieldId="285"/>
    <tableColumn id="188" xr3:uid="{4C0EC848-08D7-44C1-B63D-6706E2E9E8C2}" uniqueName="188" name="perc_shifts_e_8" queryTableFieldId="286"/>
    <tableColumn id="189" xr3:uid="{ADF99A9C-BD0A-4762-9D9E-C5FC2929B3DA}" uniqueName="189" name="perc_shifts_gt_8" queryTableFieldId="287"/>
    <tableColumn id="190" xr3:uid="{EB1EDD0F-68C3-48DC-AAF3-3FC839D2D7A6}" uniqueName="190" name="perc_shifts_gt_10" queryTableFieldId="288"/>
    <tableColumn id="191" xr3:uid="{404750A0-5403-4777-AD04-AFC9C222249E}" uniqueName="191" name="perc_shifts_gt_10_lte_12" queryTableFieldId="289"/>
    <tableColumn id="192" xr3:uid="{B3381B54-BD3D-4B33-B897-E1976F7E25FE}" uniqueName="192" name="perc_shifts_gt_12" queryTableFieldId="290"/>
    <tableColumn id="193" xr3:uid="{F6489854-3AAD-494D-847A-7C4000FDEEB6}" uniqueName="193" name="perc_shifts_gt_14" queryTableFieldId="291"/>
    <tableColumn id="194" xr3:uid="{48A809E1-1B6D-4F00-BD4C-C8BAE27776C2}" uniqueName="194" name="perc_mp" queryTableFieldId="292"/>
    <tableColumn id="195" xr3:uid="{A62D49FF-78CB-4C1C-87B1-1149A27068F3}" uniqueName="195" name="perc_mp_lt_thirty" queryTableFieldId="293"/>
    <tableColumn id="196" xr3:uid="{58621F08-A77D-4537-9C32-B7994FFD4D36}" uniqueName="196" name="perc_mp_thirty" queryTableFieldId="294"/>
    <tableColumn id="197" xr3:uid="{13065450-49F2-43C3-BB10-3F4E085ED3B2}" uniqueName="197" name="perc_mp_gt_thirty" queryTableFieldId="295"/>
    <tableColumn id="198" xr3:uid="{530659B6-F704-4EA7-833E-6467CEBE1BFE}" uniqueName="198" name="mpv_rate" queryTableFieldId="296"/>
    <tableColumn id="199" xr3:uid="{6F9C2241-2F52-4A34-B8C7-4FC5688EE740}" uniqueName="199" name="mpv_rate_w" queryTableFieldId="297"/>
    <tableColumn id="200" xr3:uid="{B3DEE6B7-0BD3-4B3D-A875-E4D8FAB22376}" uniqueName="200" name="mpv_rate_less_prems" queryTableFieldId="298"/>
    <tableColumn id="201" xr3:uid="{8D389B4C-EF26-4286-B975-A1F3D1897F58}" uniqueName="201" name="mpv_rate_less_prems_w" queryTableFieldId="299"/>
    <tableColumn id="202" xr3:uid="{73E9BC8D-D876-4F53-BF60-293142AA5685}" uniqueName="202" name="mpv_ee_rate_less_prems" queryTableFieldId="300"/>
    <tableColumn id="203" xr3:uid="{7B37630F-ADEB-4635-B54E-9DB43DCA1B05}" uniqueName="203" name="mpv_ee_rate_less_prems_w" queryTableFieldId="301"/>
    <tableColumn id="204" xr3:uid="{59D5CBDB-5C42-4C4B-89BC-FA826B0C946A}" uniqueName="204" name="rpv_rate" queryTableFieldId="302"/>
    <tableColumn id="205" xr3:uid="{F6C3D689-516B-4297-B042-9FA56E2A28CC}" uniqueName="205" name="rpv_rate_less_prems" queryTableFieldId="303"/>
    <tableColumn id="206" xr3:uid="{BF60B28E-5D7C-4465-AE01-F5DA6D76FBD8}" uniqueName="206" name="rpv_ee_rate_less_prems" queryTableFieldId="304"/>
    <tableColumn id="207" xr3:uid="{DF1BD93E-E21B-47FF-B7AB-47CC8AAF373C}" uniqueName="207" name="mpv_ee_less_prems" queryTableFieldId="305"/>
    <tableColumn id="208" xr3:uid="{089400DC-BAFE-4593-896C-7A2B63F6ED2F}" uniqueName="208" name="mpv_ee_less_prems_w" queryTableFieldId="306"/>
    <tableColumn id="209" xr3:uid="{E52259E4-092B-4A39-B61B-DB7F7FD7AD8C}" uniqueName="209" name="rpv_ee_less_prems" queryTableFieldId="307"/>
    <tableColumn id="210" xr3:uid="{F8ADF9FC-5202-4E32-A0F4-721417483178}" uniqueName="210" name="mp_ee_dmgs_less_prems" queryTableFieldId="308"/>
    <tableColumn id="211" xr3:uid="{A509486D-F21A-41B7-9527-F88908A7B1AB}" uniqueName="211" name="mp_ee_dmgs_less_prems_w" queryTableFieldId="309"/>
    <tableColumn id="212" xr3:uid="{8A661FB8-6592-482F-9213-BA6EB5066A79}" uniqueName="212" name="rp_ee_dmgs_less_prems" queryTableFieldId="310"/>
    <tableColumn id="213" xr3:uid="{322DB6A4-3A7D-4224-89A6-4B7557F074B0}" uniqueName="213" name="final_Base_Rate" queryTableFieldId="311"/>
    <tableColumn id="214" xr3:uid="{9D302B53-E4EB-4287-B382-36BD4B7885DE}" uniqueName="214" name="final_RROP" queryTableFieldId="312"/>
    <tableColumn id="215" xr3:uid="{E2A6B7E3-C36C-4A69-B9BA-87748E8FAB46}" uniqueName="215" name="wsv_flag_count" queryTableFieldId="313"/>
    <tableColumn id="216" xr3:uid="{C38D9B7D-BC31-4BBA-9357-0BEED24A1122}" uniqueName="216" name="wsv_penalty" queryTableFieldId="314"/>
    <tableColumn id="217" xr3:uid="{BDE8E945-0842-4B35-A7B4-C0F3A95F497F}" uniqueName="217" name="wsv_flag_count_w" queryTableFieldId="315"/>
    <tableColumn id="218" xr3:uid="{0D64B5EC-1749-4F8D-9627-A39ADF37CE5A}" uniqueName="218" name="wsv_penalty_w" queryTableFieldId="316"/>
    <tableColumn id="219" xr3:uid="{A975A97A-1840-44EE-8F64-B89F257612D3}" uniqueName="219" name="has_wt_period" queryTableFieldId="317"/>
    <tableColumn id="220" xr3:uid="{89677C93-6687-49D0-839F-3FAD1A3D7208}" uniqueName="220" name="wt_penalty" queryTableFieldId="318"/>
    <tableColumn id="221" xr3:uid="{D9E71C9F-C335-487A-87BF-FFB13D91C36B}" uniqueName="221" name="wt_penalty_w" queryTableFieldId="319"/>
    <tableColumn id="222" xr3:uid="{648E3DF2-AF87-4B01-BE51-598620DB1D5E}" uniqueName="222" name="in_PAGA_period" queryTableFieldId="320"/>
    <tableColumn id="223" xr3:uid="{ECDF2D1D-AAAD-4028-87E9-1CEB3822D72E}" uniqueName="223" name="PAGA_meal_flag_count" queryTableFieldId="321"/>
    <tableColumn id="224" xr3:uid="{510EEC97-2F6A-4437-A960-DDA55D986584}" uniqueName="224" name="PAGA_rest_flag_count" queryTableFieldId="322"/>
    <tableColumn id="225" xr3:uid="{72D88368-66CA-4EBC-BAE1-712F4FB25F0C}" uniqueName="225" name="PAGA_rrop_flag_count" queryTableFieldId="323"/>
    <tableColumn id="226" xr3:uid="{CDC79CCF-98AE-463F-B503-7148EFF0AD2A}" uniqueName="226" name="PAGA_226_flag_count" queryTableFieldId="324"/>
    <tableColumn id="227" xr3:uid="{3BFD5406-DB91-4519-B90D-1B13D68D7962}" uniqueName="227" name="PAGA_558_flag_count" queryTableFieldId="325"/>
    <tableColumn id="228" xr3:uid="{44BBF96A-23E3-416D-8D48-149833840A96}" uniqueName="228" name="PAGA_1197_1_flag_count" queryTableFieldId="326"/>
    <tableColumn id="229" xr3:uid="{9C1F1E15-00B4-4331-B5AF-6EF9BA01EC50}" uniqueName="229" name="PAGA_2802_flag_count" queryTableFieldId="327"/>
    <tableColumn id="230" xr3:uid="{310A3A9F-1B1F-4184-841E-C317E49C63E9}" uniqueName="230" name="PAGA_meal_flag_count_w" queryTableFieldId="328"/>
    <tableColumn id="231" xr3:uid="{EC2E49CC-A412-44EF-BF2C-3BF7B34A78AE}" uniqueName="231" name="PAGA_226_flag_count_w" queryTableFieldId="329"/>
    <tableColumn id="232" xr3:uid="{60B76FA3-5F61-43B0-B2F1-021D190967CC}" uniqueName="232" name="PAGA_558_flag_count_w" queryTableFieldId="330"/>
    <tableColumn id="233" xr3:uid="{191E7349-95E6-41BC-862A-83D8242436B5}" uniqueName="233" name="PAGA_meal_flag_count_less_prems" queryTableFieldId="331"/>
    <tableColumn id="234" xr3:uid="{56708DC1-269A-4BE7-801A-CB106BA3CF4A}" uniqueName="234" name="PAGA_rest_flag_count_less_prems" queryTableFieldId="332"/>
    <tableColumn id="235" xr3:uid="{0C59E3A9-63AE-42DB-B1C6-A74F706320EE}" uniqueName="235" name="PAGA_rrop_flag_count_less_prems" queryTableFieldId="333"/>
    <tableColumn id="236" xr3:uid="{1C962EE6-5427-4367-8FA2-1B056470C3DD}" uniqueName="236" name="PAGA_226_flag_count_less_prems" queryTableFieldId="334"/>
    <tableColumn id="237" xr3:uid="{2B08675D-CBD2-4B4B-A4FF-DACDFFD5A72B}" uniqueName="237" name="PAGA_558_flag_count_less_prems" queryTableFieldId="335"/>
    <tableColumn id="238" xr3:uid="{24474D96-8D8B-479D-B621-71792F2CB100}" uniqueName="238" name="PAGA_1197_1_flag_count_less_prems" queryTableFieldId="336"/>
    <tableColumn id="239" xr3:uid="{10077428-A06E-4F05-8E54-FD0FC44E8DEE}" uniqueName="239" name="PAGA_2802_flag_count_less_prems" queryTableFieldId="337"/>
    <tableColumn id="240" xr3:uid="{5144C66B-DC7B-46DA-8263-82A05CF94621}" uniqueName="240" name="PAGA_meal_flag_count_less_prems_w" queryTableFieldId="338"/>
    <tableColumn id="241" xr3:uid="{E989F50F-7B96-40B6-9C86-BA3A2810DE4D}" uniqueName="241" name="PAGA_226_flag_count_less_prems_w" queryTableFieldId="339"/>
    <tableColumn id="242" xr3:uid="{20873A89-116D-4FDF-AB4F-CF24F349F1AA}" uniqueName="242" name="PAGA_558_flag_count_less_prems_w" queryTableFieldId="340"/>
    <tableColumn id="243" xr3:uid="{26CE8952-D762-4814-8C6F-80DE14F211BA}" uniqueName="243" name="PAGA_meal_flag_count_less_credits" queryTableFieldId="341"/>
    <tableColumn id="244" xr3:uid="{0A6ECEB7-3D3D-426D-A602-05C592FD8D6A}" uniqueName="244" name="PAGA_rest_flag_count_less_credits" queryTableFieldId="342"/>
    <tableColumn id="245" xr3:uid="{33FD8836-3C00-443C-8470-E4E260B111FC}" uniqueName="245" name="PAGA_rrop_flag_count_less_credits" queryTableFieldId="343"/>
    <tableColumn id="246" xr3:uid="{80CA2ADB-FD08-4153-8108-E1F3E809645E}" uniqueName="246" name="PAGA_226_flag_count_less_credits" queryTableFieldId="344"/>
    <tableColumn id="247" xr3:uid="{EB393707-D4FC-4FE7-888C-A4D7770C5662}" uniqueName="247" name="PAGA_558_flag_count_less_credits" queryTableFieldId="345"/>
    <tableColumn id="248" xr3:uid="{FE4D0AE4-32A4-40E7-B4CB-18907E3ECC70}" uniqueName="248" name="PAGA_1197_1_flag_count_less_credits" queryTableFieldId="346"/>
    <tableColumn id="249" xr3:uid="{EE9BC569-4830-463D-854C-F09B87D1A1DA}" uniqueName="249" name="PAGA_2802_flag_count_less_credits" queryTableFieldId="347"/>
    <tableColumn id="250" xr3:uid="{83A9D3DA-035B-45FB-A303-60BF528BDF77}" uniqueName="250" name="PAGA_meal_flag_count_less_prems_and_credits" queryTableFieldId="348"/>
    <tableColumn id="251" xr3:uid="{91A5E50F-F0E4-4BA9-932B-47D76B583C09}" uniqueName="251" name="PAGA_rest_flag_count_less_prems_and_credits" queryTableFieldId="349"/>
    <tableColumn id="252" xr3:uid="{383D65FF-56FB-4D81-A0F0-A0F330824CDB}" uniqueName="252" name="PAGA_rrop_flag_count_less_prems_and_credits" queryTableFieldId="350"/>
    <tableColumn id="253" xr3:uid="{C22D6784-6EE7-4822-93E8-D78D0FFC3EC0}" uniqueName="253" name="PAGA_226_flag_count_less_prems_and_credits" queryTableFieldId="351"/>
    <tableColumn id="254" xr3:uid="{F48D9DAB-BE7C-4B26-9ED6-CC2B09FF5F6D}" uniqueName="254" name="PAGA_558_flag_count_less_prems_and_credits" queryTableFieldId="352"/>
    <tableColumn id="255" xr3:uid="{29462872-2C51-435C-9FB2-FF3F8D4E2555}" uniqueName="255" name="PAGA_1197_1_flag_count_less_prems_and_credits" queryTableFieldId="353"/>
    <tableColumn id="256" xr3:uid="{91C67C2F-490C-48E7-8FA6-25DD749D23D4}" uniqueName="256" name="PAGA_2802_flag_count_less_prems_and_credits" queryTableFieldId="354"/>
    <tableColumn id="257" xr3:uid="{9FF8F190-7259-4737-B7F6-926850E053C3}" uniqueName="257" name="PAGA_meal_flag_count_less_credits_w" queryTableFieldId="355"/>
    <tableColumn id="258" xr3:uid="{0F5BA977-9716-4EB6-B368-46D75397392B}" uniqueName="258" name="PAGA_rest_flag_count_less_credits_w" queryTableFieldId="356"/>
    <tableColumn id="259" xr3:uid="{65A591DC-A9FD-4BA2-9959-605253743A50}" uniqueName="259" name="PAGA_rrop_flag_count_less_credits_w" queryTableFieldId="357"/>
    <tableColumn id="260" xr3:uid="{8BBA7FD4-DDF5-4C81-A7AE-09DE71CC0FDA}" uniqueName="260" name="PAGA_226_flag_count_less_credits_w" queryTableFieldId="358"/>
    <tableColumn id="261" xr3:uid="{A16802B2-5110-4E88-9FB0-388C39AE08B5}" uniqueName="261" name="PAGA_558_flag_count_less_credits_w" queryTableFieldId="359"/>
    <tableColumn id="262" xr3:uid="{03B577EE-5520-4337-968F-26DBEE90EE89}" uniqueName="262" name="PAGA_1197_1_flag_count_less_credits_w" queryTableFieldId="360"/>
    <tableColumn id="263" xr3:uid="{0506FC29-7974-4574-97B4-1A7DB8E0D8B4}" uniqueName="263" name="PAGA_2802_flag_count_less_credits_w" queryTableFieldId="361"/>
    <tableColumn id="264" xr3:uid="{3DABD43E-AD6E-486C-87D1-5ACEDEF6F9B1}" uniqueName="264" name="PAGA_meal_flag_count_less_prems_and_credits_w" queryTableFieldId="362"/>
    <tableColumn id="265" xr3:uid="{4657282D-6517-4C5B-A40A-76A279771386}" uniqueName="265" name="PAGA_rest_flag_count_less_prems_and_credits_w" queryTableFieldId="363"/>
    <tableColumn id="266" xr3:uid="{60B83E8F-9583-4BC4-953F-BFF25FCBB7B4}" uniqueName="266" name="PAGA_rrop_flag_count_less_prems_and_credits_w" queryTableFieldId="364"/>
    <tableColumn id="267" xr3:uid="{4FD7B14A-E35A-48D5-8DE8-E44EEDF8A9A5}" uniqueName="267" name="PAGA_226_flag_count_less_prems_and_credits_w" queryTableFieldId="365"/>
    <tableColumn id="268" xr3:uid="{CA510C2A-C23B-4352-9CD5-A13F8D43056A}" uniqueName="268" name="PAGA_558_flag_count_less_prems_and_credits_w" queryTableFieldId="366"/>
    <tableColumn id="269" xr3:uid="{236F674C-52D0-4F3B-A44C-8DFA79329893}" uniqueName="269" name="PAGA_1197_1_flag_count_less_prems_and_credits_w" queryTableFieldId="367"/>
    <tableColumn id="270" xr3:uid="{3D784341-D47C-4F58-84F2-1EFDFD6BAD53}" uniqueName="270" name="PAGA_2802_flag_count_less_prems_and_credits_w" queryTableFieldId="368"/>
    <tableColumn id="271" xr3:uid="{5B275E50-613C-49E5-BD16-FF2D6D017F6B}" uniqueName="271" name="PAGA_meal_penalties" queryTableFieldId="369"/>
    <tableColumn id="272" xr3:uid="{67D4FE93-0291-4359-A639-C30F256C66AA}" uniqueName="272" name="PAGA_rest_penalties" queryTableFieldId="370"/>
    <tableColumn id="273" xr3:uid="{0E8E4CDD-E4C9-4371-8595-7631D74D5E81}" uniqueName="273" name="PAGA_rrop_penalties" queryTableFieldId="371"/>
    <tableColumn id="274" xr3:uid="{075E6765-57D1-4F18-B575-3E95AADEFC48}" uniqueName="274" name="PAGA_226_penalties" queryTableFieldId="372"/>
    <tableColumn id="275" xr3:uid="{BC790D4B-280A-4AAF-B0F6-4A101776699E}" uniqueName="275" name="PAGA_558_penalties" queryTableFieldId="373"/>
    <tableColumn id="276" xr3:uid="{1B5FB536-7B5C-42CC-B2F4-881C05E3AB3E}" uniqueName="276" name="PAGA_1197_1_penalties" queryTableFieldId="374"/>
    <tableColumn id="277" xr3:uid="{78D328D8-BE79-4C21-A4A4-26938562B0CF}" uniqueName="277" name="PAGA_1174_penalties" queryTableFieldId="375"/>
    <tableColumn id="278" xr3:uid="{A04C4CB6-D672-4CC4-A514-99B58FC84910}" uniqueName="278" name="PAGA_2802_penalties" queryTableFieldId="376"/>
    <tableColumn id="279" xr3:uid="{C65848F6-F215-423F-8B6D-3F1EEE5B9D6C}" uniqueName="279" name="PAGA_203_penalties" queryTableFieldId="377"/>
    <tableColumn id="280" xr3:uid="{98AF4391-CA28-4571-A043-27D020EBC24D}" uniqueName="280" name="PAGA_meal_penalties_w" queryTableFieldId="378"/>
    <tableColumn id="281" xr3:uid="{9A4F6951-9583-4B83-9D14-36E9C0EDD5CC}" uniqueName="281" name="PAGA_226_penalties_w" queryTableFieldId="379"/>
    <tableColumn id="282" xr3:uid="{2AE274B9-B6CC-4F9D-8590-D17E1C778808}" uniqueName="282" name="PAGA_558_penalties_w" queryTableFieldId="380"/>
    <tableColumn id="283" xr3:uid="{92DC1AFB-58CF-4559-BAE6-496123029388}" uniqueName="283" name="PAGA_meal_penalties_less_prems" queryTableFieldId="381"/>
    <tableColumn id="284" xr3:uid="{943F62B8-0827-4E3B-9E13-15B75242F222}" uniqueName="284" name="PAGA_rest_penalties_less_prems" queryTableFieldId="382"/>
    <tableColumn id="285" xr3:uid="{7A9D114E-E557-4341-9491-3FAE7D0326EE}" uniqueName="285" name="PAGA_rrop_penalties_less_prems" queryTableFieldId="383"/>
    <tableColumn id="286" xr3:uid="{56ADE4E5-1A0C-4D15-9DB8-0858349E4930}" uniqueName="286" name="PAGA_226_penalties_less_prems" queryTableFieldId="384"/>
    <tableColumn id="287" xr3:uid="{EBC6DB32-B76C-49D0-AA07-65C7A29034EA}" uniqueName="287" name="PAGA_558_penalties_less_prems" queryTableFieldId="385"/>
    <tableColumn id="288" xr3:uid="{92576B44-ED8D-4479-9D92-1473FDAEB7CD}" uniqueName="288" name="PAGA_1197_1_penalties_less_prems" queryTableFieldId="386"/>
    <tableColumn id="289" xr3:uid="{B03B82DC-C322-4884-ABC3-5C19F17A4BB6}" uniqueName="289" name="PAGA_1174_penalties_less_prems" queryTableFieldId="387"/>
    <tableColumn id="290" xr3:uid="{0E907D6A-9B6D-4B89-B4CA-1DAB0FBFEF63}" uniqueName="290" name="PAGA_2802_penalties_less_prems" queryTableFieldId="388"/>
    <tableColumn id="291" xr3:uid="{568A74D9-A5F8-4A3D-9B21-713891FCE66B}" uniqueName="291" name="PAGA_203_penalties_less_prems" queryTableFieldId="389"/>
    <tableColumn id="292" xr3:uid="{3DA7C0A5-D6F4-4D73-85B6-38A0C5FD7DA7}" uniqueName="292" name="PAGA_meal_penalties_less_prems_w" queryTableFieldId="390"/>
    <tableColumn id="293" xr3:uid="{4C9429EA-320C-41A7-B22E-3478693CF1E0}" uniqueName="293" name="PAGA_226_penalties_less_prems_w" queryTableFieldId="391"/>
    <tableColumn id="294" xr3:uid="{094D5D26-7206-422F-8018-36645DE93194}" uniqueName="294" name="PAGA_558_penalties_less_prems_w" queryTableFieldId="392"/>
    <tableColumn id="295" xr3:uid="{46588013-396C-4B8C-910A-F23619B66D08}" uniqueName="295" name="PAGA_meal_penalties_less_credits" queryTableFieldId="393"/>
    <tableColumn id="296" xr3:uid="{FFB0B309-2A8D-43F1-9477-D0B274B3AC1E}" uniqueName="296" name="PAGA_rest_penalties_less_credits" queryTableFieldId="394"/>
    <tableColumn id="297" xr3:uid="{917047B8-8EE4-4E7D-9A61-4CDDB1463F8B}" uniqueName="297" name="PAGA_rrop_penalties_less_credits" queryTableFieldId="395"/>
    <tableColumn id="298" xr3:uid="{8D9336EC-FFE7-4597-8201-D92EF977F55C}" uniqueName="298" name="PAGA_226_penalties_less_credits" queryTableFieldId="396"/>
    <tableColumn id="299" xr3:uid="{B9FF40B2-2036-4CE9-B45F-C262D37E6F94}" uniqueName="299" name="PAGA_558_penalties_less_credits" queryTableFieldId="397"/>
    <tableColumn id="300" xr3:uid="{9715C6E5-DBC4-42BF-B1DE-4BEA0022A48B}" uniqueName="300" name="PAGA_1197_1_penalties_less_credits" queryTableFieldId="398"/>
    <tableColumn id="301" xr3:uid="{48EB4EF0-4B9D-4E5A-A8A7-C3D653A81DDD}" uniqueName="301" name="PAGA_1174_penalties_less_credits" queryTableFieldId="399"/>
    <tableColumn id="302" xr3:uid="{5F4C7A3C-806A-45DA-8539-F04525544E4B}" uniqueName="302" name="PAGA_2802_penalties_less_credits" queryTableFieldId="400"/>
    <tableColumn id="303" xr3:uid="{4BE13E97-D90D-45FB-A9A3-05B62CB8D5C9}" uniqueName="303" name="PAGA_203_penalties_less_credits" queryTableFieldId="401"/>
    <tableColumn id="304" xr3:uid="{D729A610-5582-42BC-A96C-8ABF6696B80F}" uniqueName="304" name="PAGA_meal_penalties_less_prems_and_credits" queryTableFieldId="402"/>
    <tableColumn id="305" xr3:uid="{A06AD6A4-1F1D-40E1-9213-EECB6B9009A1}" uniqueName="305" name="PAGA_rest_penalties_less_prems_and_credits" queryTableFieldId="403"/>
    <tableColumn id="306" xr3:uid="{F61524E1-5794-4E5B-8555-AC45E0056B52}" uniqueName="306" name="PAGA_rrop_penalties_less_prems_and_credits" queryTableFieldId="404"/>
    <tableColumn id="307" xr3:uid="{8697E63B-AFE6-49A5-9D17-6273891567F5}" uniqueName="307" name="PAGA_226_penalties_less_prems_and_credits" queryTableFieldId="405"/>
    <tableColumn id="308" xr3:uid="{4C45CD1B-6915-4A8E-9903-84E9B92429BC}" uniqueName="308" name="PAGA_558_penalties_less_prems_and_credits" queryTableFieldId="406"/>
    <tableColumn id="309" xr3:uid="{2A75A83F-92B4-46FC-80E6-76313DBAA3A7}" uniqueName="309" name="PAGA_1197_1_penalties_less_prems_and_credits" queryTableFieldId="407"/>
    <tableColumn id="310" xr3:uid="{B6EBD1D8-442D-4EF1-B480-6929E31B2522}" uniqueName="310" name="PAGA_1174_penalties_less_prems_and_credits" queryTableFieldId="408"/>
    <tableColumn id="311" xr3:uid="{BCA0DE77-256C-4612-B121-40E465A9A018}" uniqueName="311" name="PAGA_2802_penalties_less_prems_and_credits" queryTableFieldId="409"/>
    <tableColumn id="312" xr3:uid="{4233197F-C59C-4E51-B4E9-1E4E6622197B}" uniqueName="312" name="PAGA_203_penalties_less_prems_and_credits" queryTableFieldId="410"/>
    <tableColumn id="313" xr3:uid="{578A771A-0CA8-41CB-B7C1-FEE0CF0D9762}" uniqueName="313" name="PAGA_meal_penalties_less_credits_w" queryTableFieldId="411"/>
    <tableColumn id="314" xr3:uid="{EE691E1E-39DA-4509-B2CC-639992BABFFF}" uniqueName="314" name="PAGA_rest_penalties_less_credits_w" queryTableFieldId="412"/>
    <tableColumn id="315" xr3:uid="{A855829B-56D6-41C2-891D-E8447F12CD1F}" uniqueName="315" name="PAGA_rrop_penalties_less_credits_w" queryTableFieldId="413"/>
    <tableColumn id="316" xr3:uid="{58B88B8B-EA8E-42DB-8780-C2B36A547986}" uniqueName="316" name="PAGA_226_penalties_less_credits_w" queryTableFieldId="414"/>
    <tableColumn id="317" xr3:uid="{35E2BD0B-1DDC-48A0-96C5-022A0CA36C45}" uniqueName="317" name="PAGA_558_penalties_less_credits_w" queryTableFieldId="415"/>
    <tableColumn id="318" xr3:uid="{9C61DA7E-B8A3-445C-BCD5-6BF48462B3F8}" uniqueName="318" name="PAGA_1197_1_penalties_less_credits_w" queryTableFieldId="416"/>
    <tableColumn id="319" xr3:uid="{4B05CE30-E51A-46FF-8CE9-C35A94194B95}" uniqueName="319" name="PAGA_1174_penalties_less_credits_w" queryTableFieldId="417"/>
    <tableColumn id="320" xr3:uid="{BAC319B1-7FE7-46FF-9772-757D00EEAAB1}" uniqueName="320" name="PAGA_2802_penalties_less_credits_w" queryTableFieldId="418"/>
    <tableColumn id="321" xr3:uid="{E9018DA1-B208-4860-BF5C-4FAAFE968CB2}" uniqueName="321" name="PAGA_203_penalties_less_credits_w" queryTableFieldId="419"/>
    <tableColumn id="322" xr3:uid="{E0529B60-824F-46D9-9841-38EB9ACA9EDF}" uniqueName="322" name="PAGA_meal_penalties_less_prems_and_credits_w" queryTableFieldId="420"/>
    <tableColumn id="323" xr3:uid="{4860AE84-EF33-4829-88EB-688A550DD939}" uniqueName="323" name="PAGA_rest_penalties_less_prems_and_credits_w" queryTableFieldId="421"/>
    <tableColumn id="324" xr3:uid="{38D833EC-6ECA-4AFE-BCFB-EF96F7082037}" uniqueName="324" name="PAGA_rrop_penalties_less_prems_and_credits_w" queryTableFieldId="422"/>
    <tableColumn id="325" xr3:uid="{37032DFC-258D-483F-A9F4-AF437F067024}" uniqueName="325" name="PAGA_226_penalties_less_prems_and_credits_w" queryTableFieldId="423"/>
    <tableColumn id="326" xr3:uid="{B74C8915-83EC-43C5-AE4B-81F0A8ACB31C}" uniqueName="326" name="PAGA_558_penalties_less_prems_and_credits_w" queryTableFieldId="424"/>
    <tableColumn id="327" xr3:uid="{3E032C64-7E3D-4A35-9AD8-24C1DB8DFCEF}" uniqueName="327" name="PAGA_1197_1_penalties_less_prems_and_credits_w" queryTableFieldId="425"/>
    <tableColumn id="328" xr3:uid="{AF1CE67A-B4F6-41B8-B7A1-8E4240C64BFB}" uniqueName="328" name="PAGA_1174_penalties_less_prems_and_credits_w" queryTableFieldId="426"/>
    <tableColumn id="329" xr3:uid="{E87ACB90-7FD4-4C97-9CC8-B14626C24E8A}" uniqueName="329" name="PAGA_2802_penalties_less_prems_and_credits_w" queryTableFieldId="427"/>
    <tableColumn id="330" xr3:uid="{49FCF8FE-2CCC-4C97-8491-A84F44685312}" uniqueName="330" name="PAGA_203_penalties_less_prems_and_credits_w" queryTableFieldId="428"/>
    <tableColumn id="331" xr3:uid="{5A7F8451-86CE-4DAF-8209-4DCAF44F2466}" uniqueName="331" name="PAGA_tot" queryTableFieldId="429"/>
    <tableColumn id="332" xr3:uid="{A34BA3D5-087F-4E04-97E1-26FDFE8F4E2E}" uniqueName="332" name="PAGA_tot_w" queryTableFieldId="430"/>
    <tableColumn id="333" xr3:uid="{31C6769B-2F6D-4465-B21D-A1647710F7A2}" uniqueName="333" name="PAGA_tot_less_prems" queryTableFieldId="431"/>
    <tableColumn id="334" xr3:uid="{E9E7135E-017A-4205-8C93-08BB7EB91A93}" uniqueName="334" name="PAGA_tot_less_prems_w" queryTableFieldId="432"/>
    <tableColumn id="335" xr3:uid="{7F6B1CFD-C66E-4C93-8FA2-1B1295B77531}" uniqueName="335" name="PAGA_tot_less_credits" queryTableFieldId="433"/>
    <tableColumn id="336" xr3:uid="{275D2C3B-E58D-4701-B1AB-62E1D6936927}" uniqueName="336" name="PAGA_tot_less_prems_and_credits" queryTableFieldId="434"/>
    <tableColumn id="337" xr3:uid="{60FBC9FB-3ADB-45BE-BB39-F61B6B77F43B}" uniqueName="337" name="PAGA_tot_less_credits_w" queryTableFieldId="435"/>
    <tableColumn id="338" xr3:uid="{DCF7E83F-099F-4A86-969C-942CA026B0C6}" uniqueName="338" name="PAGA_tot_less_prems_and_credits_w" queryTableFieldId="436"/>
    <tableColumn id="339" xr3:uid="{63FCBFA6-2209-4D95-BA94-207D2D94D249}" uniqueName="339" name="Pay_Date_min" queryTableFieldId="437" dataDxfId="124"/>
    <tableColumn id="340" xr3:uid="{89C18B14-D813-4DA1-ACC3-FF2F5CCEF603}" uniqueName="340" name="Period_Beg_min" queryTableFieldId="438" dataDxfId="123"/>
    <tableColumn id="341" xr3:uid="{E04951A4-86A0-468B-A36C-D3E961E7D339}" uniqueName="341" name="Period_End_min" queryTableFieldId="439" dataDxfId="122"/>
    <tableColumn id="342" xr3:uid="{4C0772E2-5C2E-41DA-AE89-867DFEA949BA}" uniqueName="342" name="Base_Rate_mean" queryTableFieldId="440" dataDxfId="121"/>
    <tableColumn id="343" xr3:uid="{114E27D2-C4FE-4E5F-9325-66BF5F093E14}" uniqueName="343" name="RROP_mean" queryTableFieldId="441" dataDxfId="120"/>
    <tableColumn id="344" xr3:uid="{B1CA90FA-EA96-4AD7-98CE-0462516BA66D}" uniqueName="344" name="CA_min_wage_mean" queryTableFieldId="442" dataDxfId="119"/>
    <tableColumn id="345" xr3:uid="{211D2992-C652-4C9D-92A8-CA9C6F3209C6}" uniqueName="345" name="double_CA_min_wage_mean" queryTableFieldId="443" dataDxfId="118"/>
    <tableColumn id="346" xr3:uid="{8803022D-29C4-4157-8222-5B6754B9FFDF}" uniqueName="346" name="Base_Rate_median" queryTableFieldId="444" dataDxfId="117"/>
    <tableColumn id="347" xr3:uid="{AC17274E-42E0-448F-930F-0E1DD79A36C2}" uniqueName="347" name="RROP_median" queryTableFieldId="445" dataDxfId="116"/>
    <tableColumn id="348" xr3:uid="{2129E0F5-33AF-40E6-A4A5-33126A7933A5}" uniqueName="348" name="CA_min_wage_median" queryTableFieldId="446" dataDxfId="115"/>
    <tableColumn id="349" xr3:uid="{FB60C676-6D03-4E39-AE94-DC4B39549D34}" uniqueName="349" name="double_CA_min_wage_median" queryTableFieldId="447" dataDxfId="114"/>
  </tableColumns>
  <tableStyleInfo name="TableStyleMedium13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B70CFA8-363A-475E-835F-3B50C760DC94}" name="Time_Shift_Data" displayName="Time_Shift_Data" ref="A1:FU2" tableType="queryTable" insertRow="1" totalsRowShown="0">
  <autoFilter ref="A1:FU2" xr:uid="{7B70CFA8-363A-475E-835F-3B50C760DC94}"/>
  <tableColumns count="177">
    <tableColumn id="53" xr3:uid="{B8886984-36ED-4F96-AE6C-1B6DC5B57615}" uniqueName="53" name="ID_Period_End" queryTableFieldId="133"/>
    <tableColumn id="2" xr3:uid="{A1796DDC-0699-439B-8A77-35C3EBAE6900}" uniqueName="2" name="ID_Shift" queryTableFieldId="84"/>
    <tableColumn id="76" xr3:uid="{BBECB95C-A33D-4404-BCFE-DBE12AAAB4CD}" uniqueName="76" name="Source" queryTableFieldId="336"/>
    <tableColumn id="3" xr3:uid="{3AD4942E-52F8-42D5-8D7A-773084186F5E}" uniqueName="3" name="Sheet" queryTableFieldId="342"/>
    <tableColumn id="49" xr3:uid="{023582F3-DD71-4837-8FD6-DD196F74F4FD}" uniqueName="49" name="Page" queryTableFieldId="510"/>
    <tableColumn id="1" xr3:uid="{886006A1-0015-4D93-9521-F7B05E917830}" uniqueName="1" name="Key_Gps" queryTableFieldId="278"/>
    <tableColumn id="5" xr3:uid="{8E6BDDD5-7A16-40A7-9374-92ACC9C9B4D4}" uniqueName="5" name="ID" queryTableFieldId="87"/>
    <tableColumn id="6" xr3:uid="{12E879B3-D266-47B0-9749-D668B3549915}" uniqueName="6" name="Name" queryTableFieldId="88"/>
    <tableColumn id="48" xr3:uid="{D668961C-09B3-40CB-AA37-109A3EC8DDBD}" uniqueName="48" name="ID_Date" queryTableFieldId="508"/>
    <tableColumn id="8" xr3:uid="{D6FA87AB-A791-4112-A918-444EC4028FE8}" uniqueName="8" name="Date" queryTableFieldId="90" dataDxfId="113"/>
    <tableColumn id="30" xr3:uid="{34AC67ED-F89A-470E-8AF6-95CA4CE47A7B}" uniqueName="30" name="Week_End" queryTableFieldId="343" dataDxfId="112"/>
    <tableColumn id="47" xr3:uid="{8CCD5799-064F-46D7-98D3-9A38FBD1B435}" uniqueName="47" name="ID_Week_End" queryTableFieldId="344"/>
    <tableColumn id="63" xr3:uid="{56A6E6A8-DB76-4E84-B6E9-F9D4EA437AC1}" uniqueName="63" name="wk_time_off" queryTableFieldId="511"/>
    <tableColumn id="4" xr3:uid="{2EE02B8D-E249-4826-B0AF-099D8B2EEF32}" uniqueName="4" name="Period_Beg" queryTableFieldId="280" dataDxfId="111"/>
    <tableColumn id="9" xr3:uid="{F0C3E789-FEDB-46B6-981D-59E54E72E421}" uniqueName="9" name="Period_End" queryTableFieldId="91" dataDxfId="110"/>
    <tableColumn id="13" xr3:uid="{FA6D828B-8220-4AE9-AC3D-EF72550CE24C}" uniqueName="13" name="mp" queryTableFieldId="95"/>
    <tableColumn id="64" xr3:uid="{5E00A188-E7D0-4AB0-ABC5-B08A27E947DD}" uniqueName="64" name="mp_lt_twenty" queryTableFieldId="512"/>
    <tableColumn id="15" xr3:uid="{74BA7965-A3E5-4F5F-9418-4E1AD503CF36}" uniqueName="15" name="mp_lt_thirty" queryTableFieldId="97"/>
    <tableColumn id="17" xr3:uid="{D6A0F052-54F9-4545-B0AE-6BF15C64A622}" uniqueName="17" name="mp_thirty" queryTableFieldId="98"/>
    <tableColumn id="18" xr3:uid="{9416FA69-CEB1-49F9-8880-D185D6BBAFE8}" uniqueName="18" name="mp_gt_thirty" queryTableFieldId="99"/>
    <tableColumn id="65" xr3:uid="{62502542-4F47-4326-96B4-F146004B5A6C}" uniqueName="65" name="mp_forty_five" queryTableFieldId="513"/>
    <tableColumn id="77" xr3:uid="{6B5CA86D-F33B-48C8-AE80-AAF14560F3C7}" uniqueName="77" name="mp_gt_two_hrs" queryTableFieldId="514"/>
    <tableColumn id="78" xr3:uid="{D2FC0170-B763-4B43-BDEF-C9EF251D598F}" uniqueName="78" name="mp_gt_four_hrs" queryTableFieldId="515"/>
    <tableColumn id="25" xr3:uid="{C5979FC7-73E6-43D4-9B52-FC763D17632F}" uniqueName="25" name="Hours" queryTableFieldId="106"/>
    <tableColumn id="10" xr3:uid="{15157930-054B-4056-AE42-7A30536A058E}" uniqueName="10" name="shift_hrs" queryTableFieldId="92"/>
    <tableColumn id="11" xr3:uid="{5AB6DB91-FB36-4F70-8922-7F9A2556956F}" uniqueName="11" name="mp1_hrs" queryTableFieldId="93"/>
    <tableColumn id="12" xr3:uid="{E08B95D1-0349-467B-AB5D-89DC54951C48}" uniqueName="12" name="mp2_hrs" queryTableFieldId="94"/>
    <tableColumn id="14" xr3:uid="{23381E87-46AA-48D3-9F37-51724BA87C4F}" uniqueName="14" name="shift_mps" queryTableFieldId="96"/>
    <tableColumn id="19" xr3:uid="{1BEF89C8-BFD8-45CD-9B06-688B7F4AE868}" uniqueName="19" name="hrs_to_mp1" queryTableFieldId="100"/>
    <tableColumn id="20" xr3:uid="{E57D204A-B5D3-4FB8-A053-8B7D0F77E82A}" uniqueName="20" name="hrs_to_mp2" queryTableFieldId="101"/>
    <tableColumn id="21" xr3:uid="{AD5FEB07-D3FC-4EAD-9274-2174732AE6CC}" uniqueName="21" name="mp1_mins_short" queryTableFieldId="102"/>
    <tableColumn id="22" xr3:uid="{D416284E-2026-427D-B99F-39CC323F6DA2}" uniqueName="22" name="mp2_mins_short" queryTableFieldId="103"/>
    <tableColumn id="23" xr3:uid="{46CBEA51-AF7A-4DAE-9FAD-FC628E3A6FC3}" uniqueName="23" name="mp1_mins_late" queryTableFieldId="104"/>
    <tableColumn id="24" xr3:uid="{CD9F1871-0CD2-4EE1-B48E-E3C00C550876}" uniqueName="24" name="mp2_mins_late" queryTableFieldId="105"/>
    <tableColumn id="79" xr3:uid="{07A49619-83FE-4ABA-9B80-52EFB39A18A0}" uniqueName="79" name="shift" queryTableFieldId="516"/>
    <tableColumn id="32" xr3:uid="{EB835B49-91CE-4868-A563-08FC11BAC2B8}" uniqueName="32" name="MissMP1" queryTableFieldId="112"/>
    <tableColumn id="33" xr3:uid="{5C5F2A4C-58A2-481A-90D1-56FA1C96EC6D}" uniqueName="33" name="LateMP1" queryTableFieldId="113"/>
    <tableColumn id="34" xr3:uid="{7A1A1288-E3B7-4191-83E0-A5847F07EDC9}" uniqueName="34" name="ShortMP1" queryTableFieldId="114"/>
    <tableColumn id="35" xr3:uid="{2D2B51C2-F89D-4715-AD29-341124BA8765}" uniqueName="35" name="MissMP2" queryTableFieldId="115"/>
    <tableColumn id="36" xr3:uid="{D66E20A1-32F4-4E4F-9912-D0B36A7B49B7}" uniqueName="36" name="LateMP2" queryTableFieldId="116"/>
    <tableColumn id="37" xr3:uid="{A5E61849-DE5E-46F6-8B54-DE229133F737}" uniqueName="37" name="ShortMP2" queryTableFieldId="117"/>
    <tableColumn id="7" xr3:uid="{A0376B94-8FB3-4670-A00D-80397987E97C}" uniqueName="7" name="mpv_shift" queryTableFieldId="281"/>
    <tableColumn id="80" xr3:uid="{F2E7CC17-7FDC-4C89-BE8D-26ED8BC439E7}" uniqueName="80" name="mp1_violation" queryTableFieldId="517"/>
    <tableColumn id="81" xr3:uid="{85A7561D-8F1B-4064-8BF3-DF183678E847}" uniqueName="81" name="mp2_violation" queryTableFieldId="518"/>
    <tableColumn id="39" xr3:uid="{7A6A24D4-AA0A-4BC8-B92C-94F4D505A7B6}" uniqueName="39" name="MissMP1_w" queryTableFieldId="119"/>
    <tableColumn id="40" xr3:uid="{3351874A-03EC-4D7A-8D29-247A8CCB2328}" uniqueName="40" name="LateMP1_w" queryTableFieldId="120"/>
    <tableColumn id="41" xr3:uid="{BEB9822B-D5B9-4B08-9DC3-DD86C784982E}" uniqueName="41" name="ShortMP1_w" queryTableFieldId="121"/>
    <tableColumn id="42" xr3:uid="{10263BD8-4D0E-4E6A-96D6-7FE137275615}" uniqueName="42" name="MissMP2_w" queryTableFieldId="122"/>
    <tableColumn id="43" xr3:uid="{DCDD9790-1A91-47B4-9C1F-643733C7D86E}" uniqueName="43" name="LateMP2_w" queryTableFieldId="123"/>
    <tableColumn id="44" xr3:uid="{68AD20FD-F2B5-451A-A269-E05915877F16}" uniqueName="44" name="ShortMP2_w" queryTableFieldId="124"/>
    <tableColumn id="16" xr3:uid="{259F2FE0-5DDB-4F3F-82C3-65B759652B8F}" uniqueName="16" name="mpv_shift_w" queryTableFieldId="282"/>
    <tableColumn id="82" xr3:uid="{3E7234DE-B999-48F3-80D3-CB80CA77654A}" uniqueName="82" name="mp1_violation_w" queryTableFieldId="519"/>
    <tableColumn id="83" xr3:uid="{DA5B62BA-BC2F-4913-B86B-23FA25D19122}" uniqueName="83" name="mp2_violation_w" queryTableFieldId="520"/>
    <tableColumn id="46" xr3:uid="{C793D2F7-D2DC-4C17-9BC2-3A28D6003472}" uniqueName="46" name="rpv_shift" queryTableFieldId="126"/>
    <tableColumn id="51" xr3:uid="{7B7BD60E-1C4A-4065-8198-F24E40AA9738}" uniqueName="51" name="wk_shift_hrs" queryTableFieldId="131"/>
    <tableColumn id="52" xr3:uid="{DAE853CB-E8C9-4D16-AC53-88354CEF1E06}" uniqueName="52" name="wk_Hours" queryTableFieldId="132"/>
    <tableColumn id="50" xr3:uid="{ABBB8DC3-4C4A-4979-9D7E-52ACD48827BD}" uniqueName="50" name="week" queryTableFieldId="130"/>
    <tableColumn id="54" xr3:uid="{347B8B4C-808D-4C92-8284-03C73F7B4F00}" uniqueName="54" name="pp" queryTableFieldId="134"/>
    <tableColumn id="55" xr3:uid="{7D5D25B3-A523-489F-B6EC-542770506EB7}" uniqueName="55" name="mpv_per_pp" queryTableFieldId="135"/>
    <tableColumn id="56" xr3:uid="{FBAE3847-3B42-453F-9FEE-3DD9BCE86DF9}" uniqueName="56" name="mpv_per_pp_w" queryTableFieldId="136"/>
    <tableColumn id="57" xr3:uid="{17BFFDF4-1A77-4E2A-AA2F-7D1BDB1DC6F7}" uniqueName="57" name="rpv_per_pp" queryTableFieldId="137"/>
    <tableColumn id="58" xr3:uid="{3C666FBE-14A6-4124-A8B0-1EBA64F0A02A}" uniqueName="58" name="pp_shift_hrs" queryTableFieldId="138"/>
    <tableColumn id="59" xr3:uid="{F1155125-4572-4254-895C-ABE074918D02}" uniqueName="59" name="pp_Hours" queryTableFieldId="139"/>
    <tableColumn id="84" xr3:uid="{A11E0921-64A1-4449-973C-E8C20FB612BA}" uniqueName="84" name="cons_shift_ct" queryTableFieldId="521"/>
    <tableColumn id="85" xr3:uid="{C7917377-5D87-43F9-9A83-ADAF25FE5B87}" uniqueName="85" name="ot_seventh_day" queryTableFieldId="522"/>
    <tableColumn id="86" xr3:uid="{17CAB5B4-05A3-41B8-A145-94BF7D20A9C0}" uniqueName="86" name="dt_seventh_day" queryTableFieldId="523"/>
    <tableColumn id="60" xr3:uid="{8AAC64D7-3E68-44C1-8302-F2833485C288}" uniqueName="60" name="calc_daily_ot" queryTableFieldId="140"/>
    <tableColumn id="61" xr3:uid="{73F0DBBB-0D67-4023-8D2F-FEE4B594D645}" uniqueName="61" name="calc_daily_dt" queryTableFieldId="141"/>
    <tableColumn id="87" xr3:uid="{D1E8F0BA-FD82-4533-8B8C-21B418EBF855}" uniqueName="87" name="ca_ot_hrs" queryTableFieldId="524"/>
    <tableColumn id="88" xr3:uid="{FCC30DE5-9878-4FC7-8841-6BCB6DA8E1BF}" uniqueName="88" name="ca_dt_hrs" queryTableFieldId="525"/>
    <tableColumn id="89" xr3:uid="{D85FA5B4-ABD9-42CA-B30D-B553E6AACE07}" uniqueName="89" name="wk_ca_ot" queryTableFieldId="526"/>
    <tableColumn id="90" xr3:uid="{F684EE02-6E5E-4882-8D7A-42D7D3692042}" uniqueName="90" name="wk_ca_dt" queryTableFieldId="527"/>
    <tableColumn id="62" xr3:uid="{34FE10F5-DA97-49D1-BAE9-49C1719F1F4F}" uniqueName="62" name="flsa_ot" queryTableFieldId="142"/>
    <tableColumn id="91" xr3:uid="{D82BEA07-A542-472B-A484-1CE55DB863FF}" uniqueName="91" name="wk_ot" queryTableFieldId="528"/>
    <tableColumn id="92" xr3:uid="{6AB24198-785F-49CD-8844-D6526304394D}" uniqueName="92" name="wk_has_ot" queryTableFieldId="529"/>
    <tableColumn id="93" xr3:uid="{B7E5D4D1-768F-41BC-B778-BDBBFDE29718}" uniqueName="93" name="pp_ot" queryTableFieldId="530"/>
    <tableColumn id="94" xr3:uid="{2D1AE150-CD77-4D37-B7FC-68340ABF7F07}" uniqueName="94" name="pp_dt" queryTableFieldId="531"/>
    <tableColumn id="95" xr3:uid="{467A92F8-74DD-453C-9834-581388D710F9}" uniqueName="95" name="pp_ca_ot_hrs" queryTableFieldId="532"/>
    <tableColumn id="96" xr3:uid="{88A6CC70-1E54-4239-B9D0-DB8A5CF7B47A}" uniqueName="96" name="pp_ca_dt_hrs" queryTableFieldId="533"/>
    <tableColumn id="66" xr3:uid="{3890F738-13C8-4281-B8B4-F01A4ADC05BA}" uniqueName="66" name="pp_flsa_ot" queryTableFieldId="146"/>
    <tableColumn id="67" xr3:uid="{10124BEA-C491-4559-9BC8-47A3587A5839}" uniqueName="67" name="pp_ot_wks" queryTableFieldId="147"/>
    <tableColumn id="68" xr3:uid="{52BC99D2-E34B-43C9-85AB-4389C17DFFF5}" uniqueName="68" name="qtr_hr" queryTableFieldId="148"/>
    <tableColumn id="31" xr3:uid="{4B9D94E3-1230-4133-9A3A-AAB6D9D2D062}" uniqueName="31" name="diff" queryTableFieldId="111"/>
    <tableColumn id="97" xr3:uid="{EF5EE888-11E9-45D9-BB85-BD03A090375F}" uniqueName="97" name="shifts_analyzed" queryTableFieldId="534"/>
    <tableColumn id="69" xr3:uid="{43D20CD2-5E04-4241-8990-0A1ABDB06E9D}" uniqueName="69" name="wk_diff" queryTableFieldId="149"/>
    <tableColumn id="70" xr3:uid="{EDAE018F-ACE5-4843-BFB7-3C4F944F8811}" uniqueName="70" name="wk_lost_time_shifts" queryTableFieldId="150"/>
    <tableColumn id="71" xr3:uid="{9BF28A3D-62B6-4512-AE50-2D72DA6930E7}" uniqueName="71" name="wk_gain_time_shifts" queryTableFieldId="151"/>
    <tableColumn id="72" xr3:uid="{584D479C-8C48-401B-B7BB-43D0A2C3AFF2}" uniqueName="72" name="pp_diff" queryTableFieldId="152"/>
    <tableColumn id="73" xr3:uid="{21EDBA40-CD1D-48AF-B682-B8D88D80EAED}" uniqueName="73" name="pp_lost_time_shifts" queryTableFieldId="153"/>
    <tableColumn id="74" xr3:uid="{26B1A168-69F5-4914-834C-CB650B805E92}" uniqueName="74" name="pp_gain_time_shifts" queryTableFieldId="154"/>
    <tableColumn id="98" xr3:uid="{FA829125-9994-47DA-AE5A-FE94047A7A39}" uniqueName="98" name="ee_diff" queryTableFieldId="535"/>
    <tableColumn id="29" xr3:uid="{AEE9B68B-D6CA-4BFB-9BE0-8B746328D29D}" uniqueName="29" name="Meal_Prem_Hrs" queryTableFieldId="332"/>
    <tableColumn id="38" xr3:uid="{7A28DEE7-1009-459D-8EC0-55A1FB36ED11}" uniqueName="38" name="Meal_Prem_Amt" queryTableFieldId="333"/>
    <tableColumn id="45" xr3:uid="{C404F9F4-BBC1-485E-822E-130EE9758ED3}" uniqueName="45" name="Rest_Prem_Hrs" queryTableFieldId="334"/>
    <tableColumn id="75" xr3:uid="{54876A82-032A-476E-AB27-AD5FFBB33938}" uniqueName="75" name="Rest_Prem_Amt" queryTableFieldId="335"/>
    <tableColumn id="112" xr3:uid="{EECFF27B-CE88-422B-BAB6-CB09DC1CBEA2}" uniqueName="112" name="Pay_Rate" queryTableFieldId="382"/>
    <tableColumn id="113" xr3:uid="{41423399-C88C-4F5B-BDA0-DF09F3832B57}" uniqueName="113" name="cum_mpv" queryTableFieldId="383"/>
    <tableColumn id="114" xr3:uid="{257EDDB9-4A35-44D1-BD95-5ED0982ABB19}" uniqueName="114" name="prev_cum_mpv" queryTableFieldId="384"/>
    <tableColumn id="115" xr3:uid="{352FD0DC-AE94-47BA-A213-A2C3B91F0BDF}" uniqueName="115" name="meal_premium_allocated" queryTableFieldId="385"/>
    <tableColumn id="116" xr3:uid="{AABE9817-9CE1-40C1-A1E5-1F3A569FBECA}" uniqueName="116" name="mpv_shift_less_prems" queryTableFieldId="386"/>
    <tableColumn id="117" xr3:uid="{DED6AB8F-46EA-470E-8FD3-585131985AD2}" uniqueName="117" name="cum_mpv_w" queryTableFieldId="387"/>
    <tableColumn id="118" xr3:uid="{82CB442E-5D6B-4326-BE51-ACEB2E0995CF}" uniqueName="118" name="prev_cum_mpv_w" queryTableFieldId="388"/>
    <tableColumn id="119" xr3:uid="{7C8B57E5-B2E1-4E0C-ADA5-1C55B26DF94E}" uniqueName="119" name="meal_premium_allocated_w" queryTableFieldId="389"/>
    <tableColumn id="120" xr3:uid="{719A60EA-26B2-4BFA-B0DA-0EE5FACF466F}" uniqueName="120" name="mpv_shift_less_prems_w" queryTableFieldId="390"/>
    <tableColumn id="121" xr3:uid="{9CA55D33-B640-4D27-A024-3049B66E2BB2}" uniqueName="121" name="cum_rpv" queryTableFieldId="391"/>
    <tableColumn id="122" xr3:uid="{824E4337-A10F-4D7C-A958-8E703BD9D5B0}" uniqueName="122" name="prev_cum_rpv" queryTableFieldId="392"/>
    <tableColumn id="123" xr3:uid="{A1E36593-E481-4FA6-B314-B958C2A7E78D}" uniqueName="123" name="rest_premium_allocated" queryTableFieldId="393"/>
    <tableColumn id="124" xr3:uid="{BFA2BB31-82EF-4899-B77C-F730EE7295BC}" uniqueName="124" name="rpv_shift_less_prems" queryTableFieldId="394"/>
    <tableColumn id="26" xr3:uid="{91A04D23-4512-47DF-BE9C-B2E2D5A64801}" uniqueName="26" name="mpv_per_pp_less_prems" queryTableFieldId="329"/>
    <tableColumn id="27" xr3:uid="{955EE43E-AA34-4BBE-BA9A-DE40FE2EC7EE}" uniqueName="27" name="mpv_per_pp_less_prems_w" queryTableFieldId="330"/>
    <tableColumn id="28" xr3:uid="{C46853BA-2F8C-456A-ABCD-482B77447996}" uniqueName="28" name="rpv_per_pp_less_prems" queryTableFieldId="331"/>
    <tableColumn id="99" xr3:uid="{0255805F-0AD6-4861-9351-0F9E61640B16}" uniqueName="99" name="mpv_ee" queryTableFieldId="536"/>
    <tableColumn id="100" xr3:uid="{2F6017AA-3265-476A-A516-23AB76E737DC}" uniqueName="100" name="mpv_ee_w" queryTableFieldId="537"/>
    <tableColumn id="101" xr3:uid="{73D44C04-CFAD-4C8E-B184-10174A4CF26A}" uniqueName="101" name="rpv_ee" queryTableFieldId="538"/>
    <tableColumn id="102" xr3:uid="{5EC145F3-90C7-407D-A5A8-E35354D71BEC}" uniqueName="102" name="meal_prem_hrs_ee" queryTableFieldId="539"/>
    <tableColumn id="103" xr3:uid="{EDE14FB8-9391-4F98-9EA9-F56A3D276CDD}" uniqueName="103" name="meal_prem_amt_ee" queryTableFieldId="540"/>
    <tableColumn id="104" xr3:uid="{ECCB0713-65E6-4D6E-9873-F5AE2EA450B9}" uniqueName="104" name="rest_prem_hrs_ee" queryTableFieldId="541"/>
    <tableColumn id="105" xr3:uid="{52B8601A-91C5-4957-A26C-086DAB2CFF59}" uniqueName="105" name="rest_prem_amt_ee" queryTableFieldId="542"/>
    <tableColumn id="106" xr3:uid="{0806197F-3D30-490E-A673-F73AA3A216AA}" uniqueName="106" name="mpv_ee_less_prems" queryTableFieldId="543"/>
    <tableColumn id="107" xr3:uid="{665B7D94-E787-4970-AA62-B564FF378CAE}" uniqueName="107" name="mpv_ee_less_prems_w" queryTableFieldId="544"/>
    <tableColumn id="108" xr3:uid="{78996580-90EA-466E-98F2-CE6BBCB4B4D7}" uniqueName="108" name="rpv_ee_less_prems" queryTableFieldId="545"/>
    <tableColumn id="125" xr3:uid="{8066FFB0-1181-4743-9D33-0A86A7124F8F}" uniqueName="125" name="Pay_Hrs_Wkd" queryTableFieldId="395"/>
    <tableColumn id="126" xr3:uid="{B4D58882-0378-4D68-9CCC-07022BBAC025}" uniqueName="126" name="Pay_Amount_Hrs_Wkd" queryTableFieldId="396"/>
    <tableColumn id="109" xr3:uid="{673F462B-461D-4966-8CA4-A4DF953CD4F0}" uniqueName="109" name="RROP" queryTableFieldId="546"/>
    <tableColumn id="127" xr3:uid="{3B19EDE8-0B21-4806-B8A2-B15168580140}" uniqueName="127" name="Base_Rate_Avg" queryTableFieldId="397"/>
    <tableColumn id="128" xr3:uid="{44A0A9D0-7EEC-402F-9F56-13EEE5287C93}" uniqueName="128" name="Pay_Hours_pp_shift_hrs_diff" queryTableFieldId="398"/>
    <tableColumn id="129" xr3:uid="{E8FA33FC-8C3E-41D3-B5BC-E45540C464F5}" uniqueName="129" name="Pay_Hours_pp_Hours_diff" queryTableFieldId="399"/>
    <tableColumn id="130" xr3:uid="{C4A273FE-49FA-49CA-B01D-33D0E857DB1F}" uniqueName="130" name="Shifts" queryTableFieldId="400"/>
    <tableColumn id="131" xr3:uid="{90DC9299-7D1D-49EC-8AA1-72744C9B036C}" uniqueName="131" name="Shifts_per_workweek" queryTableFieldId="401"/>
    <tableColumn id="132" xr3:uid="{01A01D0B-1D12-43CF-A996-BD08A9619992}" uniqueName="132" name="Avg_Shift_Length" queryTableFieldId="402"/>
    <tableColumn id="133" xr3:uid="{28EAB6B3-88CD-489E-9093-2AEEF7B0ADBB}" uniqueName="133" name="Median_Shift_Length" queryTableFieldId="403"/>
    <tableColumn id="134" xr3:uid="{1BB98D57-F7C8-4B67-B857-F4797B8E19E0}" uniqueName="134" name="Shifts_gt_3_5" queryTableFieldId="404"/>
    <tableColumn id="135" xr3:uid="{76B68F03-B177-4559-BCBF-D2E5FB5D13C0}" uniqueName="135" name="Shifts_gt_5" queryTableFieldId="405"/>
    <tableColumn id="136" xr3:uid="{E967ED4A-6E28-469C-BFB6-7F64F029AB8C}" uniqueName="136" name="Shifts_gt_5_lte_6" queryTableFieldId="406"/>
    <tableColumn id="137" xr3:uid="{7008A59E-6490-4DF2-9BE1-4997F2EA8B64}" uniqueName="137" name="Shifts_gt_6" queryTableFieldId="407"/>
    <tableColumn id="138" xr3:uid="{BEB99699-6446-469F-98A9-F0F58F5EBABE}" uniqueName="138" name="Shifts_e_8" queryTableFieldId="408"/>
    <tableColumn id="139" xr3:uid="{64BA3FF8-AF89-4A3B-B743-B77F16FA735F}" uniqueName="139" name="Shifts_gt_8" queryTableFieldId="409"/>
    <tableColumn id="140" xr3:uid="{AF2265B4-3591-4F25-B820-EFCAAC85A162}" uniqueName="140" name="Shifts_gt_10" queryTableFieldId="410"/>
    <tableColumn id="141" xr3:uid="{2C3E0788-4E6D-4067-94CA-F7D735F8F79F}" uniqueName="141" name="Shifts_gt_10_lte_12" queryTableFieldId="411"/>
    <tableColumn id="142" xr3:uid="{3A3EBB31-87D6-43EF-A89F-B1829EF49762}" uniqueName="142" name="Shifts_gt_12" queryTableFieldId="412"/>
    <tableColumn id="143" xr3:uid="{B8974C7A-ADE0-4C54-929A-D8FFBFF51147}" uniqueName="143" name="Shifts_gt_14" queryTableFieldId="413"/>
    <tableColumn id="110" xr3:uid="{A2E84BAB-C9D5-4924-8874-C7B39D08500E}" uniqueName="110" name="Meal_Prem_Hrs_per_ee" queryTableFieldId="547"/>
    <tableColumn id="111" xr3:uid="{F27D191C-2143-4E0A-BE3E-73866641863F}" uniqueName="111" name="Meal_Prem_Amt_per_ee" queryTableFieldId="548"/>
    <tableColumn id="144" xr3:uid="{153724A6-A9D6-4F40-958B-EA7E83EC094B}" uniqueName="144" name="Rest_Prem_Hrs_per_ee" queryTableFieldId="549"/>
    <tableColumn id="145" xr3:uid="{842D01C2-2E8A-43B6-8F33-0C436E485B97}" uniqueName="145" name="Rest_Prem_Amt_per_ee" queryTableFieldId="550"/>
    <tableColumn id="165" xr3:uid="{2E28A691-8150-453E-A82E-EA9A99CB952A}" uniqueName="165" name="mpv_per_pp_per_ee" queryTableFieldId="551"/>
    <tableColumn id="166" xr3:uid="{2FB36F1C-B192-4E8C-99C5-72C956F6652E}" uniqueName="166" name="mpv_per_pp_per_ee_w" queryTableFieldId="552"/>
    <tableColumn id="167" xr3:uid="{31BAC69A-D94E-422B-9ABD-17E74EB2FF47}" uniqueName="167" name="rpv_per_pp_per_ee" queryTableFieldId="553"/>
    <tableColumn id="168" xr3:uid="{0BD6CF77-9835-4193-AAB4-1C58EF08E4BD}" uniqueName="168" name="mpv_per_pp_less_prems_per_ee" queryTableFieldId="554"/>
    <tableColumn id="169" xr3:uid="{B775AE3A-D0D5-44B6-9EC4-C927E24D96EE}" uniqueName="169" name="mpv_per_pp_less_prems_per_ee_w" queryTableFieldId="555"/>
    <tableColumn id="170" xr3:uid="{8847FF12-0582-4B6A-B4A4-9E65C61E2507}" uniqueName="170" name="rpv_per_pp_less_prems_per_ee" queryTableFieldId="556"/>
    <tableColumn id="171" xr3:uid="{F218253D-E9B1-49F7-84A6-39D44E2A0019}" uniqueName="171" name="mpv_ee_less_prems_per_ee" queryTableFieldId="557"/>
    <tableColumn id="172" xr3:uid="{392E27BC-35FF-47B0-85B2-C560F00AB2BA}" uniqueName="172" name="mpv_ee_less_prems_per_ee_w" queryTableFieldId="558"/>
    <tableColumn id="173" xr3:uid="{9193F6A8-DD64-4E69-98A9-F6D050878FED}" uniqueName="173" name="rpv_ee_less_prems_per_ee" queryTableFieldId="559"/>
    <tableColumn id="146" xr3:uid="{31C43D3A-AE4C-443D-A1FF-2E2D81FADF37}" uniqueName="146" name="perc_shifts_gt_3_5" queryTableFieldId="416"/>
    <tableColumn id="147" xr3:uid="{EB1168B1-65A4-4418-B18E-5856BEEB3708}" uniqueName="147" name="perc_shifts_gt_5" queryTableFieldId="417"/>
    <tableColumn id="148" xr3:uid="{D001BC2A-65E1-4865-A003-B6DEBFD09F42}" uniqueName="148" name="perc_shifts_gt_5_lte_6" queryTableFieldId="418"/>
    <tableColumn id="149" xr3:uid="{3BAA5008-1192-4371-9EF6-D2C7C924B3BE}" uniqueName="149" name="perc_shifts_gt_6" queryTableFieldId="419"/>
    <tableColumn id="150" xr3:uid="{28E41900-40F2-46AC-9578-9AF2AFF8B9BB}" uniqueName="150" name="perc_shifts_e_8" queryTableFieldId="420"/>
    <tableColumn id="151" xr3:uid="{C303AEE4-6BD4-4485-B26D-8EDA244BD53B}" uniqueName="151" name="perc_shifts_gt_8" queryTableFieldId="421"/>
    <tableColumn id="152" xr3:uid="{241ABD33-31EE-42A9-84A2-4FB162FBDD2E}" uniqueName="152" name="perc_shifts_gt_10" queryTableFieldId="422"/>
    <tableColumn id="153" xr3:uid="{045621FF-FFAE-4856-8BF5-F12FBFD58067}" uniqueName="153" name="perc_shifts_gt_10_lte_12" queryTableFieldId="423"/>
    <tableColumn id="154" xr3:uid="{175D0EA8-A1DB-4A83-B0AF-897201505C74}" uniqueName="154" name="perc_shifts_gt_12" queryTableFieldId="424"/>
    <tableColumn id="155" xr3:uid="{5817A57A-6F3B-40B4-B0BD-01A09EE25615}" uniqueName="155" name="perc_shifts_gt_14" queryTableFieldId="425"/>
    <tableColumn id="156" xr3:uid="{81305FC3-2358-4964-A1D8-D6E315414F2F}" uniqueName="156" name="perc_mp" queryTableFieldId="426"/>
    <tableColumn id="157" xr3:uid="{0AE0444D-9435-4FA6-87A5-D366A92982D2}" uniqueName="157" name="perc_mp_lt_thirty" queryTableFieldId="427"/>
    <tableColumn id="158" xr3:uid="{AE809E43-2135-488D-8EB3-5782D53F3BAA}" uniqueName="158" name="perc_mp_thirty" queryTableFieldId="428"/>
    <tableColumn id="159" xr3:uid="{B978893F-1417-4F91-B5A8-2847AA4CAF0F}" uniqueName="159" name="perc_mp_gt_thirty" queryTableFieldId="429"/>
    <tableColumn id="160" xr3:uid="{C1410A8A-A1DB-4CF5-BA9B-5F78D2718560}" uniqueName="160" name="mpv_rate" queryTableFieldId="430"/>
    <tableColumn id="161" xr3:uid="{B66D3194-A78B-4A43-8057-D6769F17D0DB}" uniqueName="161" name="mpv_rate_w" queryTableFieldId="431"/>
    <tableColumn id="162" xr3:uid="{A56507EC-F790-442E-935E-F4875AAD003F}" uniqueName="162" name="mpv_rate_less_prems" queryTableFieldId="432"/>
    <tableColumn id="163" xr3:uid="{7CCC1D21-0CFF-478A-B042-621F6706265A}" uniqueName="163" name="mpv_rate_less_prems_w" queryTableFieldId="433"/>
    <tableColumn id="174" xr3:uid="{3C1CB9B3-AAEE-43A9-B3C4-F19DCDA17C1D}" uniqueName="174" name="mpv_ee_rate_less_prems" queryTableFieldId="560"/>
    <tableColumn id="175" xr3:uid="{94BD0F78-5B7E-491D-BC6F-BCE0156006A7}" uniqueName="175" name="mpv_ee_rate_less_prems_w" queryTableFieldId="561"/>
    <tableColumn id="164" xr3:uid="{A74F4BCB-48BD-4815-9833-79FDBD396A6D}" uniqueName="164" name="rpv_rate" queryTableFieldId="434"/>
    <tableColumn id="176" xr3:uid="{4989E07E-4B2F-4609-AAA0-A23740567AB6}" uniqueName="176" name="rpv_rate_less_prems" queryTableFieldId="562"/>
    <tableColumn id="177" xr3:uid="{02EBAD0B-C992-4F34-8371-5307B2850833}" uniqueName="177" name="rpv_ee_rate_less_prems" queryTableFieldId="563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78A322-3350-4997-B041-C794E2290D3C}" name="Time_Punch_Data" displayName="Time_Punch_Data" ref="A1:BF2" tableType="queryTable" insertRow="1" totalsRowShown="0">
  <autoFilter ref="A1:BF2" xr:uid="{4178A322-3350-4997-B041-C794E2290D3C}"/>
  <tableColumns count="58">
    <tableColumn id="4" xr3:uid="{DF4766E6-3FCB-499E-A394-C76A55DC0022}" uniqueName="4" name="Date" queryTableFieldId="4" dataDxfId="109"/>
    <tableColumn id="2" xr3:uid="{86F1D650-B408-4142-B22A-43E5C27815E2}" uniqueName="2" name="Sheet" queryTableFieldId="122"/>
    <tableColumn id="1" xr3:uid="{FE0AC295-B67E-41BB-9C7D-B14301AD2EC1}" uniqueName="1" name="Unsure" queryTableFieldId="312" dataDxfId="108"/>
    <tableColumn id="3" xr3:uid="{7A6DAADC-BFEA-4025-B00E-CB01E2DB07C7}" uniqueName="3" name="DotW" queryTableFieldId="313" dataDxfId="107"/>
    <tableColumn id="24" xr3:uid="{458AD2F8-5E60-480A-90C5-A37732AEE104}" uniqueName="24" name="Elapsed" queryTableFieldId="314" dataDxfId="106"/>
    <tableColumn id="8" xr3:uid="{5E553BB9-2315-4808-879F-DEFBE26AF2B1}" uniqueName="8" name="In" queryTableFieldId="298" dataDxfId="105"/>
    <tableColumn id="9" xr3:uid="{DEAD0883-7344-4487-B48A-906BE259CAD1}" uniqueName="9" name="Out" queryTableFieldId="299" dataDxfId="104"/>
    <tableColumn id="25" xr3:uid="{8D4BD5DD-E05F-4694-9A8D-E57FC8124B36}" uniqueName="25" name="Lunch_Modifier" queryTableFieldId="315" dataDxfId="103"/>
    <tableColumn id="41" xr3:uid="{1527112D-49D0-4836-AFE8-24145599D0C9}" uniqueName="41" name="Hours" queryTableFieldId="41"/>
    <tableColumn id="26" xr3:uid="{DA5B4F91-1DAC-4024-9FB6-69F421E11654}" uniqueName="26" name="Code" queryTableFieldId="316" dataDxfId="102"/>
    <tableColumn id="42" xr3:uid="{BE9EFBD1-41E7-4D0A-8D76-11C92B32C4B7}" uniqueName="42" name="Worked_Dept" queryTableFieldId="317"/>
    <tableColumn id="23" xr3:uid="{EC86F9B4-43DD-4271-979E-FAF4ED31D60E}" uniqueName="23" name="Source" queryTableFieldId="119"/>
    <tableColumn id="43" xr3:uid="{DCB71EAD-B03D-45CC-8267-BAF54896F476}" uniqueName="43" name="ID_Orig" queryTableFieldId="318"/>
    <tableColumn id="6" xr3:uid="{0D5EC775-4AE2-45AC-8331-503F30325FC2}" uniqueName="6" name="ID" queryTableFieldId="6"/>
    <tableColumn id="7" xr3:uid="{FB5ED72A-78D0-4C01-8EF3-20DDAD3BD007}" uniqueName="7" name="Name" queryTableFieldId="7"/>
    <tableColumn id="44" xr3:uid="{C123138D-BFFC-42DA-9920-FE003FAC836D}" uniqueName="44" name="Page" queryTableFieldId="319"/>
    <tableColumn id="45" xr3:uid="{3FD467FF-E58A-4FF1-BEB0-2612AD0D323E}" uniqueName="45" name="Out_Type" queryTableFieldId="320" dataDxfId="101"/>
    <tableColumn id="10" xr3:uid="{C9DBF82F-F90E-4B67-8996-5EE3B5879822}" uniqueName="10" name="Period_Beg" queryTableFieldId="103" dataDxfId="100"/>
    <tableColumn id="5" xr3:uid="{8A776F6A-C9C3-47C6-98E8-0674B0D56230}" uniqueName="5" name="Period_End" queryTableFieldId="5" dataDxfId="99"/>
    <tableColumn id="12" xr3:uid="{540A7860-AE4D-4320-A2A4-48789D31FA59}" uniqueName="12" name="ID_Period_End" queryTableFieldId="104"/>
    <tableColumn id="14" xr3:uid="{01AE0F13-D096-4E11-B192-4B86ED93C79E}" uniqueName="14" name="Key_Gps" queryTableFieldId="105"/>
    <tableColumn id="15" xr3:uid="{33116EC3-AEA4-4968-A734-E515EDD3F7AA}" uniqueName="15" name="ID_Date" queryTableFieldId="300"/>
    <tableColumn id="72" xr3:uid="{174F52A4-9464-4B5E-A7A1-D548B3555E65}" uniqueName="72" name="Week_End" queryTableFieldId="159" dataDxfId="98"/>
    <tableColumn id="73" xr3:uid="{FCFE5ADF-4459-4B8B-B5BE-AEF42DE31A57}" uniqueName="73" name="Week_End_Day" queryTableFieldId="160"/>
    <tableColumn id="74" xr3:uid="{1B50664A-B779-40C8-8179-163B8CB290FD}" uniqueName="74" name="ID_Week_End" queryTableFieldId="161"/>
    <tableColumn id="46" xr3:uid="{53379F4A-A029-4D50-A05E-922AB8E9EBCF}" uniqueName="46" name="wk_time_off" queryTableFieldId="321"/>
    <tableColumn id="47" xr3:uid="{296F85C5-1EA5-4A6D-860C-C419B6346F66}" uniqueName="47" name="Shift_ID" queryTableFieldId="322" dataDxfId="97"/>
    <tableColumn id="48" xr3:uid="{040D8F5F-7CB7-4BCF-A780-43FF365E6FE9}" uniqueName="48" name="duplicate_flag" queryTableFieldId="323"/>
    <tableColumn id="49" xr3:uid="{EB970160-7B57-4CFB-A39E-AFBECE97FAF8}" uniqueName="49" name="overlap_flag" queryTableFieldId="324"/>
    <tableColumn id="11" xr3:uid="{72C8C120-1559-411C-B950-532C04379AAC}" uniqueName="11" name="punch_time" queryTableFieldId="11" dataDxfId="96"/>
    <tableColumn id="13" xr3:uid="{C2DB98DA-037E-4937-A429-6339D1C9154B}" uniqueName="13" name="punch_type" queryTableFieldId="13"/>
    <tableColumn id="16" xr3:uid="{75273D42-9DAE-40F0-8610-7B00D5D211DB}" uniqueName="16" name="hrs_from_prev" queryTableFieldId="16"/>
    <tableColumn id="17" xr3:uid="{C2976E21-1B7E-4FA9-9D9C-DC6B21252D47}" uniqueName="17" name="shift" queryTableFieldId="17"/>
    <tableColumn id="18" xr3:uid="{388076FF-5967-4643-BC18-7282189C3AE0}" uniqueName="18" name="shift_ct" queryTableFieldId="18"/>
    <tableColumn id="19" xr3:uid="{FEBDE34D-3F30-43D0-81A4-38E4379CBD17}" uniqueName="19" name="ID_Shift" queryTableFieldId="19"/>
    <tableColumn id="20" xr3:uid="{52086E1B-730B-41CB-9D8F-7BA1F8E9076C}" uniqueName="20" name="mp" queryTableFieldId="20"/>
    <tableColumn id="21" xr3:uid="{79F6C12D-21D1-4D6E-A1FF-6378F290705C}" uniqueName="21" name="mp_ct" queryTableFieldId="21"/>
    <tableColumn id="22" xr3:uid="{F1046558-0924-4193-BF17-A007ED8119C8}" uniqueName="22" name="shift_mps" queryTableFieldId="22"/>
    <tableColumn id="50" xr3:uid="{CFDB28CB-961E-49B4-8AF3-0FE6EB521F03}" uniqueName="50" name="hrs_wkd" queryTableFieldId="325"/>
    <tableColumn id="27" xr3:uid="{291F91F2-5039-4A1E-A652-B8AA22B78E29}" uniqueName="27" name="cum_hrs_wkd" queryTableFieldId="27"/>
    <tableColumn id="28" xr3:uid="{642B8BFD-AE1B-41D7-9944-039CFE88C340}" uniqueName="28" name="shift_hrs" queryTableFieldId="28"/>
    <tableColumn id="29" xr3:uid="{43CACBD5-E8D7-470A-AC87-C57109E875AA}" uniqueName="29" name="mp_hrs" queryTableFieldId="29"/>
    <tableColumn id="51" xr3:uid="{D13A357B-5EE6-4894-92D9-68DA4B78C31F}" uniqueName="51" name="mp_one_min" queryTableFieldId="326"/>
    <tableColumn id="52" xr3:uid="{69BA95A6-E6BC-4B53-BCC7-D72716308EC0}" uniqueName="52" name="mp_lt_twenty" queryTableFieldId="327"/>
    <tableColumn id="30" xr3:uid="{2D61EE75-4903-45D3-8FD1-6B3DE8B8A63F}" uniqueName="30" name="mp_lt_thirty" queryTableFieldId="30"/>
    <tableColumn id="31" xr3:uid="{9C984786-CA0F-4AAC-8A7E-AAFFC84A32D9}" uniqueName="31" name="mp_thirty" queryTableFieldId="31"/>
    <tableColumn id="53" xr3:uid="{7709397E-090B-40F3-A527-FAC08E9AFA33}" uniqueName="53" name="mp_forty_five" queryTableFieldId="328"/>
    <tableColumn id="32" xr3:uid="{FA554E5A-AB8C-42B3-953F-EA3CB7008BA3}" uniqueName="32" name="mp_gt_thirty" queryTableFieldId="32"/>
    <tableColumn id="54" xr3:uid="{99ECB547-935C-4BC4-AFEB-C7DB02C969F5}" uniqueName="54" name="mp_gt_two_hrs" queryTableFieldId="329"/>
    <tableColumn id="55" xr3:uid="{7E278941-F77E-4CA6-AA6D-A32473E40B2C}" uniqueName="55" name="mp_gt_four_hrs" queryTableFieldId="330"/>
    <tableColumn id="33" xr3:uid="{250BBC67-09C3-49B9-A3D2-7B9A48154335}" uniqueName="33" name="mp1_hrs" queryTableFieldId="33"/>
    <tableColumn id="34" xr3:uid="{FA1D59EE-6C1D-429E-9826-32A3BFB04343}" uniqueName="34" name="mp2_hrs" queryTableFieldId="34"/>
    <tableColumn id="35" xr3:uid="{573F887C-4A81-4630-B266-BEB78C95223F}" uniqueName="35" name="hrs_to_mp1" queryTableFieldId="35"/>
    <tableColumn id="36" xr3:uid="{801561C2-3E0A-4EF1-B86D-6353916386DF}" uniqueName="36" name="hrs_to_mp2" queryTableFieldId="36"/>
    <tableColumn id="37" xr3:uid="{64911AC7-8775-43EB-9102-289B511DD39D}" uniqueName="37" name="mp1_mins_short" queryTableFieldId="37"/>
    <tableColumn id="38" xr3:uid="{F8CF5275-70D2-40AE-9AC2-941AD4451AAF}" uniqueName="38" name="mp2_mins_short" queryTableFieldId="38"/>
    <tableColumn id="39" xr3:uid="{F418AF9E-E566-4EFA-8399-547D17CDAEDB}" uniqueName="39" name="mp1_mins_late" queryTableFieldId="39"/>
    <tableColumn id="40" xr3:uid="{B2F81C78-F94B-4F48-9BEA-DA9B3D18C848}" uniqueName="40" name="mp2_mins_late" queryTableFieldId="40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53E2840-13E3-47F9-B131-AE3036142361}" name="AWW_Classifications" displayName="AWW_Classifications" ref="A1:N2" tableType="queryTable" insertRow="1" totalsRowShown="0">
  <autoFilter ref="A1:N2" xr:uid="{053E2840-13E3-47F9-B131-AE3036142361}"/>
  <tableColumns count="14">
    <tableColumn id="1" xr3:uid="{23B5F78E-575A-4505-93D1-535300312083}" uniqueName="1" name="ID" queryTableFieldId="1"/>
    <tableColumn id="2" xr3:uid="{26A7961A-8AB6-4118-B749-1DC2F80063C9}" uniqueName="2" name="total_weeks" queryTableFieldId="2"/>
    <tableColumn id="10" xr3:uid="{B2BFBED8-22F5-4705-B239-1EEDE7D02A2B}" uniqueName="10" name="weeks_5_8" queryTableFieldId="10" dataDxfId="95"/>
    <tableColumn id="3" xr3:uid="{D8950E3D-E65E-4BEC-9797-9B4AB200ABF2}" uniqueName="3" name="weeks_4_10" queryTableFieldId="3"/>
    <tableColumn id="4" xr3:uid="{C04A8B5B-A23D-41A8-9E58-F2CCFF90EE76}" uniqueName="4" name="weeks_3_12" queryTableFieldId="4"/>
    <tableColumn id="11" xr3:uid="{8DEC5B59-C321-405A-998E-8B4644DD4048}" uniqueName="11" name="weeks_6_plus_shifts" queryTableFieldId="11" dataDxfId="94"/>
    <tableColumn id="12" xr3:uid="{A8B0B76C-EB7F-44CC-969C-3DF24E3AA490}" uniqueName="12" name="pct_5_8" queryTableFieldId="12" dataDxfId="93"/>
    <tableColumn id="5" xr3:uid="{33812BC7-5770-4C12-A6DD-8412C8A94038}" uniqueName="5" name="pct_4_10" queryTableFieldId="5"/>
    <tableColumn id="6" xr3:uid="{E0D33563-4759-4F04-9064-E86AF5CBCA60}" uniqueName="6" name="pct_3_12" queryTableFieldId="6"/>
    <tableColumn id="13" xr3:uid="{CB0739A0-1643-4E70-99E6-B978F7E90B5C}" uniqueName="13" name="pct_6_plus_shifts" queryTableFieldId="13" dataDxfId="92"/>
    <tableColumn id="7" xr3:uid="{EB7CD051-E9FB-4067-90C9-56146324DBAD}" uniqueName="7" name="avg_weekly_hours" queryTableFieldId="7"/>
    <tableColumn id="14" xr3:uid="{EFB9806D-BC5F-4D6A-B61D-83DE0C6787C4}" uniqueName="14" name="avg_shifts_per_week" queryTableFieldId="14" dataDxfId="91"/>
    <tableColumn id="8" xr3:uid="{7709AB58-E664-47F4-BECD-04EA72038136}" uniqueName="8" name="avg_days_per_week" queryTableFieldId="8"/>
    <tableColumn id="9" xr3:uid="{10924B63-BA1B-4985-93FF-14C9CA285066}" uniqueName="9" name="AWW_schedule" queryTableFieldId="9"/>
  </tableColumns>
  <tableStyleInfo name="TableStyleMedium2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AA21AC0-51A8-4B2B-8890-88E6985693B9}" name="Non_Work_Hrs_Table" displayName="Non_Work_Hrs_Table" ref="G1:K2" tableType="queryTable" insertRow="1" totalsRowShown="0">
  <autoFilter ref="G1:K2" xr:uid="{EAA21AC0-51A8-4B2B-8890-88E6985693B9}"/>
  <tableColumns count="5">
    <tableColumn id="1" xr3:uid="{1930A262-9CA4-4FB6-9D40-B65A5FA23675}" uniqueName="1" name="Non Work Hrs" queryTableFieldId="6" dataDxfId="90" dataCellStyle="Percent"/>
    <tableColumn id="2" xr3:uid="{3B9F099C-758C-4BCA-8102-8A1B5729489E}" uniqueName="2" name="Records" queryTableFieldId="2" dataDxfId="89"/>
    <tableColumn id="3" xr3:uid="{F6A00F34-5960-4AB5-9C7A-C4E83EFDF767}" uniqueName="3" name="Percent of Records" queryTableFieldId="7" dataDxfId="88" dataCellStyle="Percent"/>
    <tableColumn id="4" xr3:uid="{FFC128DE-58CF-41D6-B5A8-9464A4338921}" uniqueName="4" name="Days" queryTableFieldId="4" dataDxfId="87"/>
    <tableColumn id="5" xr3:uid="{6F846EF1-9350-425D-A8F8-5B1CB02A2930}" uniqueName="5" name="Percent of Days" queryTableFieldId="8" dataDxfId="86" dataCellStyle="Percent"/>
  </tableColumns>
  <tableStyleInfo name="TableStyleMedium9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4F56D0-7B13-4958-861E-FD1803F652EC}" name="Shift_Hrs_Table" displayName="Shift_Hrs_Table" ref="A1:E2" tableType="queryTable" insertRow="1" totalsRowShown="0">
  <autoFilter ref="A1:E2" xr:uid="{D44F56D0-7B13-4958-861E-FD1803F652EC}"/>
  <tableColumns count="5">
    <tableColumn id="1" xr3:uid="{C6AA8AFE-68A8-442F-9840-8360A75C621B}" uniqueName="1" name="Shift Hrs" queryTableFieldId="6" dataDxfId="85"/>
    <tableColumn id="2" xr3:uid="{C1764CE0-D9AD-476B-9677-41B81BB9974A}" uniqueName="2" name="Records" queryTableFieldId="2" dataDxfId="84"/>
    <tableColumn id="3" xr3:uid="{E1369BD4-684F-4BCD-9191-6593C75074B6}" uniqueName="3" name="Percent of Records" queryTableFieldId="7" dataDxfId="83" dataCellStyle="Percent"/>
    <tableColumn id="4" xr3:uid="{0971CC75-2B03-4B92-873C-104BCBA1712C}" uniqueName="4" name="Days" queryTableFieldId="4" dataDxfId="82"/>
    <tableColumn id="5" xr3:uid="{21C45EC6-6F04-4D93-B647-687BCF0EF437}" uniqueName="5" name="Percent of Days" queryTableFieldId="8" dataDxfId="81" dataCellStyle="Percent"/>
  </tableColumns>
  <tableStyleInfo name="TableStyleMedium9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77D1C1E9-5E93-4CBA-A7C4-DD36C8AC6354}" name="Meal_Period_Start_Time_Table" displayName="Meal_Period_Start_Time_Table" ref="M1:Q2" tableType="queryTable" insertRow="1" totalsRowShown="0">
  <autoFilter ref="M1:Q2" xr:uid="{77D1C1E9-5E93-4CBA-A7C4-DD36C8AC6354}"/>
  <tableColumns count="5">
    <tableColumn id="1" xr3:uid="{21A83292-7EF6-48F2-8FB5-BFDC52251113}" uniqueName="1" name="Meal Start Time" queryTableFieldId="1" dataDxfId="80"/>
    <tableColumn id="2" xr3:uid="{A5F65966-6971-4A3F-BB34-D34342D8B581}" uniqueName="2" name="Records" queryTableFieldId="2" dataDxfId="79"/>
    <tableColumn id="3" xr3:uid="{2BA8814F-9EC8-4361-BD07-673CA2335083}" uniqueName="3" name="Percent of Records" queryTableFieldId="3" dataDxfId="78" dataCellStyle="Percent"/>
    <tableColumn id="4" xr3:uid="{2193AACC-08C3-414E-AB0F-9D7C3426175B}" uniqueName="4" name="Days" queryTableFieldId="4" dataDxfId="77"/>
    <tableColumn id="5" xr3:uid="{18B3F8DE-5A86-439D-9D0A-969862E2D356}" uniqueName="5" name="Percent of Days" queryTableFieldId="5" dataDxfId="76" dataCellStyle="Percent"/>
  </tableColumns>
  <tableStyleInfo name="TableStyleMedium12"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1A0D11F-8ECD-4E88-AD62-027AD63D6F7D}" name="Meal_Period_Duration_Table" displayName="Meal_Period_Duration_Table" ref="S1:W2" tableType="queryTable" insertRow="1" totalsRowShown="0">
  <autoFilter ref="S1:W2" xr:uid="{11A0D11F-8ECD-4E88-AD62-027AD63D6F7D}"/>
  <tableColumns count="5">
    <tableColumn id="1" xr3:uid="{FB1B8798-09C2-4051-BCD1-10CEA00563C8}" uniqueName="1" name="Meal Period Hrs" queryTableFieldId="1" dataDxfId="75"/>
    <tableColumn id="2" xr3:uid="{81EFC82A-A986-4233-B386-2A07C4D7BACE}" uniqueName="2" name="Records" queryTableFieldId="2" dataDxfId="74"/>
    <tableColumn id="3" xr3:uid="{7C0A95E2-C7DB-4D6C-957E-ED2C2DBA7FEC}" uniqueName="3" name="Percent of Records" queryTableFieldId="3" dataDxfId="73" dataCellStyle="Percent"/>
    <tableColumn id="4" xr3:uid="{571823E2-7EF6-4CEF-8408-C91EEC705261}" uniqueName="4" name="Days" queryTableFieldId="4" dataDxfId="72"/>
    <tableColumn id="5" xr3:uid="{CD14F8C5-2020-4BB1-AA34-7BB16A9C2329}" uniqueName="5" name="Percent of Days" queryTableFieldId="5" dataDxfId="71" dataCellStyle="Percent"/>
  </tableColumns>
  <tableStyleInfo name="TableStyleMedium12" showFirstColumn="0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00EB2CD-E1E9-46BB-9EFE-220EEA3F8A28}" name="Meal_Period_Quarter_Hr_Table" displayName="Meal_Period_Quarter_Hr_Table" ref="Y1:AC2" tableType="queryTable" insertRow="1" totalsRowShown="0">
  <autoFilter ref="Y1:AC2" xr:uid="{600EB2CD-E1E9-46BB-9EFE-220EEA3F8A28}"/>
  <tableColumns count="5">
    <tableColumn id="1" xr3:uid="{307A3730-6D80-401C-8184-63615AD72009}" uniqueName="1" name="Quarter Hour Type" queryTableFieldId="1" dataDxfId="70"/>
    <tableColumn id="2" xr3:uid="{40E1CC80-3AFF-4183-8A2B-EFEA57E1A5AF}" uniqueName="2" name="Records" queryTableFieldId="2" dataDxfId="69"/>
    <tableColumn id="3" xr3:uid="{A21A4110-C649-4B12-B2FF-261348A42021}" uniqueName="3" name="Percent of Records" queryTableFieldId="3" dataDxfId="68" dataCellStyle="Percent"/>
    <tableColumn id="4" xr3:uid="{7E9C1DCB-7A70-4919-B815-9908955FB839}" uniqueName="4" name="Days" queryTableFieldId="4" dataDxfId="67"/>
    <tableColumn id="5" xr3:uid="{5B97E5F8-83D5-4F96-82E6-8EBD148B619E}" uniqueName="5" name="Percent of Days" queryTableFieldId="5" dataDxfId="66" dataCellStyle="Percent"/>
  </tableColumns>
  <tableStyleInfo name="TableStyleMedium12" showFirstColumn="0" showLastColumn="0" showRowStripes="0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1A07035-C1EB-49D3-AFFC-1809CEE06362}" name="Pay_Data" displayName="Pay_Data" ref="A1:HL2" tableType="queryTable" insertRow="1" totalsRowShown="0">
  <autoFilter ref="A1:HL2" xr:uid="{91A07035-C1EB-49D3-AFFC-1809CEE06362}"/>
  <tableColumns count="220">
    <tableColumn id="4" xr3:uid="{7EDC0793-3AAC-4854-9248-4CBC0AAF4D33}" uniqueName="4" name="Pay_ID_Prior_Qtr" queryTableFieldId="52"/>
    <tableColumn id="11" xr3:uid="{96CF0558-D959-4373-B6D3-C0B3B964BE18}" uniqueName="11" name="Pay_ID_Current_Qtr" queryTableFieldId="53"/>
    <tableColumn id="22" xr3:uid="{A4C08645-72EF-4A00-AC6E-CDE8A0F746EF}" uniqueName="22" name="Pay_ID_Prior_Period_End" queryTableFieldId="54"/>
    <tableColumn id="12" xr3:uid="{61E5233C-B248-4A28-A312-FE50B83E1B7D}" uniqueName="12" name="Pay_ID_Period_End" queryTableFieldId="12"/>
    <tableColumn id="3" xr3:uid="{68E440A0-DD1C-4A3F-B543-34EBDCAEDDFB}" uniqueName="3" name="Pay_Code" queryTableFieldId="3"/>
    <tableColumn id="23" xr3:uid="{957DCE53-44F6-4941-9B5F-C3C605DC9027}" uniqueName="23" name="Pay_Code_Rate_Type" queryTableFieldId="522" dataDxfId="65"/>
    <tableColumn id="2" xr3:uid="{494BFF75-5ED2-4F58-BF76-9ACED23DAEAF}" uniqueName="2" name="CA_min_wage" queryTableFieldId="51"/>
    <tableColumn id="177" xr3:uid="{A6F3C254-9D36-4753-BB77-1A7A7E1B27E8}" uniqueName="177" name="Pay_Source" queryTableFieldId="259"/>
    <tableColumn id="24" xr3:uid="{BAC1B267-F360-421D-A83B-47187FBB533F}" uniqueName="24" name="Pay_Page" queryTableFieldId="523"/>
    <tableColumn id="36" xr3:uid="{4FB398F9-7CD1-42C9-8587-510520FEF520}" uniqueName="36" name="Pay_Rate" queryTableFieldId="59"/>
    <tableColumn id="8" xr3:uid="{B0EA6E7B-F063-4EB6-BCE7-ED10C7AA7AB5}" uniqueName="8" name="Pay_Hours" queryTableFieldId="8"/>
    <tableColumn id="10" xr3:uid="{FE256B6F-3359-425E-BDA9-6BF982A54B55}" uniqueName="10" name="Pay_Amount" queryTableFieldId="10"/>
    <tableColumn id="6" xr3:uid="{DE622666-7C61-4AF1-B4AE-FDC4C94E7103}" uniqueName="6" name="Pay_Period_End" queryTableFieldId="6" dataDxfId="64"/>
    <tableColumn id="7" xr3:uid="{2D1076D5-8161-42A6-91DE-90F1B61879E5}" uniqueName="7" name="Pay_Date" queryTableFieldId="43" dataDxfId="63"/>
    <tableColumn id="1" xr3:uid="{661DD376-C9F9-463E-9C4F-88CE723E74D4}" uniqueName="1" name="Pay_ID" queryTableFieldId="1"/>
    <tableColumn id="5" xr3:uid="{2BCF9B98-8647-4D8E-A5F5-FC6B253BD479}" uniqueName="5" name="Pay_Name" queryTableFieldId="5"/>
    <tableColumn id="25" xr3:uid="{46972094-137C-43AA-B2F6-4D9B8ADB848D}" uniqueName="25" name="PP_Beg_In_Pay" queryTableFieldId="524" dataDxfId="62"/>
    <tableColumn id="35" xr3:uid="{DAF8BC2C-F020-4C50-B4D5-6769B1EA0B74}" uniqueName="35" name="PP_End_In_Pay" queryTableFieldId="525" dataDxfId="61"/>
    <tableColumn id="37" xr3:uid="{1EEEC703-D39B-42E1-B59B-87CF978E04EB}" uniqueName="37" name="pay_period_end_weekday" queryTableFieldId="60"/>
    <tableColumn id="38" xr3:uid="{C57C100D-97FC-42DD-8275-05F284149EA8}" uniqueName="38" name="days_btwn_pay_period_ends" queryTableFieldId="61"/>
    <tableColumn id="39" xr3:uid="{627F8995-02F7-4190-A05B-92AE6C538199}" uniqueName="39" name="Pay_Key_Gps" queryTableFieldId="62"/>
    <tableColumn id="146" xr3:uid="{F14761F0-3188-4335-A24D-E5F599FEB96A}" uniqueName="146" name="double_CA_min_wage" queryTableFieldId="295"/>
    <tableColumn id="40" xr3:uid="{627A1BE6-17A7-4D4B-93F0-5B9C7D87B2F8}" uniqueName="40" name="Prior_Pay_Date" queryTableFieldId="63" dataDxfId="60"/>
    <tableColumn id="41" xr3:uid="{DD39B8CC-2FE5-4918-8C69-2DC437F1A890}" uniqueName="41" name="Prior_Pay_Period_End" queryTableFieldId="64" dataDxfId="59"/>
    <tableColumn id="42" xr3:uid="{3F828354-702C-409E-BA91-AB5F538C9E30}" uniqueName="42" name="Current_Qtr" queryTableFieldId="65"/>
    <tableColumn id="43" xr3:uid="{9A5585B0-E9E0-4AFB-B33D-9C6F00804B88}" uniqueName="43" name="Prior_Qtr" queryTableFieldId="66"/>
    <tableColumn id="44" xr3:uid="{6C5C41E3-394F-467C-9C36-FF002915D594}" uniqueName="44" name="Current_Semi_Ann" queryTableFieldId="67"/>
    <tableColumn id="45" xr3:uid="{11D12B5F-0863-484E-B16D-C32411964D7A}" uniqueName="45" name="Prior_Semi_Ann" queryTableFieldId="68"/>
    <tableColumn id="46" xr3:uid="{D425A7C0-1F8E-4C41-837E-CC7B3A326ED3}" uniqueName="46" name="Current_Yr" queryTableFieldId="69"/>
    <tableColumn id="47" xr3:uid="{E04FFFE5-B5F0-44CC-90CA-2F0F8DEAE0F5}" uniqueName="47" name="Prior_Yr" queryTableFieldId="70"/>
    <tableColumn id="48" xr3:uid="{565C37DC-0521-48AE-AEF5-4D3B8BA99A9D}" uniqueName="48" name="Pay_ID_Current_Semi_Ann" queryTableFieldId="71"/>
    <tableColumn id="49" xr3:uid="{160FF445-8FA0-4772-B249-6F478BC014F2}" uniqueName="49" name="Pay_ID_Prior_Semi_Ann" queryTableFieldId="72"/>
    <tableColumn id="50" xr3:uid="{3F5AB99D-2463-4AD6-8726-37832694FB86}" uniqueName="50" name="Pay_ID_Current_Yr" queryTableFieldId="73"/>
    <tableColumn id="51" xr3:uid="{9212B067-3362-46A0-9E49-36A590BD918C}" uniqueName="51" name="Pay_ID_Prior_Yr" queryTableFieldId="74"/>
    <tableColumn id="52" xr3:uid="{57138446-F8C7-4307-B388-7F1701CBE4BE}" uniqueName="52" name="Pay_pp" queryTableFieldId="75"/>
    <tableColumn id="53" xr3:uid="{BBC71609-4653-4AFF-9469-5A8B1A20280B}" uniqueName="53" name="Pay_ee" queryTableFieldId="76"/>
    <tableColumn id="9" xr3:uid="{F41E6D3C-3C97-4120-851E-DC16291C27BC}" uniqueName="9" name="Calc_Rate" queryTableFieldId="44"/>
    <tableColumn id="14" xr3:uid="{53ABAFE7-5139-4293-9121-C1A4CC3DF9E7}" uniqueName="14" name="OT_Pay_Code" queryTableFieldId="14"/>
    <tableColumn id="15" xr3:uid="{A3A80D5D-50A8-4509-9AA6-388176B8F618}" uniqueName="15" name="DT_Pay_Code" queryTableFieldId="15"/>
    <tableColumn id="16" xr3:uid="{12215723-9C8A-485F-B8B9-7BCB5663C487}" uniqueName="16" name="Reg_Pay_Code" queryTableFieldId="16"/>
    <tableColumn id="17" xr3:uid="{7058CAB2-4EAD-4924-BE76-2323E3A048F6}" uniqueName="17" name="Bon_Pay_Code" queryTableFieldId="17"/>
    <tableColumn id="18" xr3:uid="{1D1A402B-9C60-4F3B-8C03-61E7D894DF43}" uniqueName="18" name="Meal_Pay_Code" queryTableFieldId="18"/>
    <tableColumn id="54" xr3:uid="{B9ECCAE9-418F-4DA5-A570-9863FD94026A}" uniqueName="54" name="Rest_Pay_Code" queryTableFieldId="77"/>
    <tableColumn id="19" xr3:uid="{D6DDFDBF-A3EC-4D77-94D2-0B77D1CD5233}" uniqueName="19" name="Diff_Pay_Code" queryTableFieldId="19"/>
    <tableColumn id="55" xr3:uid="{3D9F7BB2-BB4E-4BD0-B7A2-E3BF286E1561}" uniqueName="55" name="Diff_OT_Pay_Code" queryTableFieldId="78"/>
    <tableColumn id="56" xr3:uid="{9D89D395-3405-4E30-A2DD-8BC9B1BFD201}" uniqueName="56" name="Diff_DT_Pay_Code" queryTableFieldId="79"/>
    <tableColumn id="20" xr3:uid="{FF821A1F-1D49-4754-8C70-4F0692670AEA}" uniqueName="20" name="Sick_Pay_Code" queryTableFieldId="20"/>
    <tableColumn id="13" xr3:uid="{F0DA5DCF-82B0-4575-A208-44FE03298AE8}" uniqueName="13" name="Hrs_Wkd_Pay_Code" queryTableFieldId="13"/>
    <tableColumn id="57" xr3:uid="{BB34A5FE-3020-4AAD-9250-4FB597FF7D3D}" uniqueName="57" name="RROP_Pay_Code" queryTableFieldId="80"/>
    <tableColumn id="165" xr3:uid="{B156B7FD-B0A7-4E9A-8EF0-4FFF882EE412}" uniqueName="165" name="pp_Hrs_Wkd_Pay_Code" queryTableFieldId="235"/>
    <tableColumn id="166" xr3:uid="{4197CC9A-9B9A-42C8-B7B8-369F392A6372}" uniqueName="166" name="pp_Reg_Pay_Code" queryTableFieldId="236"/>
    <tableColumn id="167" xr3:uid="{6DCD6485-81D5-43EE-805D-1F3C5CCE9723}" uniqueName="167" name="pp_OT_Pay_Code" queryTableFieldId="237"/>
    <tableColumn id="168" xr3:uid="{7193F9DE-F6CC-423F-86B4-59D0B76CA222}" uniqueName="168" name="pp_DT_Pay_Code" queryTableFieldId="238"/>
    <tableColumn id="169" xr3:uid="{BD5D256C-46C4-497D-B8E1-8E47C567F1EA}" uniqueName="169" name="pp_Bon_Pay_Code" queryTableFieldId="239"/>
    <tableColumn id="170" xr3:uid="{27F7F210-A42B-4111-8A54-643D1F7C84FC}" uniqueName="170" name="pp_Meal_Pay_Code" queryTableFieldId="240"/>
    <tableColumn id="171" xr3:uid="{074D9543-4620-4F6D-8055-5D17836C6A42}" uniqueName="171" name="pp_Rest_Pay_Code" queryTableFieldId="241"/>
    <tableColumn id="172" xr3:uid="{E026E349-F3B7-4572-9140-BECB73DCC0C4}" uniqueName="172" name="pp_Diff_Pay_Code" queryTableFieldId="242"/>
    <tableColumn id="173" xr3:uid="{42E1F981-6818-4429-B7E5-BD300D807DF9}" uniqueName="173" name="pp_Diff_OT_Pay_Code" queryTableFieldId="243"/>
    <tableColumn id="174" xr3:uid="{3000B4E7-3A4F-494C-B1B6-63B4CC22292C}" uniqueName="174" name="pp_Diff_DT_Pay_Code" queryTableFieldId="244"/>
    <tableColumn id="175" xr3:uid="{384716E0-CB59-4238-B666-23FF92D27B48}" uniqueName="175" name="pp_Sick_Pay_Code" queryTableFieldId="245"/>
    <tableColumn id="176" xr3:uid="{6F177C7A-1ED0-486A-9D96-A7FD729BF756}" uniqueName="176" name="pp_RROP_Pay_Code" queryTableFieldId="246"/>
    <tableColumn id="21" xr3:uid="{B7815620-C8A2-4128-84FA-6D6F702A55A1}" uniqueName="21" name="Base_Rate_Row" queryTableFieldId="21"/>
    <tableColumn id="58" xr3:uid="{F46D4C14-7B93-4CB9-8DD0-C4CB7BE3D815}" uniqueName="58" name="Unique_Valid_Rates" queryTableFieldId="81"/>
    <tableColumn id="26" xr3:uid="{B36DC868-429A-4F4A-92AB-726530E2C095}" uniqueName="26" name="Base_Rate1" queryTableFieldId="26"/>
    <tableColumn id="27" xr3:uid="{42F5B1D4-F618-4EA4-B01D-267877EBE749}" uniqueName="27" name="Base_Rate2" queryTableFieldId="27"/>
    <tableColumn id="28" xr3:uid="{7663575A-B031-4757-A812-C6AD33B84589}" uniqueName="28" name="Base_Rate3" queryTableFieldId="28"/>
    <tableColumn id="29" xr3:uid="{664A5F85-34B4-43C0-9456-2A15C3D7B93E}" uniqueName="29" name="Multiplier1" queryTableFieldId="29"/>
    <tableColumn id="30" xr3:uid="{80BBB0AA-C7CE-4BD0-BC73-348D0F4A7805}" uniqueName="30" name="Multiplier2" queryTableFieldId="30"/>
    <tableColumn id="31" xr3:uid="{7674EF94-8FDA-4D4F-AA8F-B87AA0344E2F}" uniqueName="31" name="Multiplier3" queryTableFieldId="31"/>
    <tableColumn id="32" xr3:uid="{0ECD1C78-1324-40C9-900B-348661D38D0A}" uniqueName="32" name="max_mult" queryTableFieldId="32"/>
    <tableColumn id="33" xr3:uid="{09D3D189-AECF-4316-B968-C37D91306AAA}" uniqueName="33" name="Rate_Gp" queryTableFieldId="33"/>
    <tableColumn id="147" xr3:uid="{CF189CAB-7D88-4535-A9F4-93711B7BC259}" uniqueName="147" name="Below_CA_Min" queryTableFieldId="296"/>
    <tableColumn id="135" xr3:uid="{3D254178-BEED-46BE-AC14-03BE29163D46}" uniqueName="135" name="is_off_cycle" queryTableFieldId="158"/>
    <tableColumn id="136" xr3:uid="{65D61985-5AF9-4D83-8497-66C7B8FD983C}" uniqueName="136" name="prev_Pay_Date" queryTableFieldId="159" dataDxfId="58"/>
    <tableColumn id="137" xr3:uid="{B8C537E4-99A8-400C-BF01-F52E520C583B}" uniqueName="137" name="Pay_Date_Rev" queryTableFieldId="160" dataDxfId="57"/>
    <tableColumn id="138" xr3:uid="{991348D3-59C7-482B-9E57-852A66C18A8D}" uniqueName="138" name="Pay_ID_Pay_Date_Rev" queryTableFieldId="161"/>
    <tableColumn id="60" xr3:uid="{5ECB666C-19EA-4351-BCF1-E0F5A8573F2F}" uniqueName="60" name="Rate_Mult" queryTableFieldId="526"/>
    <tableColumn id="148" xr3:uid="{A53788B3-65EA-4353-8187-2067AA034322}" uniqueName="148" name="Rate_Type" queryTableFieldId="297"/>
    <tableColumn id="59" xr3:uid="{808F71A8-A2C9-46F6-A511-0916FE855B60}" uniqueName="59" name="Straight_Time_Amt" queryTableFieldId="82"/>
    <tableColumn id="78" xr3:uid="{A4DCD6D0-16D6-42CB-AA99-050BEC48E49F}" uniqueName="78" name="pp_Base_Rate" queryTableFieldId="527"/>
    <tableColumn id="61" xr3:uid="{83F823F4-21EE-4FDB-9648-2DC74FFE13B6}" uniqueName="61" name="pp_Min_Pay_Date" queryTableFieldId="84" dataDxfId="56"/>
    <tableColumn id="62" xr3:uid="{856FFF3D-F7D3-461B-89C4-3F096CBEFFCB}" uniqueName="62" name="pp_Max_Pay_Date" queryTableFieldId="85" dataDxfId="55"/>
    <tableColumn id="34" xr3:uid="{06386CB7-FDE9-458C-9FC6-4E342EEA488B}" uniqueName="34" name="pp_Hrs_Wkd" queryTableFieldId="34"/>
    <tableColumn id="63" xr3:uid="{3A1C103B-FF5D-4B85-BD3A-DA19D50AE5A5}" uniqueName="63" name="pp_Reg_Hrs" queryTableFieldId="86"/>
    <tableColumn id="64" xr3:uid="{AA4D2CDC-F02C-4245-824B-362D29F0A555}" uniqueName="64" name="pp_OT_Hrs" queryTableFieldId="87"/>
    <tableColumn id="65" xr3:uid="{534EBB5C-6DC0-4C16-8A93-A08B16BF1DC6}" uniqueName="65" name="pp_DT_Hrs" queryTableFieldId="88"/>
    <tableColumn id="66" xr3:uid="{095ED642-7AA1-4F44-BD33-ABBF70F0B6F1}" uniqueName="66" name="pp_Meal_Prem_Hrs" queryTableFieldId="89"/>
    <tableColumn id="67" xr3:uid="{29E336D9-3AEC-4417-93CA-8F79E7512390}" uniqueName="67" name="pp_Rest_Prem_Hrs" queryTableFieldId="90"/>
    <tableColumn id="68" xr3:uid="{D3BF2FAD-729B-4E9F-9015-801838EDDE8F}" uniqueName="68" name="pp_Sick_Hrs" queryTableFieldId="91"/>
    <tableColumn id="69" xr3:uid="{3F7FCE25-E60F-45C2-B33B-DC4093309017}" uniqueName="69" name="pp_Straight_Time_Amt" queryTableFieldId="92"/>
    <tableColumn id="97" xr3:uid="{1AA7DC75-6D01-4418-97DD-338507B7C075}" uniqueName="97" name="pp_Reg_Amt" queryTableFieldId="528"/>
    <tableColumn id="70" xr3:uid="{73ECEF09-2FF7-4D69-AB85-F17EB0BDA8F5}" uniqueName="70" name="pp_OT_Amt" queryTableFieldId="93"/>
    <tableColumn id="71" xr3:uid="{DA855C48-CE72-4D99-BAB5-EC9DA8442BDD}" uniqueName="71" name="pp_DT_Amt" queryTableFieldId="94"/>
    <tableColumn id="72" xr3:uid="{045A0E29-EA20-4F36-90A0-28CF2DC00989}" uniqueName="72" name="pp_Meal_Amt" queryTableFieldId="95"/>
    <tableColumn id="73" xr3:uid="{1201FDEF-B8DA-46C4-AAFE-3E36A12F502B}" uniqueName="73" name="pp_Rest_Amt" queryTableFieldId="96"/>
    <tableColumn id="74" xr3:uid="{2D78E304-2124-470A-A03E-4018BCA40695}" uniqueName="74" name="pp_Sick_Amt" queryTableFieldId="97"/>
    <tableColumn id="75" xr3:uid="{7C2DB158-4C91-4B97-97E0-07C1DFE87347}" uniqueName="75" name="pp_Oth_RROP_Amt" queryTableFieldId="98"/>
    <tableColumn id="76" xr3:uid="{686E2886-9789-4FFD-B4C0-9E74C89EFD79}" uniqueName="76" name="pp_Oth_Amt" queryTableFieldId="99"/>
    <tableColumn id="77" xr3:uid="{7F7D0B75-267C-4C4D-84F1-B92BEDE258EE}" uniqueName="77" name="pp_Rate_Rank" queryTableFieldId="100"/>
    <tableColumn id="116" xr3:uid="{F81CA69B-1A8E-442E-963E-3B2FCD396D3F}" uniqueName="116" name="prior_pp_Base_Rate" queryTableFieldId="529"/>
    <tableColumn id="79" xr3:uid="{652EEFF6-6537-48C8-844C-A55C82353008}" uniqueName="79" name="prior_pp_Min_Pay_Date" queryTableFieldId="102" dataDxfId="54"/>
    <tableColumn id="80" xr3:uid="{A5510521-7936-4002-8DD4-D485574F6BEF}" uniqueName="80" name="prior_pp_Max_Pay_Date" queryTableFieldId="103" dataDxfId="53"/>
    <tableColumn id="81" xr3:uid="{384D0943-133E-4E5E-9102-475BC2B1DF60}" uniqueName="81" name="prior_pp_Hrs_Wkd" queryTableFieldId="104"/>
    <tableColumn id="82" xr3:uid="{B1423999-18C8-4C64-839A-5847F0B85194}" uniqueName="82" name="prior_pp_Reg_Hrs" queryTableFieldId="105"/>
    <tableColumn id="83" xr3:uid="{BB61A2F7-900A-4C41-B73A-1B33695A78CE}" uniqueName="83" name="prior_pp_OT_Hrs" queryTableFieldId="106"/>
    <tableColumn id="84" xr3:uid="{7FA3C087-D621-4417-BBE9-E50FDFD33689}" uniqueName="84" name="prior_pp_DT_Hrs" queryTableFieldId="107"/>
    <tableColumn id="85" xr3:uid="{4F0FF9B7-51DC-4A46-806B-2D4C4E96D64F}" uniqueName="85" name="prior_pp_Meal_Prem_Hrs" queryTableFieldId="108"/>
    <tableColumn id="86" xr3:uid="{96A85230-AA05-41EE-ABE1-665303A0EA0A}" uniqueName="86" name="prior_pp_Rest_Prem_Hrs" queryTableFieldId="109"/>
    <tableColumn id="87" xr3:uid="{90D5C6B3-F848-4D3F-9B7B-34C7A199D407}" uniqueName="87" name="prior_pp_Sick_Hrs" queryTableFieldId="110"/>
    <tableColumn id="88" xr3:uid="{BAF06EDE-912E-48E4-B7A9-291F6655EDB8}" uniqueName="88" name="prior_pp_Straight_Time_Amt" queryTableFieldId="111"/>
    <tableColumn id="139" xr3:uid="{4DD1B573-5958-44ED-9E69-D219CC0036B2}" uniqueName="139" name="prior_pp_Reg_Amt" queryTableFieldId="530"/>
    <tableColumn id="89" xr3:uid="{FB303E39-437D-44C5-86FB-0BA142F602B8}" uniqueName="89" name="prior_pp_OT_Amt" queryTableFieldId="112"/>
    <tableColumn id="90" xr3:uid="{9368C47E-C097-42CC-B553-AC7EE8D6B3EF}" uniqueName="90" name="prior_pp_DT_Amt" queryTableFieldId="113"/>
    <tableColumn id="91" xr3:uid="{886972A0-27A8-4692-95AA-D65FFB7C6BEE}" uniqueName="91" name="prior_pp_Meal_Amt" queryTableFieldId="114"/>
    <tableColumn id="92" xr3:uid="{7887F9E2-008E-41C0-B8EA-88BBFE279DB4}" uniqueName="92" name="prior_pp_Rest_Amt" queryTableFieldId="115"/>
    <tableColumn id="93" xr3:uid="{9B2F76BE-DDD8-4232-BC0A-6F887404571A}" uniqueName="93" name="prior_pp_Sick_Amt" queryTableFieldId="116"/>
    <tableColumn id="94" xr3:uid="{1D903C6D-2170-479D-B65D-3D467821BE32}" uniqueName="94" name="prior_pp_Oth_RROP_Amt" queryTableFieldId="117"/>
    <tableColumn id="95" xr3:uid="{26C7C506-A2E0-4AFF-B578-C78B78092156}" uniqueName="95" name="prior_pp_Oth_Amt" queryTableFieldId="118"/>
    <tableColumn id="96" xr3:uid="{FAF67B31-0DE6-46F6-97BC-26C21BA94269}" uniqueName="96" name="prior_pp_Rate_Rank" queryTableFieldId="119"/>
    <tableColumn id="140" xr3:uid="{F83656DE-194E-4214-B3E7-7FDC76B6FF6D}" uniqueName="140" name="qtr_Base_Rate" queryTableFieldId="531"/>
    <tableColumn id="98" xr3:uid="{83CA5F1B-8F41-405E-B9EB-00354231695C}" uniqueName="98" name="qtr_Min_Pay_Date" queryTableFieldId="121" dataDxfId="52"/>
    <tableColumn id="99" xr3:uid="{D3C4940B-78CB-4DFC-8140-0E76B55D0307}" uniqueName="99" name="qtr_Max_Pay_Date" queryTableFieldId="122" dataDxfId="51"/>
    <tableColumn id="100" xr3:uid="{F6B5F0D5-F08E-4A46-A356-CEFA65FCF93B}" uniqueName="100" name="qtr_Hrs_Wkd" queryTableFieldId="123"/>
    <tableColumn id="101" xr3:uid="{4B30B5AD-274F-4AA8-A779-5622AB825D33}" uniqueName="101" name="qtr_Reg_Hrs" queryTableFieldId="124"/>
    <tableColumn id="102" xr3:uid="{EC531F50-1283-4B0F-84D0-5B53D71BA2C2}" uniqueName="102" name="qtr_OT_Hrs" queryTableFieldId="125"/>
    <tableColumn id="103" xr3:uid="{8F992421-74AE-47ED-9466-D886ADD39D7C}" uniqueName="103" name="qtr_DT_Hrs" queryTableFieldId="126"/>
    <tableColumn id="104" xr3:uid="{7AE008CC-FDA8-46E4-877C-79194477447D}" uniqueName="104" name="qtr_Meal_Prem_Hrs" queryTableFieldId="127"/>
    <tableColumn id="105" xr3:uid="{103DCC38-CD9E-4375-9AAF-44882C49ACBD}" uniqueName="105" name="qtr_Rest_Prem_Hrs" queryTableFieldId="128"/>
    <tableColumn id="106" xr3:uid="{B318E411-9961-435F-BDFE-ABB06F652BD9}" uniqueName="106" name="qtr_Sick_Hrs" queryTableFieldId="129"/>
    <tableColumn id="107" xr3:uid="{84BDD864-CDB3-4281-9BFE-AA9A169849BC}" uniqueName="107" name="qtr_Straight_Time_Amt" queryTableFieldId="130"/>
    <tableColumn id="141" xr3:uid="{1DF86B4B-593A-4D85-A764-018DDF572530}" uniqueName="141" name="qtr_Reg_Amt" queryTableFieldId="532"/>
    <tableColumn id="108" xr3:uid="{CF98114A-07E0-4375-9599-5D3D43E62E9F}" uniqueName="108" name="qtr_OT_Amt" queryTableFieldId="131"/>
    <tableColumn id="109" xr3:uid="{196C4CBC-18DA-4D82-9880-15B0C4890906}" uniqueName="109" name="qtr_DT_Amt" queryTableFieldId="132"/>
    <tableColumn id="110" xr3:uid="{D9C682BB-1B8D-41C5-946F-A959F4C529F2}" uniqueName="110" name="qtr_Meal_Amt" queryTableFieldId="133"/>
    <tableColumn id="111" xr3:uid="{12C5E030-C352-4B38-A8D6-556632E847A4}" uniqueName="111" name="qtr_Rest_Amt" queryTableFieldId="134"/>
    <tableColumn id="112" xr3:uid="{A5D0208B-8D7D-428D-B1C8-461BCC38AC93}" uniqueName="112" name="qtr_Sick_Amt" queryTableFieldId="135"/>
    <tableColumn id="113" xr3:uid="{D551236E-EA4A-4849-A3CA-527AEE55D739}" uniqueName="113" name="qtr_Oth_RROP_Amt" queryTableFieldId="136"/>
    <tableColumn id="114" xr3:uid="{52535A50-004C-4405-B292-DADA285FA3A2}" uniqueName="114" name="qtr_Oth_Amt" queryTableFieldId="137"/>
    <tableColumn id="115" xr3:uid="{90168E6F-0C3E-48C8-8512-61C3577856A9}" uniqueName="115" name="qtr_Rate_Rank" queryTableFieldId="138"/>
    <tableColumn id="142" xr3:uid="{079C0877-655B-4DD1-A454-481EFB123C67}" uniqueName="142" name="prior_qtr_Base_Rate" queryTableFieldId="533"/>
    <tableColumn id="117" xr3:uid="{425449D5-FDC8-406B-9E25-22B2FA9C1A1D}" uniqueName="117" name="prior_qtr_Min_Pay_Date" queryTableFieldId="140" dataDxfId="50"/>
    <tableColumn id="118" xr3:uid="{2F251598-19DB-4A97-8383-D263A1B6DC5D}" uniqueName="118" name="prior_qtr_Max_Pay_Date" queryTableFieldId="141" dataDxfId="49"/>
    <tableColumn id="119" xr3:uid="{8442884A-15E8-4182-A5BB-E0B350563D19}" uniqueName="119" name="prior_qtr_Hrs_Wkd" queryTableFieldId="142"/>
    <tableColumn id="120" xr3:uid="{C6046C32-47D3-4680-986E-0AD491DAC291}" uniqueName="120" name="prior_qtr_Reg_Hrs" queryTableFieldId="143"/>
    <tableColumn id="121" xr3:uid="{ECF3C065-EBE9-40FE-A0C5-E64D8F01B7CD}" uniqueName="121" name="prior_qtr_OT_Hrs" queryTableFieldId="144"/>
    <tableColumn id="122" xr3:uid="{425C1DCE-834F-4929-B047-00882D88F705}" uniqueName="122" name="prior_qtr_DT_Hrs" queryTableFieldId="145"/>
    <tableColumn id="123" xr3:uid="{0A0F6ED2-940C-41B1-BACB-5EB9A6D36178}" uniqueName="123" name="prior_qtr_Meal_Prem_Hrs" queryTableFieldId="146"/>
    <tableColumn id="124" xr3:uid="{F1F683B9-4372-46C2-A6D3-2D220D24EB46}" uniqueName="124" name="prior_qtr_Rest_Prem_Hrs" queryTableFieldId="147"/>
    <tableColumn id="125" xr3:uid="{9C1BD155-2C24-465E-99D8-BFFB382DD621}" uniqueName="125" name="prior_qtr_Sick_Hrs" queryTableFieldId="148"/>
    <tableColumn id="126" xr3:uid="{CBED8829-6937-4F43-B728-7FDED390F8E1}" uniqueName="126" name="prior_qtr_Straight_Time_Amt" queryTableFieldId="149"/>
    <tableColumn id="143" xr3:uid="{9784E054-65C5-4025-8C26-8CB17859D4E2}" uniqueName="143" name="prior_qtr_Reg_Amt" queryTableFieldId="534"/>
    <tableColumn id="127" xr3:uid="{54A16A9A-5262-4A41-AEA8-CC3DC22FE32D}" uniqueName="127" name="prior_qtr_OT_Amt" queryTableFieldId="150"/>
    <tableColumn id="128" xr3:uid="{9623EA02-AD3B-4ED3-833D-159012B634AF}" uniqueName="128" name="prior_qtr_DT_Amt" queryTableFieldId="151"/>
    <tableColumn id="129" xr3:uid="{8E2F4656-0902-43A9-BB71-9A5D8369C23D}" uniqueName="129" name="prior_qtr_Meal_Amt" queryTableFieldId="152"/>
    <tableColumn id="130" xr3:uid="{244F3128-EF61-40C2-AF45-95E5F77070E1}" uniqueName="130" name="prior_qtr_Rest_Amt" queryTableFieldId="153"/>
    <tableColumn id="131" xr3:uid="{CF694D9C-8754-4FBF-9C76-B68ADD6AEC88}" uniqueName="131" name="prior_qtr_Sick_Amt" queryTableFieldId="154"/>
    <tableColumn id="132" xr3:uid="{F7751C52-5AC6-402A-8A69-93B46C420C4C}" uniqueName="132" name="prior_qtr_Oth_RROP_Amt" queryTableFieldId="155"/>
    <tableColumn id="133" xr3:uid="{DB0FD7E0-FA2D-4E05-8F6F-F32AAA38C1D8}" uniqueName="133" name="prior_qtr_Oth_Amt" queryTableFieldId="156"/>
    <tableColumn id="134" xr3:uid="{35A6F810-D3F2-4A43-A392-70F68C3A866C}" uniqueName="134" name="prior_qtr_Rate_Rank" queryTableFieldId="157"/>
    <tableColumn id="144" xr3:uid="{D4ED8243-A06C-4B45-A0AE-9C05EDFC8ADE}" uniqueName="144" name="Bonus" queryTableFieldId="535"/>
    <tableColumn id="145" xr3:uid="{AB0AF737-C722-4B27-AD4C-6AF8B1180F3E}" uniqueName="145" name="Commission" queryTableFieldId="536"/>
    <tableColumn id="149" xr3:uid="{BEC00623-39AA-46B0-AB81-31D3AE95A760}" uniqueName="149" name="BONUS REVIW" queryTableFieldId="537"/>
    <tableColumn id="150" xr3:uid="{CE22F29D-1F7E-41EC-8978-A24D2F6757A9}" uniqueName="150" name="BONUS (field 4)" queryTableFieldId="538"/>
    <tableColumn id="151" xr3:uid="{535D4E9E-74A5-4483-8828-0302DAA758BF}" uniqueName="151" name="COMMISSION (field 4)" queryTableFieldId="539"/>
    <tableColumn id="152" xr3:uid="{B758973A-0929-4D78-B07C-5497A24BFD2E}" uniqueName="152" name="Bonus_FLSA_rrop" queryTableFieldId="540"/>
    <tableColumn id="153" xr3:uid="{984FDC44-11F7-4CA2-93C6-55CB59F2B536}" uniqueName="153" name="Commission_FLSA_rrop" queryTableFieldId="541"/>
    <tableColumn id="154" xr3:uid="{F4C76F2D-DE89-441F-AE31-1B1D89190FE6}" uniqueName="154" name="BONUS REVIW_FLSA_rrop" queryTableFieldId="542"/>
    <tableColumn id="159" xr3:uid="{F9D2183F-A06E-44D6-9D3D-BF44982C915A}" uniqueName="159" name="BONUS (field 4)_FLSA_rrop" queryTableFieldId="543"/>
    <tableColumn id="160" xr3:uid="{B3A019C7-E5AE-4741-80E9-9485B2A1CF20}" uniqueName="160" name="COMMISSION (field 4)_FLSA_rrop" queryTableFieldId="544"/>
    <tableColumn id="161" xr3:uid="{50E001DB-3140-4FDB-AE3F-183D0D8EC7D3}" uniqueName="161" name="Bonus_FLSA_rrop_OT_wage" queryTableFieldId="545"/>
    <tableColumn id="162" xr3:uid="{3149DE9C-A552-405F-A6E6-A1CA53950533}" uniqueName="162" name="Bonus_FLSA_rrop_DT_wage" queryTableFieldId="546"/>
    <tableColumn id="163" xr3:uid="{253652D4-B67D-488C-A0FA-9329F7DE4E3A}" uniqueName="163" name="Bonus_FLSA_rrop_Meal_wage" queryTableFieldId="547"/>
    <tableColumn id="164" xr3:uid="{E11F765A-1AB1-46B4-A542-6DD097E674E1}" uniqueName="164" name="Bonus_FLSA_rrop_Rest_wage" queryTableFieldId="548"/>
    <tableColumn id="178" xr3:uid="{32F33E82-93B0-4F4F-8B50-FE089A534BAB}" uniqueName="178" name="Bonus_FLSA_rrop_Sick_wage" queryTableFieldId="549"/>
    <tableColumn id="179" xr3:uid="{FEB0BB66-56CB-4D53-9BAC-14F5C2256181}" uniqueName="179" name="Commission_FLSA_rrop_OT_wage" queryTableFieldId="550"/>
    <tableColumn id="180" xr3:uid="{E4D5ADBF-A44B-4C3D-9953-34F307F7B4B2}" uniqueName="180" name="Commission_FLSA_rrop_DT_wage" queryTableFieldId="551"/>
    <tableColumn id="181" xr3:uid="{C6085CA6-F4A0-49C3-9DB2-B1ED06B19C79}" uniqueName="181" name="Commission_FLSA_rrop_Meal_wage" queryTableFieldId="552"/>
    <tableColumn id="182" xr3:uid="{85CEF3A0-594E-45D3-9C4A-0D4785A4A684}" uniqueName="182" name="Commission_FLSA_rrop_Rest_wage" queryTableFieldId="553"/>
    <tableColumn id="183" xr3:uid="{AAEDB67D-D611-4E1B-949B-D3642476F7A6}" uniqueName="183" name="Commission_FLSA_rrop_Sick_wage" queryTableFieldId="554"/>
    <tableColumn id="184" xr3:uid="{B59B5BD0-B8FC-43E0-8C3E-372A7F627C2C}" uniqueName="184" name="BONUS REVIW_FLSA_rrop_OT_wage" queryTableFieldId="555"/>
    <tableColumn id="185" xr3:uid="{8644EBC9-C503-40A3-B3B6-DED2DCDCCFB6}" uniqueName="185" name="BONUS REVIW_FLSA_rrop_DT_wage" queryTableFieldId="556"/>
    <tableColumn id="186" xr3:uid="{074D34CF-DCC1-44C7-94FB-F9B188121203}" uniqueName="186" name="BONUS REVIW_FLSA_rrop_Meal_wage" queryTableFieldId="557"/>
    <tableColumn id="187" xr3:uid="{E6F514F0-7F3A-4CD4-A3E1-6CE71FD9F630}" uniqueName="187" name="BONUS REVIW_FLSA_rrop_Rest_wage" queryTableFieldId="558"/>
    <tableColumn id="188" xr3:uid="{055DCD1D-4ED2-44DE-A3C5-DF5596300C9C}" uniqueName="188" name="BONUS REVIW_FLSA_rrop_Sick_wage" queryTableFieldId="559"/>
    <tableColumn id="189" xr3:uid="{AD5DE89A-0720-45E9-983F-7F7C8AF3522A}" uniqueName="189" name="BONUS (field 4)_FLSA_rrop_OT_wage" queryTableFieldId="560"/>
    <tableColumn id="190" xr3:uid="{7E5CFD5B-FEA3-4060-9982-5AB77CEB7A97}" uniqueName="190" name="BONUS (field 4)_FLSA_rrop_DT_wage" queryTableFieldId="561"/>
    <tableColumn id="191" xr3:uid="{9227B625-C222-47EE-9647-F9D54C27F6DF}" uniqueName="191" name="BONUS (field 4)_FLSA_rrop_Meal_wage" queryTableFieldId="562"/>
    <tableColumn id="192" xr3:uid="{BB8BD260-B6FC-4D0D-90E7-EF781A4E3429}" uniqueName="192" name="BONUS (field 4)_FLSA_rrop_Rest_wage" queryTableFieldId="563"/>
    <tableColumn id="193" xr3:uid="{62BAF9B7-0C62-474D-8AF8-DBAADED0A867}" uniqueName="193" name="BONUS (field 4)_FLSA_rrop_Sick_wage" queryTableFieldId="564"/>
    <tableColumn id="194" xr3:uid="{B32ACFBC-6C40-421F-81E9-5A0FA971C4F0}" uniqueName="194" name="COMMISSION (field 4)_FLSA_rrop_OT_wage" queryTableFieldId="565"/>
    <tableColumn id="195" xr3:uid="{B2A1E6B1-494E-4373-9382-73438BA976D8}" uniqueName="195" name="COMMISSION (field 4)_FLSA_rrop_DT_wage" queryTableFieldId="566"/>
    <tableColumn id="196" xr3:uid="{103D59CD-BE31-41EA-8AB6-9F533DE41DAA}" uniqueName="196" name="COMMISSION (field 4)_FLSA_rrop_Meal_wage" queryTableFieldId="567"/>
    <tableColumn id="197" xr3:uid="{B9B0E5BA-8CDD-4BEE-A088-323B6F5B3771}" uniqueName="197" name="COMMISSION (field 4)_FLSA_rrop_Rest_wage" queryTableFieldId="568"/>
    <tableColumn id="198" xr3:uid="{F03C1E1A-92F0-4A1E-9CC4-C26F123559DD}" uniqueName="198" name="COMMISSION (field 4)_FLSA_rrop_Sick_wage" queryTableFieldId="569"/>
    <tableColumn id="155" xr3:uid="{C7395673-B8FB-47AC-8E08-5532CA407076}" uniqueName="155" name="rrop_by_code_underpayment" queryTableFieldId="178"/>
    <tableColumn id="156" xr3:uid="{64550C0C-C022-4407-AC4F-A7AD198B0C11}" uniqueName="156" name="RROP" queryTableFieldId="179"/>
    <tableColumn id="157" xr3:uid="{8B6EFE00-8DBD-49B4-8C46-615B490EC518}" uniqueName="157" name="Calc_Tot_Wages" queryTableFieldId="180"/>
    <tableColumn id="158" xr3:uid="{A083379C-833F-48AA-876A-9BC31D9786EC}" uniqueName="158" name="Actual_Wages" queryTableFieldId="181"/>
    <tableColumn id="199" xr3:uid="{B923285B-D30A-41B2-91CA-27F671650C05}" uniqueName="199" name="Wage_Diff" queryTableFieldId="570"/>
    <tableColumn id="200" xr3:uid="{66179EE5-C1C3-4922-A3A3-90E50D2DA857}" uniqueName="200" name="OT_Diff" queryTableFieldId="571"/>
    <tableColumn id="201" xr3:uid="{95DCEC2B-D944-4484-A03E-0565D6E69B4D}" uniqueName="201" name="DT_Diff" queryTableFieldId="572"/>
    <tableColumn id="202" xr3:uid="{F2E0DDDE-9B1E-4EDF-8780-7912397A272D}" uniqueName="202" name="Meal_Diff" queryTableFieldId="573"/>
    <tableColumn id="203" xr3:uid="{C7B018D8-BD0D-4250-9DD1-7E34103143A4}" uniqueName="203" name="Rest_Diff" queryTableFieldId="574"/>
    <tableColumn id="204" xr3:uid="{983812CB-276C-401A-BF95-E11BFDC71D20}" uniqueName="204" name="Sick_Diff" queryTableFieldId="575"/>
    <tableColumn id="205" xr3:uid="{68FE22EF-070D-406E-B332-A69A094F2FD8}" uniqueName="205" name="Net_Overpayment" queryTableFieldId="576"/>
    <tableColumn id="206" xr3:uid="{31AAE4A0-CC06-4F0C-BF9C-4B8BEAB8BC10}" uniqueName="206" name="OT_Overpayment" queryTableFieldId="577"/>
    <tableColumn id="207" xr3:uid="{CE6C9630-DC6E-4037-8398-843CBEE78AAC}" uniqueName="207" name="DT_Overpayment" queryTableFieldId="578"/>
    <tableColumn id="208" xr3:uid="{EB713EA3-235E-4356-BEAC-439E8FFCCC75}" uniqueName="208" name="Meal_Overpayment" queryTableFieldId="579"/>
    <tableColumn id="209" xr3:uid="{AA1F0A9A-1BFE-4615-844C-B270E792ABDC}" uniqueName="209" name="Rest_Overpayment" queryTableFieldId="580"/>
    <tableColumn id="210" xr3:uid="{6BAA9544-91B1-4FA4-8086-C601A4B0998B}" uniqueName="210" name="Sick_Overpayment" queryTableFieldId="581"/>
    <tableColumn id="211" xr3:uid="{B997DBF8-C645-4F8A-AA09-A20758FE7BE5}" uniqueName="211" name="Net_rrop_dmgs" queryTableFieldId="582"/>
    <tableColumn id="212" xr3:uid="{8C6D5234-3E19-4302-8997-E240D401DE88}" uniqueName="212" name="OT_rrop_dmgs" queryTableFieldId="583"/>
    <tableColumn id="213" xr3:uid="{2CD40FF6-4847-452D-A5C4-CE0DEE90FC55}" uniqueName="213" name="DT_rrop_dmgs" queryTableFieldId="584"/>
    <tableColumn id="214" xr3:uid="{F11FC4A3-1820-4F47-A810-CFE6DC0A6146}" uniqueName="214" name="Meal_rrop_dmgs" queryTableFieldId="585"/>
    <tableColumn id="215" xr3:uid="{7FE68DCF-FDC7-47AE-A26E-3BBB3970DBA0}" uniqueName="215" name="Rest_rrop_dmgs" queryTableFieldId="586"/>
    <tableColumn id="216" xr3:uid="{A1F27BE4-CA67-44CF-B4D7-647704C033BC}" uniqueName="216" name="Sick_rrop_dmgs" queryTableFieldId="587"/>
    <tableColumn id="217" xr3:uid="{BF6F284C-414E-41BC-9FFE-436DCD61F383}" uniqueName="217" name="Gross_Overpayment" queryTableFieldId="588"/>
    <tableColumn id="218" xr3:uid="{BFFBCBD9-514A-4DF4-A1E1-92DB594C2AD0}" uniqueName="218" name="Gross_rrop_dmgs" queryTableFieldId="589"/>
    <tableColumn id="219" xr3:uid="{7D01C141-37C9-434A-91CD-8D1C2D3C5B52}" uniqueName="219" name="rrop_any_underpayment" queryTableFieldId="590"/>
    <tableColumn id="220" xr3:uid="{85BCA1EE-FE64-40FC-AC18-9347B1BD9336}" uniqueName="220" name="rrop_net_underpayment" queryTableFieldId="591"/>
  </tableColumns>
  <tableStyleInfo name="TableStyleMedium7" showFirstColumn="0" showLastColumn="0" showRowStripes="0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A01B7D8-FB02-4221-B4D8-0364C7945249}" name="Pay_Code_Analysis" displayName="Pay_Code_Analysis" ref="A1:I2" tableType="queryTable" insertRow="1" totalsRowShown="0">
  <autoFilter ref="A1:I2" xr:uid="{2A01B7D8-FB02-4221-B4D8-0364C7945249}"/>
  <tableColumns count="9">
    <tableColumn id="1" xr3:uid="{E896951F-7610-4A2C-B7F8-5696FA563BA5}" uniqueName="1" name="Key Group" queryTableFieldId="1" dataDxfId="48"/>
    <tableColumn id="2" xr3:uid="{6A39CFA9-3F0F-461A-B6C9-FD2822B67D45}" uniqueName="2" name="Pay Code" queryTableFieldId="2" dataDxfId="47"/>
    <tableColumn id="3" xr3:uid="{43BDEAFD-547B-4AEB-9B38-985DBC471A1F}" uniqueName="3" name="Min Period End" queryTableFieldId="3" dataDxfId="46"/>
    <tableColumn id="4" xr3:uid="{A4B7DBDF-451D-4681-A2DD-327EAD1B7767}" uniqueName="4" name="Max Period End" queryTableFieldId="4" dataDxfId="45"/>
    <tableColumn id="5" xr3:uid="{1A3151D6-F0BB-4ED8-A5AF-E5EBDCB01135}" uniqueName="5" name="Employees" queryTableFieldId="5" dataDxfId="44"/>
    <tableColumn id="6" xr3:uid="{37F645A5-642D-419E-B62E-86AC4C19579C}" uniqueName="6" name="Pay Periods" queryTableFieldId="6" dataDxfId="43"/>
    <tableColumn id="7" xr3:uid="{C5DAA3A5-34E1-4380-A5E0-DCFE29EF8C05}" uniqueName="7" name="Hours" queryTableFieldId="7" dataDxfId="42"/>
    <tableColumn id="8" xr3:uid="{F6C4F1F7-1FE7-43E6-B4A9-9D3DBB36B063}" uniqueName="8" name="Amount" queryTableFieldId="8" dataDxfId="41"/>
    <tableColumn id="9" xr3:uid="{0065E1CF-FFA7-4099-B311-CE0A2D6FCCD0}" uniqueName="9" name="Avg Amount" queryTableFieldId="9" dataDxfId="40"/>
  </tableColumns>
  <tableStyleInfo name="TableStyleMedium7" showFirstColumn="0" showLastColumn="0" showRowStripes="0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E12BC9-37EC-4FB9-B9E2-19C72A218FC7}" name="Pay_Rate_Type_Analysis_2" displayName="Pay_Rate_Type_Analysis_2" ref="A1:J2" tableType="queryTable" insertRow="1" totalsRowShown="0">
  <autoFilter ref="A1:J2" xr:uid="{78E12BC9-37EC-4FB9-B9E2-19C72A218FC7}"/>
  <tableColumns count="10">
    <tableColumn id="1" xr3:uid="{51CB8442-D03D-4102-815F-629827241C64}" uniqueName="1" name="Pay Code" queryTableFieldId="3" dataDxfId="39"/>
    <tableColumn id="2" xr3:uid="{2CD0CB87-7442-4D9F-905B-EF3F681FD3C0}" uniqueName="2" name="Records" queryTableFieldId="4" dataDxfId="38"/>
    <tableColumn id="3" xr3:uid="{A72873C4-9851-4485-9183-8A52196BD2B2}" uniqueName="3" name="Employees" queryTableFieldId="5" dataDxfId="37"/>
    <tableColumn id="4" xr3:uid="{675CFB19-87FC-4219-B3E4-8D27EDEC8339}" uniqueName="4" name="Hours" queryTableFieldId="6" dataDxfId="36"/>
    <tableColumn id="5" xr3:uid="{EEB7056F-14E2-489E-95B8-67D9784497EB}" uniqueName="5" name="Amount" queryTableFieldId="7" dataDxfId="35"/>
    <tableColumn id="6" xr3:uid="{42453932-7029-4A7A-8197-645676EC70CF}" uniqueName="6" name="Avg Rate" queryTableFieldId="8" dataDxfId="34"/>
    <tableColumn id="7" xr3:uid="{2CD34537-02CF-4597-9595-25B0036A33F5}" uniqueName="7" name="Avg Mult" queryTableFieldId="9" dataDxfId="33"/>
    <tableColumn id="8" xr3:uid="{0838FD36-A9EE-41BD-9E76-8B54E44CC6A3}" uniqueName="8" name="Rate Type" queryTableFieldId="10" dataDxfId="32"/>
    <tableColumn id="9" xr3:uid="{83074894-F023-4A85-9704-48E685ECCF94}" uniqueName="9" name="Rate Type Pct" queryTableFieldId="11" dataDxfId="31" dataCellStyle="Percent"/>
    <tableColumn id="10" xr3:uid="{355CEDB8-46A6-4383-83B6-90B2F62AACDE}" uniqueName="10" name="Pay Code Category" queryTableFieldId="12" dataDxfId="30"/>
  </tableColumns>
  <tableStyleInfo name="TableStyleMedium7" showFirstColumn="0" showLastColumn="0" showRowStripes="0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7B23636-8A0B-424E-A387-857880A7D8D9}" name="IDs___Rcds_Removed" displayName="IDs___Rcds_Removed" ref="A1:I2" tableType="queryTable" insertRow="1" totalsRowShown="0">
  <autoFilter ref="A1:I2" xr:uid="{67B23636-8A0B-424E-A387-857880A7D8D9}"/>
  <tableColumns count="9">
    <tableColumn id="1" xr3:uid="{228A2C0C-D96B-4104-BCE2-3F0D1029DA2E}" uniqueName="1" name="table" queryTableFieldId="1" dataDxfId="29"/>
    <tableColumn id="2" xr3:uid="{17EEE767-6791-4D60-A37A-56207E944962}" uniqueName="2" name="records_before" queryTableFieldId="2" dataDxfId="28"/>
    <tableColumn id="3" xr3:uid="{61C7B72D-1C2E-4668-9932-63ED2C1F8208}" uniqueName="3" name="ids_before" queryTableFieldId="3" dataDxfId="27"/>
    <tableColumn id="4" xr3:uid="{8E7C9CC9-67C5-4A06-81C6-7E65EFCDAD98}" uniqueName="4" name="records_removed_class" queryTableFieldId="4" dataDxfId="26"/>
    <tableColumn id="5" xr3:uid="{4D4205C7-D307-4A2A-ABF3-09C72CB2ECAF}" uniqueName="5" name="ids_removed_class" queryTableFieldId="5" dataDxfId="25"/>
    <tableColumn id="6" xr3:uid="{C7BA0465-C3A9-4016-A5D6-540440B58DCC}" uniqueName="6" name="records_removed_date" queryTableFieldId="6" dataDxfId="24"/>
    <tableColumn id="7" xr3:uid="{07C363AB-1060-4080-BD06-30482771F975}" uniqueName="7" name="ids_removed_date" queryTableFieldId="7" dataDxfId="23"/>
    <tableColumn id="8" xr3:uid="{68D3428E-E0C4-4007-BF2B-A31E60D2C603}" uniqueName="8" name="records_final" queryTableFieldId="8" dataDxfId="22"/>
    <tableColumn id="9" xr3:uid="{338F73BA-8F3B-4E47-AAF2-02B818ED3E17}" uniqueName="9" name="ids_final" queryTableFieldId="9" dataDxfId="21"/>
  </tableColumns>
  <tableStyleInfo name="TableStyleLight1" showFirstColumn="0" showLastColumn="0" showRowStripes="0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EA8A036-CB02-40B7-BDBC-3E4D50850539}" name="Analysis_Log" displayName="Analysis_Log" ref="A1:E2" tableType="queryTable" insertRow="1" totalsRowShown="0">
  <autoFilter ref="A1:E2" xr:uid="{8EA8A036-CB02-40B7-BDBC-3E4D50850539}"/>
  <tableColumns count="5">
    <tableColumn id="6" xr3:uid="{34A9867A-A39A-4E7A-97CE-9A7D3E2A5F87}" uniqueName="6" name="================================================================================" queryTableFieldId="6" dataDxfId="20"/>
    <tableColumn id="1" xr3:uid="{5B924F5C-44E6-4CF9-A589-41074394A250}" uniqueName="1" name="Column1" queryTableFieldId="1" dataDxfId="19"/>
    <tableColumn id="7" xr3:uid="{E354D26E-C1E9-4C93-BDF3-D453051B3809}" uniqueName="7" name="_1" queryTableFieldId="7" dataDxfId="18"/>
    <tableColumn id="8" xr3:uid="{50D7096E-9B6C-4F00-86C7-33DBFA6DD2AA}" uniqueName="8" name="_2" queryTableFieldId="8" dataDxfId="17"/>
    <tableColumn id="9" xr3:uid="{2F555AD2-050A-42F6-876E-075C399CF75D}" uniqueName="9" name="_3" queryTableFieldId="9" dataDxfId="1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13.xml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rs.gov/newsroom/standard-mileage-rates-for-2018-up-from-rates-for-2017" TargetMode="External"/><Relationship Id="rId13" Type="http://schemas.openxmlformats.org/officeDocument/2006/relationships/hyperlink" Target="https://www.irs.gov/newsroom/2014-standard-mileage-rates-for-business-medical-and-moving-announced" TargetMode="External"/><Relationship Id="rId18" Type="http://schemas.openxmlformats.org/officeDocument/2006/relationships/hyperlink" Target="https://www.irs.gov/newsroom/irs-increases-the-standard-mileage-rate-for-business-use-in-2025-key-rate-increases-3-cents-to-70-cents-per-mile" TargetMode="External"/><Relationship Id="rId3" Type="http://schemas.openxmlformats.org/officeDocument/2006/relationships/hyperlink" Target="https://www.irs.gov/newsroom/irs-increases-mileage-rate-for-remainder-of-2022" TargetMode="External"/><Relationship Id="rId7" Type="http://schemas.openxmlformats.org/officeDocument/2006/relationships/hyperlink" Target="https://www.irs.gov/newsroom/irs-issues-standard-mileage-rates-for-2019" TargetMode="External"/><Relationship Id="rId12" Type="http://schemas.openxmlformats.org/officeDocument/2006/relationships/hyperlink" Target="https://www.irs.gov/newsroom/new-standard-mileage-rates-now-available-business-rate-to-rise-in-2015" TargetMode="External"/><Relationship Id="rId17" Type="http://schemas.openxmlformats.org/officeDocument/2006/relationships/hyperlink" Target="https://www.irs.gov/newsroom/irs-announces-2011-standard-mileage-rates" TargetMode="External"/><Relationship Id="rId2" Type="http://schemas.openxmlformats.org/officeDocument/2006/relationships/hyperlink" Target="https://www.irs.gov/newsroom/irs-issues-standard-mileage-rates-for-2023-business-use-increases-3-cents-per-mile" TargetMode="External"/><Relationship Id="rId16" Type="http://schemas.openxmlformats.org/officeDocument/2006/relationships/hyperlink" Target="https://www.irs.gov/newsroom/irs-increases-mileage-rate-to-55-5-cents-per-mile" TargetMode="External"/><Relationship Id="rId20" Type="http://schemas.openxmlformats.org/officeDocument/2006/relationships/printerSettings" Target="../printerSettings/printerSettings13.bin"/><Relationship Id="rId1" Type="http://schemas.openxmlformats.org/officeDocument/2006/relationships/hyperlink" Target="https://www.irs.gov/newsroom/irs-issues-standard-mileage-rates-for-2024-mileage-rate-increases-to-67-cents-a-mile-up-1-point-5-cents-from-2023" TargetMode="External"/><Relationship Id="rId6" Type="http://schemas.openxmlformats.org/officeDocument/2006/relationships/hyperlink" Target="https://www.irs.gov/newsroom/irs-issues-standard-mileage-rates-for-2020" TargetMode="External"/><Relationship Id="rId11" Type="http://schemas.openxmlformats.org/officeDocument/2006/relationships/hyperlink" Target="https://www.irs.gov/newsroom/2016-standard-mileage-rates-for-business-medical-and-moving-announced" TargetMode="External"/><Relationship Id="rId5" Type="http://schemas.openxmlformats.org/officeDocument/2006/relationships/hyperlink" Target="https://www.irs.gov/newsroom/irs-issues-standard-mileage-rates-for-2021" TargetMode="External"/><Relationship Id="rId15" Type="http://schemas.openxmlformats.org/officeDocument/2006/relationships/hyperlink" Target="https://www.irs.gov/irb/2012-02_IRB" TargetMode="External"/><Relationship Id="rId10" Type="http://schemas.openxmlformats.org/officeDocument/2006/relationships/hyperlink" Target="https://www.irs.gov/newsroom/2017-standard-mileage-rates-for-business-medical-and-moving-announced" TargetMode="External"/><Relationship Id="rId19" Type="http://schemas.openxmlformats.org/officeDocument/2006/relationships/hyperlink" Target="https://www.irs.gov/newsroom/irs-increases-the-standard-mileage-rate-for-business-use-in-2025-key-rate-increases-3-cents-to-70-cents-per-mile" TargetMode="External"/><Relationship Id="rId4" Type="http://schemas.openxmlformats.org/officeDocument/2006/relationships/hyperlink" Target="https://www.irs.gov/newsroom/irs-issues-standard-mileage-rates-for-2022" TargetMode="External"/><Relationship Id="rId9" Type="http://schemas.openxmlformats.org/officeDocument/2006/relationships/hyperlink" Target="https://www.irs.gov/newsroom/law-change-affects-moving-mileage-and-travel-expenses" TargetMode="External"/><Relationship Id="rId14" Type="http://schemas.openxmlformats.org/officeDocument/2006/relationships/hyperlink" Target="https://www.irs.gov/newsroom/2013-standard-mileage-rates-up-1-cent-per-mile-for-business-medical-and-mov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25FCC-9975-4E9C-8DE4-D8D526AF7624}">
  <sheetPr>
    <tabColor rgb="FF7030A0"/>
    <pageSetUpPr fitToPage="1"/>
  </sheetPr>
  <dimension ref="A1:AE615"/>
  <sheetViews>
    <sheetView tabSelected="1" zoomScaleNormal="100" zoomScaleSheetLayoutView="100" workbookViewId="0"/>
  </sheetViews>
  <sheetFormatPr defaultColWidth="9.109375" defaultRowHeight="14.4" outlineLevelCol="1" x14ac:dyDescent="0.3"/>
  <cols>
    <col min="1" max="1" width="16.5546875" style="39" bestFit="1" customWidth="1" outlineLevel="1"/>
    <col min="2" max="2" width="8.21875" style="39" bestFit="1" customWidth="1" outlineLevel="1"/>
    <col min="3" max="3" width="9.33203125" style="39" bestFit="1" customWidth="1" outlineLevel="1"/>
    <col min="4" max="4" width="9.44140625" style="39" bestFit="1" customWidth="1" outlineLevel="1"/>
    <col min="5" max="5" width="11.6640625" style="39" bestFit="1" customWidth="1"/>
    <col min="6" max="22" width="9.109375" style="39"/>
    <col min="23" max="23" width="8" style="39" bestFit="1" customWidth="1"/>
    <col min="24" max="24" width="10.77734375" style="39" bestFit="1" customWidth="1"/>
    <col min="25" max="26" width="20.77734375" style="39" bestFit="1" customWidth="1"/>
    <col min="27" max="27" width="13.88671875" style="39" bestFit="1" customWidth="1"/>
    <col min="28" max="28" width="15.109375" style="39" bestFit="1" customWidth="1"/>
    <col min="29" max="29" width="14.21875" style="39" bestFit="1" customWidth="1"/>
    <col min="30" max="30" width="15.88671875" style="39" bestFit="1" customWidth="1"/>
    <col min="31" max="31" width="17.88671875" style="39" bestFit="1" customWidth="1"/>
    <col min="32" max="32" width="26" style="39" bestFit="1" customWidth="1"/>
    <col min="33" max="33" width="18.109375" style="39" bestFit="1" customWidth="1"/>
    <col min="34" max="34" width="29.6640625" style="39" bestFit="1" customWidth="1"/>
    <col min="35" max="35" width="18.6640625" style="39" bestFit="1" customWidth="1"/>
    <col min="36" max="16384" width="9.109375" style="39"/>
  </cols>
  <sheetData>
    <row r="1" spans="1:31" x14ac:dyDescent="0.3">
      <c r="A1" s="298" t="s">
        <v>681</v>
      </c>
      <c r="B1" s="298" t="s">
        <v>0</v>
      </c>
      <c r="D1"/>
      <c r="W1" s="39" t="s">
        <v>1</v>
      </c>
      <c r="X1" t="s">
        <v>693</v>
      </c>
      <c r="Y1" t="s">
        <v>2</v>
      </c>
      <c r="Z1" t="s">
        <v>3</v>
      </c>
      <c r="AA1" t="s">
        <v>694</v>
      </c>
      <c r="AB1" t="s">
        <v>695</v>
      </c>
      <c r="AC1" t="s">
        <v>696</v>
      </c>
      <c r="AD1" t="s">
        <v>697</v>
      </c>
      <c r="AE1" s="39" t="s">
        <v>4</v>
      </c>
    </row>
    <row r="2" spans="1:31" x14ac:dyDescent="0.3">
      <c r="A2" s="298" t="s">
        <v>5</v>
      </c>
      <c r="B2" s="39" t="s">
        <v>6</v>
      </c>
      <c r="C2" s="39" t="s">
        <v>7</v>
      </c>
      <c r="D2"/>
      <c r="X2"/>
      <c r="Y2"/>
      <c r="Z2"/>
      <c r="AA2"/>
      <c r="AB2"/>
      <c r="AC2"/>
      <c r="AD2"/>
    </row>
    <row r="3" spans="1:31" x14ac:dyDescent="0.3">
      <c r="A3" s="299">
        <v>43841</v>
      </c>
      <c r="B3" s="39">
        <v>1</v>
      </c>
      <c r="D3"/>
    </row>
    <row r="4" spans="1:31" x14ac:dyDescent="0.3">
      <c r="A4" s="299">
        <v>43855</v>
      </c>
      <c r="B4" s="39">
        <v>1</v>
      </c>
      <c r="D4"/>
    </row>
    <row r="5" spans="1:31" x14ac:dyDescent="0.3">
      <c r="A5" s="299">
        <v>43859</v>
      </c>
      <c r="C5" s="39">
        <v>1</v>
      </c>
      <c r="D5"/>
    </row>
    <row r="6" spans="1:31" x14ac:dyDescent="0.3">
      <c r="A6" s="299">
        <v>43869</v>
      </c>
      <c r="B6" s="39">
        <v>1</v>
      </c>
      <c r="D6"/>
    </row>
    <row r="7" spans="1:31" x14ac:dyDescent="0.3">
      <c r="A7" s="299">
        <v>43873</v>
      </c>
      <c r="C7" s="39">
        <v>1</v>
      </c>
      <c r="D7"/>
    </row>
    <row r="8" spans="1:31" x14ac:dyDescent="0.3">
      <c r="A8" s="299">
        <v>43883</v>
      </c>
      <c r="B8" s="39">
        <v>1</v>
      </c>
      <c r="D8"/>
    </row>
    <row r="9" spans="1:31" x14ac:dyDescent="0.3">
      <c r="A9" s="299">
        <v>43887</v>
      </c>
      <c r="C9" s="39">
        <v>1</v>
      </c>
      <c r="D9"/>
    </row>
    <row r="10" spans="1:31" x14ac:dyDescent="0.3">
      <c r="A10" s="299">
        <v>43897</v>
      </c>
      <c r="B10" s="39">
        <v>1</v>
      </c>
      <c r="D10"/>
    </row>
    <row r="11" spans="1:31" x14ac:dyDescent="0.3">
      <c r="A11" s="299">
        <v>43901</v>
      </c>
      <c r="C11" s="39">
        <v>1</v>
      </c>
      <c r="D11"/>
    </row>
    <row r="12" spans="1:31" x14ac:dyDescent="0.3">
      <c r="A12" s="299">
        <v>43911</v>
      </c>
      <c r="B12" s="39">
        <v>1</v>
      </c>
      <c r="D12"/>
    </row>
    <row r="13" spans="1:31" x14ac:dyDescent="0.3">
      <c r="A13" s="299">
        <v>43915</v>
      </c>
      <c r="C13" s="39">
        <v>1</v>
      </c>
      <c r="D13"/>
    </row>
    <row r="14" spans="1:31" x14ac:dyDescent="0.3">
      <c r="A14" s="299">
        <v>43999</v>
      </c>
      <c r="C14" s="39">
        <v>1</v>
      </c>
      <c r="D14"/>
    </row>
    <row r="15" spans="1:31" x14ac:dyDescent="0.3">
      <c r="A15" s="299">
        <v>44009</v>
      </c>
      <c r="B15" s="39">
        <v>1</v>
      </c>
      <c r="D15"/>
    </row>
    <row r="16" spans="1:31" x14ac:dyDescent="0.3">
      <c r="A16" s="299">
        <v>44013</v>
      </c>
      <c r="C16" s="39">
        <v>1</v>
      </c>
      <c r="D16"/>
    </row>
    <row r="17" spans="1:5" x14ac:dyDescent="0.3">
      <c r="A17" s="299">
        <v>44023</v>
      </c>
      <c r="B17" s="39">
        <v>1</v>
      </c>
      <c r="D17"/>
    </row>
    <row r="18" spans="1:5" x14ac:dyDescent="0.3">
      <c r="A18" s="299">
        <v>44027</v>
      </c>
      <c r="C18" s="39">
        <v>1</v>
      </c>
      <c r="D18"/>
    </row>
    <row r="19" spans="1:5" x14ac:dyDescent="0.3">
      <c r="A19" s="299">
        <v>44037</v>
      </c>
      <c r="B19" s="39">
        <v>1</v>
      </c>
      <c r="D19"/>
    </row>
    <row r="20" spans="1:5" x14ac:dyDescent="0.3">
      <c r="A20" s="299">
        <v>44041</v>
      </c>
      <c r="C20" s="39">
        <v>1</v>
      </c>
      <c r="D20"/>
    </row>
    <row r="21" spans="1:5" x14ac:dyDescent="0.3">
      <c r="A21" s="299">
        <v>44051</v>
      </c>
      <c r="B21" s="39">
        <v>1</v>
      </c>
      <c r="D21"/>
    </row>
    <row r="22" spans="1:5" x14ac:dyDescent="0.3">
      <c r="A22" s="299">
        <v>44055</v>
      </c>
      <c r="C22" s="39">
        <v>1</v>
      </c>
      <c r="D22"/>
    </row>
    <row r="23" spans="1:5" x14ac:dyDescent="0.3">
      <c r="A23" s="299">
        <v>44065</v>
      </c>
      <c r="B23" s="39">
        <v>1</v>
      </c>
      <c r="D23"/>
    </row>
    <row r="24" spans="1:5" x14ac:dyDescent="0.3">
      <c r="A24" s="299">
        <v>44069</v>
      </c>
      <c r="C24" s="39">
        <v>1</v>
      </c>
      <c r="D24"/>
    </row>
    <row r="25" spans="1:5" x14ac:dyDescent="0.3">
      <c r="A25" s="299">
        <v>44079</v>
      </c>
      <c r="B25" s="39">
        <v>1</v>
      </c>
      <c r="D25"/>
    </row>
    <row r="26" spans="1:5" x14ac:dyDescent="0.3">
      <c r="A26" s="299">
        <v>44083</v>
      </c>
      <c r="C26" s="39">
        <v>1</v>
      </c>
      <c r="D26"/>
      <c r="E26" s="39" t="s">
        <v>8</v>
      </c>
    </row>
    <row r="27" spans="1:5" x14ac:dyDescent="0.3">
      <c r="A27" s="299">
        <v>44093</v>
      </c>
      <c r="B27" s="39">
        <v>1</v>
      </c>
      <c r="D27"/>
      <c r="E27" s="39" t="str">
        <f>_xlfn.LET(_xlpm.calc,COUNTIFS(All_Time_and_Pay_IDs[Source],"Time Data"),_xlpm.oneK,TEXT(_xlpm.calc,"0,000"),_xlfn.CONCAT("~ There are ",IF(_xlpm.calc&gt;=1000,_xlpm.oneK,_xlpm.calc)," employees in the time data that are not in the pay data."))</f>
        <v>~ There are 0 employees in the time data that are not in the pay data.</v>
      </c>
    </row>
    <row r="28" spans="1:5" x14ac:dyDescent="0.3">
      <c r="A28" s="299">
        <v>44097</v>
      </c>
      <c r="C28" s="39">
        <v>1</v>
      </c>
      <c r="D28"/>
      <c r="E28" s="39" t="str">
        <f>_xlfn.LET(_xlpm.calc,COUNTIFS(All_Time_and_Pay_IDs[Source],"Pay Data"),_xlpm.oneK,TEXT(_xlpm.calc,"0,000"),_xlfn.CONCAT("~ There are ",IF(_xlpm.calc&gt;=1000,_xlpm.oneK,_xlpm.calc)," employees in the pay data that are not in the time data."))</f>
        <v>~ There are 0 employees in the pay data that are not in the time data.</v>
      </c>
    </row>
    <row r="29" spans="1:5" x14ac:dyDescent="0.3">
      <c r="A29" s="299">
        <v>44107</v>
      </c>
      <c r="B29" s="39">
        <v>1</v>
      </c>
      <c r="D29"/>
      <c r="E29" s="39" t="str">
        <f>_xlfn.LET(_xlpm.calc,COUNTIFS(All_Time_and_Pay_IDs[Source],"Time Data; Pay Data"),_xlpm.oneK,TEXT(_xlpm.calc,"0,000"),_xlfn.CONCAT("~ There are ",IF(_xlpm.calc&gt;=1000,_xlpm.oneK,_xlpm.calc)," employees in both the time and pay data."))</f>
        <v>~ There are 0 employees in both the time and pay data.</v>
      </c>
    </row>
    <row r="30" spans="1:5" x14ac:dyDescent="0.3">
      <c r="A30" s="299">
        <v>44111</v>
      </c>
      <c r="C30" s="39">
        <v>1</v>
      </c>
      <c r="D30"/>
      <c r="E30" s="39" t="str">
        <f>_xlfn.LET(_xlpm.time_calc,COUNTIFS(All_Time_and_Pay_IDs[Source],"*time*"),_xlpm.pay_calc,COUNTIFS(All_Time_and_Pay_IDs[Source],"*pay*"),_xlpm.calc,COUNTIFS(All_Time_and_Pay_IDs[Source],"*data*"),_xlpm.time1K,TEXT(_xlpm.time_calc,"0,000"),_xlpm.pay1K,TEXT(_xlpm.pay_calc,"0,000"),_xlpm.calc1K,TEXT(_xlpm.calc,"0,000"),_xlfn.CONCAT("~ There are ",IF(_xlpm.time_calc &gt;= 1000,_xlpm.time1K,_xlpm.time_calc)," unique employees in time data, ",IF(_xlpm.pay_calc &gt;= 1000,_xlpm.pay1K,_xlpm.pay_calc)," in the pay data and ",IF(_xlpm.calc &gt;= 1000,_xlpm.calc1K,_xlpm.calc)," in combined time and pay data."))</f>
        <v>~ There are 0 unique employees in time data, 0 in the pay data and 0 in combined time and pay data.</v>
      </c>
    </row>
    <row r="31" spans="1:5" x14ac:dyDescent="0.3">
      <c r="A31" s="299">
        <v>44121</v>
      </c>
      <c r="B31" s="39">
        <v>1</v>
      </c>
      <c r="D31"/>
    </row>
    <row r="32" spans="1:5" x14ac:dyDescent="0.3">
      <c r="A32" s="299">
        <v>44125</v>
      </c>
      <c r="C32" s="39">
        <v>1</v>
      </c>
      <c r="D32"/>
    </row>
    <row r="33" spans="1:4" x14ac:dyDescent="0.3">
      <c r="A33" s="299">
        <v>44135</v>
      </c>
      <c r="B33" s="39">
        <v>1</v>
      </c>
      <c r="D33"/>
    </row>
    <row r="34" spans="1:4" x14ac:dyDescent="0.3">
      <c r="A34" s="299">
        <v>44139</v>
      </c>
      <c r="C34" s="39">
        <v>1</v>
      </c>
      <c r="D34"/>
    </row>
    <row r="35" spans="1:4" x14ac:dyDescent="0.3">
      <c r="A35" s="299">
        <v>44149</v>
      </c>
      <c r="B35" s="39">
        <v>1</v>
      </c>
      <c r="D35"/>
    </row>
    <row r="36" spans="1:4" x14ac:dyDescent="0.3">
      <c r="A36" s="299">
        <v>44153</v>
      </c>
      <c r="C36" s="39">
        <v>1</v>
      </c>
      <c r="D36"/>
    </row>
    <row r="37" spans="1:4" x14ac:dyDescent="0.3">
      <c r="A37" s="299">
        <v>44163</v>
      </c>
      <c r="B37" s="39">
        <v>1</v>
      </c>
      <c r="D37"/>
    </row>
    <row r="38" spans="1:4" x14ac:dyDescent="0.3">
      <c r="A38" s="299">
        <v>44167</v>
      </c>
      <c r="C38" s="39">
        <v>1</v>
      </c>
      <c r="D38"/>
    </row>
    <row r="39" spans="1:4" x14ac:dyDescent="0.3">
      <c r="A39" s="299">
        <v>44177</v>
      </c>
      <c r="B39" s="39">
        <v>1</v>
      </c>
      <c r="D39"/>
    </row>
    <row r="40" spans="1:4" x14ac:dyDescent="0.3">
      <c r="A40" s="299">
        <v>44181</v>
      </c>
      <c r="C40" s="39">
        <v>1</v>
      </c>
      <c r="D40"/>
    </row>
    <row r="41" spans="1:4" x14ac:dyDescent="0.3">
      <c r="A41" s="299">
        <v>44191</v>
      </c>
      <c r="B41" s="39">
        <v>1</v>
      </c>
      <c r="D41"/>
    </row>
    <row r="42" spans="1:4" x14ac:dyDescent="0.3">
      <c r="A42" s="299">
        <v>44195</v>
      </c>
      <c r="C42" s="39">
        <v>1</v>
      </c>
      <c r="D42"/>
    </row>
    <row r="43" spans="1:4" x14ac:dyDescent="0.3">
      <c r="A43" s="299">
        <v>44205</v>
      </c>
      <c r="B43" s="39">
        <v>27</v>
      </c>
      <c r="D43"/>
    </row>
    <row r="44" spans="1:4" x14ac:dyDescent="0.3">
      <c r="A44" s="299">
        <v>44209</v>
      </c>
      <c r="C44" s="39">
        <v>1</v>
      </c>
      <c r="D44"/>
    </row>
    <row r="45" spans="1:4" x14ac:dyDescent="0.3">
      <c r="A45" s="299">
        <v>44219</v>
      </c>
      <c r="B45" s="39">
        <v>34</v>
      </c>
      <c r="D45"/>
    </row>
    <row r="46" spans="1:4" x14ac:dyDescent="0.3">
      <c r="A46" s="299">
        <v>44223</v>
      </c>
      <c r="C46" s="39">
        <v>1</v>
      </c>
      <c r="D46"/>
    </row>
    <row r="47" spans="1:4" x14ac:dyDescent="0.3">
      <c r="A47" s="299">
        <v>44233</v>
      </c>
      <c r="B47" s="39">
        <v>34</v>
      </c>
      <c r="D47"/>
    </row>
    <row r="48" spans="1:4" x14ac:dyDescent="0.3">
      <c r="A48" s="299">
        <v>44237</v>
      </c>
      <c r="C48" s="39">
        <v>1</v>
      </c>
      <c r="D48"/>
    </row>
    <row r="49" spans="1:4" x14ac:dyDescent="0.3">
      <c r="A49" s="299">
        <v>44247</v>
      </c>
      <c r="B49" s="39">
        <v>35</v>
      </c>
      <c r="D49"/>
    </row>
    <row r="50" spans="1:4" x14ac:dyDescent="0.3">
      <c r="A50" s="299">
        <v>44251</v>
      </c>
      <c r="C50" s="39">
        <v>1</v>
      </c>
      <c r="D50"/>
    </row>
    <row r="51" spans="1:4" x14ac:dyDescent="0.3">
      <c r="A51" s="299">
        <v>44261</v>
      </c>
      <c r="B51" s="39">
        <v>36</v>
      </c>
      <c r="D51"/>
    </row>
    <row r="52" spans="1:4" x14ac:dyDescent="0.3">
      <c r="A52" s="299">
        <v>44265</v>
      </c>
      <c r="C52" s="39">
        <v>1</v>
      </c>
      <c r="D52"/>
    </row>
    <row r="53" spans="1:4" x14ac:dyDescent="0.3">
      <c r="A53" s="299">
        <v>44275</v>
      </c>
      <c r="B53" s="39">
        <v>36</v>
      </c>
      <c r="D53"/>
    </row>
    <row r="54" spans="1:4" x14ac:dyDescent="0.3">
      <c r="A54" s="299">
        <v>44279</v>
      </c>
      <c r="C54" s="39">
        <v>1</v>
      </c>
      <c r="D54"/>
    </row>
    <row r="55" spans="1:4" x14ac:dyDescent="0.3">
      <c r="A55" s="299">
        <v>44289</v>
      </c>
      <c r="B55" s="39">
        <v>38</v>
      </c>
      <c r="D55"/>
    </row>
    <row r="56" spans="1:4" x14ac:dyDescent="0.3">
      <c r="A56" s="299">
        <v>44293</v>
      </c>
      <c r="C56" s="39">
        <v>1</v>
      </c>
      <c r="D56"/>
    </row>
    <row r="57" spans="1:4" x14ac:dyDescent="0.3">
      <c r="A57" s="299">
        <v>44303</v>
      </c>
      <c r="B57" s="39">
        <v>38</v>
      </c>
      <c r="D57"/>
    </row>
    <row r="58" spans="1:4" x14ac:dyDescent="0.3">
      <c r="A58" s="299">
        <v>44307</v>
      </c>
      <c r="C58" s="39">
        <v>1</v>
      </c>
      <c r="D58"/>
    </row>
    <row r="59" spans="1:4" x14ac:dyDescent="0.3">
      <c r="A59" s="299">
        <v>44317</v>
      </c>
      <c r="B59" s="39">
        <v>39</v>
      </c>
      <c r="D59"/>
    </row>
    <row r="60" spans="1:4" x14ac:dyDescent="0.3">
      <c r="A60" s="299">
        <v>44321</v>
      </c>
      <c r="C60" s="39">
        <v>1</v>
      </c>
      <c r="D60"/>
    </row>
    <row r="61" spans="1:4" x14ac:dyDescent="0.3">
      <c r="A61" s="299">
        <v>44331</v>
      </c>
      <c r="B61" s="39">
        <v>42</v>
      </c>
      <c r="D61"/>
    </row>
    <row r="62" spans="1:4" x14ac:dyDescent="0.3">
      <c r="A62" s="299">
        <v>44335</v>
      </c>
      <c r="C62" s="39">
        <v>7</v>
      </c>
      <c r="D62"/>
    </row>
    <row r="63" spans="1:4" x14ac:dyDescent="0.3">
      <c r="A63" s="299">
        <v>44345</v>
      </c>
      <c r="B63" s="39">
        <v>43</v>
      </c>
    </row>
    <row r="64" spans="1:4" x14ac:dyDescent="0.3">
      <c r="A64" s="299">
        <v>44349</v>
      </c>
      <c r="C64" s="39">
        <v>8</v>
      </c>
    </row>
    <row r="65" spans="1:3" x14ac:dyDescent="0.3">
      <c r="A65" s="299">
        <v>44359</v>
      </c>
      <c r="B65" s="39">
        <v>42</v>
      </c>
    </row>
    <row r="66" spans="1:3" x14ac:dyDescent="0.3">
      <c r="A66" s="299">
        <v>44363</v>
      </c>
      <c r="C66" s="39">
        <v>9</v>
      </c>
    </row>
    <row r="67" spans="1:3" x14ac:dyDescent="0.3">
      <c r="A67" s="299">
        <v>44373</v>
      </c>
      <c r="B67" s="39">
        <v>37</v>
      </c>
    </row>
    <row r="68" spans="1:3" x14ac:dyDescent="0.3">
      <c r="A68" s="299">
        <v>44377</v>
      </c>
      <c r="C68" s="39">
        <v>10</v>
      </c>
    </row>
    <row r="69" spans="1:3" x14ac:dyDescent="0.3">
      <c r="A69" s="299">
        <v>44387</v>
      </c>
      <c r="B69" s="39">
        <v>39</v>
      </c>
    </row>
    <row r="70" spans="1:3" x14ac:dyDescent="0.3">
      <c r="A70" s="299">
        <v>44391</v>
      </c>
      <c r="C70" s="39">
        <v>11</v>
      </c>
    </row>
    <row r="71" spans="1:3" x14ac:dyDescent="0.3">
      <c r="A71" s="299">
        <v>44401</v>
      </c>
      <c r="B71" s="39">
        <v>43</v>
      </c>
    </row>
    <row r="72" spans="1:3" x14ac:dyDescent="0.3">
      <c r="A72" s="299">
        <v>44405</v>
      </c>
      <c r="C72" s="39">
        <v>9</v>
      </c>
    </row>
    <row r="73" spans="1:3" x14ac:dyDescent="0.3">
      <c r="A73" s="299">
        <v>44415</v>
      </c>
      <c r="B73" s="39">
        <v>46</v>
      </c>
    </row>
    <row r="74" spans="1:3" x14ac:dyDescent="0.3">
      <c r="A74" s="299">
        <v>44419</v>
      </c>
      <c r="C74" s="39">
        <v>10</v>
      </c>
    </row>
    <row r="75" spans="1:3" x14ac:dyDescent="0.3">
      <c r="A75" s="299">
        <v>44429</v>
      </c>
      <c r="B75" s="39">
        <v>46</v>
      </c>
    </row>
    <row r="76" spans="1:3" x14ac:dyDescent="0.3">
      <c r="A76" s="299">
        <v>44433</v>
      </c>
      <c r="C76" s="39">
        <v>12</v>
      </c>
    </row>
    <row r="77" spans="1:3" x14ac:dyDescent="0.3">
      <c r="A77" s="299">
        <v>44443</v>
      </c>
      <c r="B77" s="39">
        <v>43</v>
      </c>
    </row>
    <row r="78" spans="1:3" x14ac:dyDescent="0.3">
      <c r="A78" s="299">
        <v>44447</v>
      </c>
      <c r="C78" s="39">
        <v>12</v>
      </c>
    </row>
    <row r="79" spans="1:3" x14ac:dyDescent="0.3">
      <c r="A79" s="299">
        <v>44457</v>
      </c>
      <c r="B79" s="39">
        <v>47</v>
      </c>
    </row>
    <row r="80" spans="1:3" x14ac:dyDescent="0.3">
      <c r="A80" s="299">
        <v>44461</v>
      </c>
      <c r="C80" s="39">
        <v>15</v>
      </c>
    </row>
    <row r="81" spans="1:3" x14ac:dyDescent="0.3">
      <c r="A81" s="299">
        <v>44471</v>
      </c>
      <c r="B81" s="39">
        <v>49</v>
      </c>
    </row>
    <row r="82" spans="1:3" x14ac:dyDescent="0.3">
      <c r="A82" s="299">
        <v>44475</v>
      </c>
      <c r="C82" s="39">
        <v>18</v>
      </c>
    </row>
    <row r="83" spans="1:3" x14ac:dyDescent="0.3">
      <c r="A83" s="299">
        <v>44485</v>
      </c>
      <c r="B83" s="39">
        <v>50</v>
      </c>
    </row>
    <row r="84" spans="1:3" x14ac:dyDescent="0.3">
      <c r="A84" s="299">
        <v>44489</v>
      </c>
      <c r="C84" s="39">
        <v>17</v>
      </c>
    </row>
    <row r="85" spans="1:3" x14ac:dyDescent="0.3">
      <c r="A85" s="299">
        <v>44499</v>
      </c>
      <c r="B85" s="39">
        <v>51</v>
      </c>
    </row>
    <row r="86" spans="1:3" x14ac:dyDescent="0.3">
      <c r="A86" s="299">
        <v>44503</v>
      </c>
      <c r="C86" s="39">
        <v>16</v>
      </c>
    </row>
    <row r="87" spans="1:3" x14ac:dyDescent="0.3">
      <c r="A87" s="299">
        <v>44513</v>
      </c>
      <c r="B87" s="39">
        <v>52</v>
      </c>
    </row>
    <row r="88" spans="1:3" x14ac:dyDescent="0.3">
      <c r="A88" s="299">
        <v>44517</v>
      </c>
      <c r="C88" s="39">
        <v>17</v>
      </c>
    </row>
    <row r="89" spans="1:3" x14ac:dyDescent="0.3">
      <c r="A89" s="299">
        <v>44527</v>
      </c>
      <c r="B89" s="39">
        <v>53</v>
      </c>
    </row>
    <row r="90" spans="1:3" x14ac:dyDescent="0.3">
      <c r="A90" s="299">
        <v>44531</v>
      </c>
      <c r="C90" s="39">
        <v>16</v>
      </c>
    </row>
    <row r="91" spans="1:3" x14ac:dyDescent="0.3">
      <c r="A91" s="299">
        <v>44541</v>
      </c>
      <c r="B91" s="39">
        <v>55</v>
      </c>
    </row>
    <row r="92" spans="1:3" x14ac:dyDescent="0.3">
      <c r="A92" s="299">
        <v>44545</v>
      </c>
      <c r="C92" s="39">
        <v>18</v>
      </c>
    </row>
    <row r="93" spans="1:3" x14ac:dyDescent="0.3">
      <c r="A93" s="299">
        <v>44555</v>
      </c>
      <c r="B93" s="39">
        <v>57</v>
      </c>
    </row>
    <row r="94" spans="1:3" x14ac:dyDescent="0.3">
      <c r="A94" s="299">
        <v>44559</v>
      </c>
      <c r="C94" s="39">
        <v>19</v>
      </c>
    </row>
    <row r="95" spans="1:3" x14ac:dyDescent="0.3">
      <c r="A95" s="299">
        <v>44569</v>
      </c>
      <c r="B95" s="39">
        <v>56</v>
      </c>
    </row>
    <row r="96" spans="1:3" x14ac:dyDescent="0.3">
      <c r="A96" s="299">
        <v>44573</v>
      </c>
      <c r="C96" s="39">
        <v>31</v>
      </c>
    </row>
    <row r="97" spans="1:3" x14ac:dyDescent="0.3">
      <c r="A97" s="299">
        <v>44583</v>
      </c>
      <c r="B97" s="39">
        <v>59</v>
      </c>
    </row>
    <row r="98" spans="1:3" x14ac:dyDescent="0.3">
      <c r="A98" s="299">
        <v>44587</v>
      </c>
      <c r="C98" s="39">
        <v>38</v>
      </c>
    </row>
    <row r="99" spans="1:3" x14ac:dyDescent="0.3">
      <c r="A99" s="299">
        <v>44597</v>
      </c>
      <c r="B99" s="39">
        <v>60</v>
      </c>
    </row>
    <row r="100" spans="1:3" x14ac:dyDescent="0.3">
      <c r="A100" s="299">
        <v>44601</v>
      </c>
      <c r="C100" s="39">
        <v>40</v>
      </c>
    </row>
    <row r="101" spans="1:3" x14ac:dyDescent="0.3">
      <c r="A101" s="299">
        <v>44611</v>
      </c>
      <c r="B101" s="39">
        <v>62</v>
      </c>
    </row>
    <row r="102" spans="1:3" x14ac:dyDescent="0.3">
      <c r="A102" s="299">
        <v>44615</v>
      </c>
      <c r="C102" s="39">
        <v>40</v>
      </c>
    </row>
    <row r="103" spans="1:3" x14ac:dyDescent="0.3">
      <c r="A103" s="299">
        <v>44625</v>
      </c>
      <c r="B103" s="39">
        <v>61</v>
      </c>
    </row>
    <row r="104" spans="1:3" x14ac:dyDescent="0.3">
      <c r="A104" s="299">
        <v>44629</v>
      </c>
      <c r="C104" s="39">
        <v>41</v>
      </c>
    </row>
    <row r="105" spans="1:3" x14ac:dyDescent="0.3">
      <c r="A105" s="299">
        <v>44639</v>
      </c>
      <c r="B105" s="39">
        <v>58</v>
      </c>
    </row>
    <row r="106" spans="1:3" x14ac:dyDescent="0.3">
      <c r="A106" s="299">
        <v>44643</v>
      </c>
      <c r="C106" s="39">
        <v>34</v>
      </c>
    </row>
    <row r="107" spans="1:3" x14ac:dyDescent="0.3">
      <c r="A107" s="299">
        <v>44653</v>
      </c>
      <c r="B107" s="39">
        <v>60</v>
      </c>
    </row>
    <row r="108" spans="1:3" x14ac:dyDescent="0.3">
      <c r="A108" s="299">
        <v>44657</v>
      </c>
      <c r="C108" s="39">
        <v>34</v>
      </c>
    </row>
    <row r="109" spans="1:3" x14ac:dyDescent="0.3">
      <c r="A109" s="299">
        <v>44667</v>
      </c>
      <c r="B109" s="39">
        <v>60</v>
      </c>
    </row>
    <row r="110" spans="1:3" x14ac:dyDescent="0.3">
      <c r="A110" s="299">
        <v>44671</v>
      </c>
      <c r="C110" s="39">
        <v>33</v>
      </c>
    </row>
    <row r="111" spans="1:3" x14ac:dyDescent="0.3">
      <c r="A111" s="299">
        <v>44681</v>
      </c>
      <c r="B111" s="39">
        <v>61</v>
      </c>
    </row>
    <row r="112" spans="1:3" x14ac:dyDescent="0.3">
      <c r="A112" s="299">
        <v>44685</v>
      </c>
      <c r="C112" s="39">
        <v>33</v>
      </c>
    </row>
    <row r="113" spans="1:3" x14ac:dyDescent="0.3">
      <c r="A113" s="299">
        <v>44695</v>
      </c>
      <c r="B113" s="39">
        <v>65</v>
      </c>
    </row>
    <row r="114" spans="1:3" x14ac:dyDescent="0.3">
      <c r="A114" s="299">
        <v>44699</v>
      </c>
      <c r="C114" s="39">
        <v>66</v>
      </c>
    </row>
    <row r="115" spans="1:3" x14ac:dyDescent="0.3">
      <c r="A115" s="299">
        <v>44709</v>
      </c>
      <c r="B115" s="39">
        <v>64</v>
      </c>
    </row>
    <row r="116" spans="1:3" x14ac:dyDescent="0.3">
      <c r="A116" s="299">
        <v>44713</v>
      </c>
      <c r="C116" s="39">
        <v>53</v>
      </c>
    </row>
    <row r="117" spans="1:3" x14ac:dyDescent="0.3">
      <c r="A117" s="299">
        <v>44723</v>
      </c>
      <c r="B117" s="39">
        <v>66</v>
      </c>
    </row>
    <row r="118" spans="1:3" x14ac:dyDescent="0.3">
      <c r="A118" s="299">
        <v>44727</v>
      </c>
      <c r="C118" s="39">
        <v>48</v>
      </c>
    </row>
    <row r="119" spans="1:3" x14ac:dyDescent="0.3">
      <c r="A119" s="299">
        <v>44737</v>
      </c>
      <c r="B119" s="39">
        <v>60</v>
      </c>
    </row>
    <row r="120" spans="1:3" x14ac:dyDescent="0.3">
      <c r="A120" s="299">
        <v>44741</v>
      </c>
      <c r="C120" s="39">
        <v>49</v>
      </c>
    </row>
    <row r="121" spans="1:3" x14ac:dyDescent="0.3">
      <c r="A121" s="299">
        <v>44751</v>
      </c>
      <c r="B121" s="39">
        <v>60</v>
      </c>
    </row>
    <row r="122" spans="1:3" x14ac:dyDescent="0.3">
      <c r="A122" s="299">
        <v>44755</v>
      </c>
      <c r="C122" s="39">
        <v>51</v>
      </c>
    </row>
    <row r="123" spans="1:3" x14ac:dyDescent="0.3">
      <c r="A123" s="299">
        <v>44765</v>
      </c>
      <c r="B123" s="39">
        <v>58</v>
      </c>
    </row>
    <row r="124" spans="1:3" x14ac:dyDescent="0.3">
      <c r="A124" s="299">
        <v>44769</v>
      </c>
      <c r="C124" s="39">
        <v>49</v>
      </c>
    </row>
    <row r="125" spans="1:3" x14ac:dyDescent="0.3">
      <c r="A125" s="299">
        <v>44779</v>
      </c>
      <c r="B125" s="39">
        <v>57</v>
      </c>
    </row>
    <row r="126" spans="1:3" x14ac:dyDescent="0.3">
      <c r="A126" s="299">
        <v>44783</v>
      </c>
      <c r="C126" s="39">
        <v>50</v>
      </c>
    </row>
    <row r="127" spans="1:3" x14ac:dyDescent="0.3">
      <c r="A127" s="299">
        <v>44793</v>
      </c>
      <c r="B127" s="39">
        <v>55</v>
      </c>
    </row>
    <row r="128" spans="1:3" x14ac:dyDescent="0.3">
      <c r="A128" s="299">
        <v>44797</v>
      </c>
      <c r="C128" s="39">
        <v>49</v>
      </c>
    </row>
    <row r="129" spans="1:3" x14ac:dyDescent="0.3">
      <c r="A129" s="299">
        <v>44807</v>
      </c>
      <c r="B129" s="39">
        <v>54</v>
      </c>
    </row>
    <row r="130" spans="1:3" x14ac:dyDescent="0.3">
      <c r="A130" s="299">
        <v>44811</v>
      </c>
      <c r="C130" s="39">
        <v>51</v>
      </c>
    </row>
    <row r="131" spans="1:3" x14ac:dyDescent="0.3">
      <c r="A131" s="299">
        <v>44821</v>
      </c>
      <c r="B131" s="39">
        <v>56</v>
      </c>
    </row>
    <row r="132" spans="1:3" x14ac:dyDescent="0.3">
      <c r="A132" s="299">
        <v>44825</v>
      </c>
      <c r="C132" s="39">
        <v>48</v>
      </c>
    </row>
    <row r="133" spans="1:3" x14ac:dyDescent="0.3">
      <c r="A133" s="299">
        <v>44835</v>
      </c>
      <c r="B133" s="39">
        <v>53</v>
      </c>
    </row>
    <row r="134" spans="1:3" x14ac:dyDescent="0.3">
      <c r="A134" s="299">
        <v>44839</v>
      </c>
      <c r="C134" s="39">
        <v>50</v>
      </c>
    </row>
    <row r="135" spans="1:3" x14ac:dyDescent="0.3">
      <c r="A135" s="299">
        <v>44849</v>
      </c>
      <c r="B135" s="39">
        <v>51</v>
      </c>
    </row>
    <row r="136" spans="1:3" x14ac:dyDescent="0.3">
      <c r="A136" s="299">
        <v>44853</v>
      </c>
      <c r="C136" s="39">
        <v>50</v>
      </c>
    </row>
    <row r="137" spans="1:3" x14ac:dyDescent="0.3">
      <c r="A137" s="299">
        <v>44863</v>
      </c>
      <c r="B137" s="39">
        <v>54</v>
      </c>
    </row>
    <row r="138" spans="1:3" x14ac:dyDescent="0.3">
      <c r="A138" s="299">
        <v>44867</v>
      </c>
      <c r="C138" s="39">
        <v>50</v>
      </c>
    </row>
    <row r="139" spans="1:3" x14ac:dyDescent="0.3">
      <c r="A139" s="299">
        <v>44877</v>
      </c>
      <c r="B139" s="39">
        <v>54</v>
      </c>
    </row>
    <row r="140" spans="1:3" x14ac:dyDescent="0.3">
      <c r="A140" s="299">
        <v>44881</v>
      </c>
      <c r="C140" s="39">
        <v>50</v>
      </c>
    </row>
    <row r="141" spans="1:3" x14ac:dyDescent="0.3">
      <c r="A141" s="299">
        <v>44891</v>
      </c>
      <c r="B141" s="39">
        <v>57</v>
      </c>
    </row>
    <row r="142" spans="1:3" x14ac:dyDescent="0.3">
      <c r="A142" s="299">
        <v>44895</v>
      </c>
      <c r="C142" s="39">
        <v>51</v>
      </c>
    </row>
    <row r="143" spans="1:3" x14ac:dyDescent="0.3">
      <c r="A143" s="299">
        <v>44905</v>
      </c>
      <c r="B143" s="39">
        <v>55</v>
      </c>
    </row>
    <row r="144" spans="1:3" x14ac:dyDescent="0.3">
      <c r="A144" s="299">
        <v>44909</v>
      </c>
      <c r="C144" s="39">
        <v>50</v>
      </c>
    </row>
    <row r="145" spans="1:3" x14ac:dyDescent="0.3">
      <c r="A145" s="299">
        <v>44919</v>
      </c>
      <c r="B145" s="39">
        <v>54</v>
      </c>
    </row>
    <row r="146" spans="1:3" x14ac:dyDescent="0.3">
      <c r="A146" s="299">
        <v>44923</v>
      </c>
      <c r="C146" s="39">
        <v>52</v>
      </c>
    </row>
    <row r="147" spans="1:3" x14ac:dyDescent="0.3">
      <c r="A147" s="299">
        <v>44933</v>
      </c>
      <c r="B147" s="39">
        <v>57</v>
      </c>
    </row>
    <row r="148" spans="1:3" x14ac:dyDescent="0.3">
      <c r="A148" s="299">
        <v>44937</v>
      </c>
      <c r="C148" s="39">
        <v>52</v>
      </c>
    </row>
    <row r="149" spans="1:3" x14ac:dyDescent="0.3">
      <c r="A149" s="299">
        <v>44947</v>
      </c>
      <c r="B149" s="39">
        <v>56</v>
      </c>
    </row>
    <row r="150" spans="1:3" x14ac:dyDescent="0.3">
      <c r="A150" s="299">
        <v>44951</v>
      </c>
      <c r="C150" s="39">
        <v>52</v>
      </c>
    </row>
    <row r="151" spans="1:3" x14ac:dyDescent="0.3">
      <c r="A151" s="299">
        <v>44961</v>
      </c>
      <c r="B151" s="39">
        <v>55</v>
      </c>
    </row>
    <row r="152" spans="1:3" x14ac:dyDescent="0.3">
      <c r="A152" s="299">
        <v>44965</v>
      </c>
      <c r="C152" s="39">
        <v>49</v>
      </c>
    </row>
    <row r="153" spans="1:3" x14ac:dyDescent="0.3">
      <c r="A153" s="299">
        <v>44975</v>
      </c>
      <c r="B153" s="39">
        <v>54</v>
      </c>
    </row>
    <row r="154" spans="1:3" x14ac:dyDescent="0.3">
      <c r="A154" s="299">
        <v>44979</v>
      </c>
      <c r="C154" s="39">
        <v>49</v>
      </c>
    </row>
    <row r="155" spans="1:3" x14ac:dyDescent="0.3">
      <c r="A155" s="299">
        <v>44989</v>
      </c>
      <c r="B155" s="39">
        <v>51</v>
      </c>
    </row>
    <row r="156" spans="1:3" x14ac:dyDescent="0.3">
      <c r="A156" s="299">
        <v>44993</v>
      </c>
      <c r="C156" s="39">
        <v>47</v>
      </c>
    </row>
    <row r="157" spans="1:3" x14ac:dyDescent="0.3">
      <c r="A157" s="299">
        <v>45003</v>
      </c>
      <c r="B157" s="39">
        <v>51</v>
      </c>
    </row>
    <row r="158" spans="1:3" x14ac:dyDescent="0.3">
      <c r="A158" s="299">
        <v>45007</v>
      </c>
      <c r="C158" s="39">
        <v>48</v>
      </c>
    </row>
    <row r="159" spans="1:3" x14ac:dyDescent="0.3">
      <c r="A159" s="299">
        <v>45017</v>
      </c>
      <c r="B159" s="39">
        <v>53</v>
      </c>
    </row>
    <row r="160" spans="1:3" x14ac:dyDescent="0.3">
      <c r="A160" s="299">
        <v>45021</v>
      </c>
      <c r="C160" s="39">
        <v>48</v>
      </c>
    </row>
    <row r="161" spans="1:3" x14ac:dyDescent="0.3">
      <c r="A161" s="299">
        <v>45031</v>
      </c>
      <c r="B161" s="39">
        <v>53</v>
      </c>
    </row>
    <row r="162" spans="1:3" x14ac:dyDescent="0.3">
      <c r="A162" s="299">
        <v>45035</v>
      </c>
      <c r="C162" s="39">
        <v>48</v>
      </c>
    </row>
    <row r="163" spans="1:3" x14ac:dyDescent="0.3">
      <c r="A163" s="299">
        <v>45045</v>
      </c>
      <c r="B163" s="39">
        <v>52</v>
      </c>
    </row>
    <row r="164" spans="1:3" x14ac:dyDescent="0.3">
      <c r="A164" s="299">
        <v>45049</v>
      </c>
      <c r="C164" s="39">
        <v>48</v>
      </c>
    </row>
    <row r="165" spans="1:3" x14ac:dyDescent="0.3">
      <c r="A165" s="299">
        <v>45059</v>
      </c>
      <c r="B165" s="39">
        <v>52</v>
      </c>
    </row>
    <row r="166" spans="1:3" x14ac:dyDescent="0.3">
      <c r="A166" s="299">
        <v>45063</v>
      </c>
      <c r="C166" s="39">
        <v>51</v>
      </c>
    </row>
    <row r="167" spans="1:3" x14ac:dyDescent="0.3">
      <c r="A167" s="299">
        <v>45073</v>
      </c>
      <c r="B167" s="39">
        <v>51</v>
      </c>
    </row>
    <row r="168" spans="1:3" x14ac:dyDescent="0.3">
      <c r="A168" s="299">
        <v>45077</v>
      </c>
      <c r="C168" s="39">
        <v>50</v>
      </c>
    </row>
    <row r="169" spans="1:3" x14ac:dyDescent="0.3">
      <c r="A169" s="299">
        <v>45087</v>
      </c>
      <c r="B169" s="39">
        <v>53</v>
      </c>
    </row>
    <row r="170" spans="1:3" x14ac:dyDescent="0.3">
      <c r="A170" s="299">
        <v>45091</v>
      </c>
      <c r="C170" s="39">
        <v>51</v>
      </c>
    </row>
    <row r="171" spans="1:3" x14ac:dyDescent="0.3">
      <c r="A171" s="299">
        <v>45101</v>
      </c>
      <c r="B171" s="39">
        <v>51</v>
      </c>
    </row>
    <row r="172" spans="1:3" x14ac:dyDescent="0.3">
      <c r="A172" s="299">
        <v>45105</v>
      </c>
      <c r="C172" s="39">
        <v>49</v>
      </c>
    </row>
    <row r="173" spans="1:3" x14ac:dyDescent="0.3">
      <c r="A173" s="299">
        <v>45115</v>
      </c>
      <c r="B173" s="39">
        <v>52</v>
      </c>
    </row>
    <row r="174" spans="1:3" x14ac:dyDescent="0.3">
      <c r="A174" s="299">
        <v>45119</v>
      </c>
      <c r="C174" s="39">
        <v>50</v>
      </c>
    </row>
    <row r="175" spans="1:3" x14ac:dyDescent="0.3">
      <c r="A175" s="299">
        <v>45127</v>
      </c>
      <c r="B175" s="39">
        <v>1</v>
      </c>
    </row>
    <row r="176" spans="1:3" x14ac:dyDescent="0.3">
      <c r="A176" s="299">
        <v>45129</v>
      </c>
      <c r="B176" s="39">
        <v>49</v>
      </c>
    </row>
    <row r="177" spans="1:3" x14ac:dyDescent="0.3">
      <c r="A177" s="299">
        <v>45133</v>
      </c>
      <c r="C177" s="39">
        <v>47</v>
      </c>
    </row>
    <row r="178" spans="1:3" x14ac:dyDescent="0.3">
      <c r="A178" s="299">
        <v>45143</v>
      </c>
      <c r="B178" s="39">
        <v>49</v>
      </c>
    </row>
    <row r="179" spans="1:3" x14ac:dyDescent="0.3">
      <c r="A179" s="299">
        <v>45147</v>
      </c>
      <c r="C179" s="39">
        <v>52</v>
      </c>
    </row>
    <row r="180" spans="1:3" x14ac:dyDescent="0.3">
      <c r="A180" s="299">
        <v>45157</v>
      </c>
      <c r="B180" s="39">
        <v>46</v>
      </c>
    </row>
    <row r="181" spans="1:3" x14ac:dyDescent="0.3">
      <c r="A181" s="299">
        <v>45161</v>
      </c>
      <c r="C181" s="39">
        <v>49</v>
      </c>
    </row>
    <row r="182" spans="1:3" x14ac:dyDescent="0.3">
      <c r="A182" s="299">
        <v>45171</v>
      </c>
      <c r="B182" s="39">
        <v>46</v>
      </c>
    </row>
    <row r="183" spans="1:3" x14ac:dyDescent="0.3">
      <c r="A183" s="299">
        <v>45175</v>
      </c>
      <c r="C183" s="39">
        <v>50</v>
      </c>
    </row>
    <row r="184" spans="1:3" x14ac:dyDescent="0.3">
      <c r="A184" s="299">
        <v>45185</v>
      </c>
      <c r="B184" s="39">
        <v>50</v>
      </c>
    </row>
    <row r="185" spans="1:3" x14ac:dyDescent="0.3">
      <c r="A185" s="299">
        <v>45189</v>
      </c>
      <c r="C185" s="39">
        <v>51</v>
      </c>
    </row>
    <row r="186" spans="1:3" x14ac:dyDescent="0.3">
      <c r="A186" s="299">
        <v>45199</v>
      </c>
      <c r="B186" s="39">
        <v>50</v>
      </c>
    </row>
    <row r="187" spans="1:3" x14ac:dyDescent="0.3">
      <c r="A187" s="299">
        <v>45203</v>
      </c>
      <c r="C187" s="39">
        <v>48</v>
      </c>
    </row>
    <row r="188" spans="1:3" x14ac:dyDescent="0.3">
      <c r="A188" s="299">
        <v>45213</v>
      </c>
      <c r="B188" s="39">
        <v>48</v>
      </c>
    </row>
    <row r="189" spans="1:3" x14ac:dyDescent="0.3">
      <c r="A189" s="299">
        <v>45217</v>
      </c>
      <c r="C189" s="39">
        <v>50</v>
      </c>
    </row>
    <row r="190" spans="1:3" x14ac:dyDescent="0.3">
      <c r="A190" s="299">
        <v>45227</v>
      </c>
      <c r="B190" s="39">
        <v>48</v>
      </c>
    </row>
    <row r="191" spans="1:3" x14ac:dyDescent="0.3">
      <c r="A191" s="299">
        <v>45231</v>
      </c>
      <c r="C191" s="39">
        <v>50</v>
      </c>
    </row>
    <row r="192" spans="1:3" x14ac:dyDescent="0.3">
      <c r="A192" s="299">
        <v>45241</v>
      </c>
      <c r="B192" s="39">
        <v>48</v>
      </c>
    </row>
    <row r="193" spans="1:3" x14ac:dyDescent="0.3">
      <c r="A193" s="299">
        <v>45245</v>
      </c>
      <c r="C193" s="39">
        <v>49</v>
      </c>
    </row>
    <row r="194" spans="1:3" x14ac:dyDescent="0.3">
      <c r="A194" s="299">
        <v>45255</v>
      </c>
      <c r="B194" s="39">
        <v>47</v>
      </c>
    </row>
    <row r="195" spans="1:3" x14ac:dyDescent="0.3">
      <c r="A195" s="299">
        <v>45259</v>
      </c>
      <c r="C195" s="39">
        <v>49</v>
      </c>
    </row>
    <row r="196" spans="1:3" x14ac:dyDescent="0.3">
      <c r="A196" s="299">
        <v>45269</v>
      </c>
      <c r="B196" s="39">
        <v>46</v>
      </c>
    </row>
    <row r="197" spans="1:3" x14ac:dyDescent="0.3">
      <c r="A197" s="299">
        <v>45273</v>
      </c>
      <c r="C197" s="39">
        <v>49</v>
      </c>
    </row>
    <row r="198" spans="1:3" x14ac:dyDescent="0.3">
      <c r="A198" s="299">
        <v>45274</v>
      </c>
      <c r="B198" s="39">
        <v>1</v>
      </c>
    </row>
    <row r="199" spans="1:3" x14ac:dyDescent="0.3">
      <c r="A199" s="299">
        <v>45275</v>
      </c>
      <c r="B199" s="39">
        <v>1</v>
      </c>
    </row>
    <row r="200" spans="1:3" x14ac:dyDescent="0.3">
      <c r="A200" s="299">
        <v>45283</v>
      </c>
      <c r="B200" s="39">
        <v>45</v>
      </c>
    </row>
    <row r="201" spans="1:3" x14ac:dyDescent="0.3">
      <c r="A201" s="299">
        <v>45287</v>
      </c>
      <c r="C201" s="39">
        <v>51</v>
      </c>
    </row>
    <row r="202" spans="1:3" x14ac:dyDescent="0.3">
      <c r="A202" s="299">
        <v>45291</v>
      </c>
      <c r="B202" s="39">
        <v>2</v>
      </c>
    </row>
    <row r="203" spans="1:3" x14ac:dyDescent="0.3">
      <c r="A203" s="299">
        <v>45297</v>
      </c>
      <c r="B203" s="39">
        <v>45</v>
      </c>
    </row>
    <row r="204" spans="1:3" x14ac:dyDescent="0.3">
      <c r="A204" s="299">
        <v>45301</v>
      </c>
      <c r="C204" s="39">
        <v>50</v>
      </c>
    </row>
    <row r="205" spans="1:3" x14ac:dyDescent="0.3">
      <c r="A205" s="299">
        <v>45311</v>
      </c>
      <c r="B205" s="39">
        <v>47</v>
      </c>
    </row>
    <row r="206" spans="1:3" x14ac:dyDescent="0.3">
      <c r="A206" s="299">
        <v>45315</v>
      </c>
      <c r="C206" s="39">
        <v>47</v>
      </c>
    </row>
    <row r="207" spans="1:3" x14ac:dyDescent="0.3">
      <c r="A207" s="299">
        <v>45325</v>
      </c>
      <c r="B207" s="39">
        <v>41</v>
      </c>
    </row>
    <row r="208" spans="1:3" x14ac:dyDescent="0.3">
      <c r="A208" s="299">
        <v>45329</v>
      </c>
      <c r="C208" s="39">
        <v>46</v>
      </c>
    </row>
    <row r="209" spans="1:3" x14ac:dyDescent="0.3">
      <c r="A209" s="299">
        <v>45339</v>
      </c>
      <c r="B209" s="39">
        <v>41</v>
      </c>
    </row>
    <row r="210" spans="1:3" x14ac:dyDescent="0.3">
      <c r="A210" s="299">
        <v>45343</v>
      </c>
      <c r="C210" s="39">
        <v>45</v>
      </c>
    </row>
    <row r="211" spans="1:3" x14ac:dyDescent="0.3">
      <c r="A211" s="299">
        <v>45353</v>
      </c>
      <c r="B211" s="39">
        <v>41</v>
      </c>
    </row>
    <row r="212" spans="1:3" x14ac:dyDescent="0.3">
      <c r="A212" s="299">
        <v>45357</v>
      </c>
      <c r="C212" s="39">
        <v>46</v>
      </c>
    </row>
    <row r="213" spans="1:3" x14ac:dyDescent="0.3">
      <c r="A213" s="299">
        <v>45367</v>
      </c>
      <c r="B213" s="39">
        <v>41</v>
      </c>
    </row>
    <row r="214" spans="1:3" x14ac:dyDescent="0.3">
      <c r="A214" s="299">
        <v>45371</v>
      </c>
      <c r="C214" s="39">
        <v>45</v>
      </c>
    </row>
    <row r="215" spans="1:3" x14ac:dyDescent="0.3">
      <c r="A215" s="299">
        <v>45381</v>
      </c>
      <c r="B215" s="39">
        <v>40</v>
      </c>
    </row>
    <row r="216" spans="1:3" x14ac:dyDescent="0.3">
      <c r="A216" s="299">
        <v>45385</v>
      </c>
      <c r="C216" s="39">
        <v>45</v>
      </c>
    </row>
    <row r="217" spans="1:3" x14ac:dyDescent="0.3">
      <c r="A217" s="299">
        <v>45395</v>
      </c>
      <c r="B217" s="39">
        <v>40</v>
      </c>
    </row>
    <row r="218" spans="1:3" x14ac:dyDescent="0.3">
      <c r="A218" s="299">
        <v>45399</v>
      </c>
      <c r="C218" s="39">
        <v>45</v>
      </c>
    </row>
    <row r="219" spans="1:3" x14ac:dyDescent="0.3">
      <c r="A219" s="299">
        <v>45409</v>
      </c>
      <c r="B219" s="39">
        <v>38</v>
      </c>
    </row>
    <row r="220" spans="1:3" x14ac:dyDescent="0.3">
      <c r="A220" s="299">
        <v>45413</v>
      </c>
      <c r="C220" s="39">
        <v>45</v>
      </c>
    </row>
    <row r="221" spans="1:3" x14ac:dyDescent="0.3">
      <c r="A221" s="299">
        <v>45423</v>
      </c>
      <c r="B221" s="39">
        <v>38</v>
      </c>
    </row>
    <row r="222" spans="1:3" x14ac:dyDescent="0.3">
      <c r="A222" s="299">
        <v>45427</v>
      </c>
      <c r="C222" s="39">
        <v>44</v>
      </c>
    </row>
    <row r="223" spans="1:3" x14ac:dyDescent="0.3">
      <c r="A223" s="299">
        <v>45437</v>
      </c>
      <c r="B223" s="39">
        <v>39</v>
      </c>
    </row>
    <row r="224" spans="1:3" x14ac:dyDescent="0.3">
      <c r="A224" s="299">
        <v>45441</v>
      </c>
      <c r="C224" s="39">
        <v>44</v>
      </c>
    </row>
    <row r="225" spans="1:3" x14ac:dyDescent="0.3">
      <c r="A225" s="299">
        <v>45451</v>
      </c>
      <c r="B225" s="39">
        <v>39</v>
      </c>
    </row>
    <row r="226" spans="1:3" x14ac:dyDescent="0.3">
      <c r="A226" s="299">
        <v>45455</v>
      </c>
      <c r="C226" s="39">
        <v>44</v>
      </c>
    </row>
    <row r="227" spans="1:3" x14ac:dyDescent="0.3">
      <c r="A227" s="299">
        <v>45465</v>
      </c>
      <c r="B227" s="39">
        <v>39</v>
      </c>
    </row>
    <row r="228" spans="1:3" x14ac:dyDescent="0.3">
      <c r="A228" s="299">
        <v>45469</v>
      </c>
      <c r="C228" s="39">
        <v>43</v>
      </c>
    </row>
    <row r="229" spans="1:3" x14ac:dyDescent="0.3">
      <c r="A229" s="299">
        <v>45479</v>
      </c>
      <c r="B229" s="39">
        <v>39</v>
      </c>
    </row>
    <row r="230" spans="1:3" x14ac:dyDescent="0.3">
      <c r="A230" s="299">
        <v>45483</v>
      </c>
      <c r="C230" s="39">
        <v>44</v>
      </c>
    </row>
    <row r="231" spans="1:3" x14ac:dyDescent="0.3">
      <c r="A231" s="299">
        <v>45493</v>
      </c>
      <c r="B231" s="39">
        <v>40</v>
      </c>
    </row>
    <row r="232" spans="1:3" x14ac:dyDescent="0.3">
      <c r="A232" s="299">
        <v>45497</v>
      </c>
      <c r="C232" s="39">
        <v>44</v>
      </c>
    </row>
    <row r="233" spans="1:3" x14ac:dyDescent="0.3">
      <c r="A233" s="299">
        <v>45507</v>
      </c>
      <c r="B233" s="39">
        <v>40</v>
      </c>
    </row>
    <row r="234" spans="1:3" x14ac:dyDescent="0.3">
      <c r="A234" s="299">
        <v>45511</v>
      </c>
      <c r="C234" s="39">
        <v>44</v>
      </c>
    </row>
    <row r="235" spans="1:3" x14ac:dyDescent="0.3">
      <c r="A235" s="299">
        <v>45521</v>
      </c>
      <c r="B235" s="39">
        <v>40</v>
      </c>
    </row>
    <row r="236" spans="1:3" x14ac:dyDescent="0.3">
      <c r="A236" s="299">
        <v>45525</v>
      </c>
      <c r="C236" s="39">
        <v>44</v>
      </c>
    </row>
    <row r="237" spans="1:3" x14ac:dyDescent="0.3">
      <c r="A237" s="299">
        <v>45535</v>
      </c>
      <c r="B237" s="39">
        <v>40</v>
      </c>
    </row>
    <row r="238" spans="1:3" x14ac:dyDescent="0.3">
      <c r="A238" s="299">
        <v>45539</v>
      </c>
      <c r="C238" s="39">
        <v>46</v>
      </c>
    </row>
    <row r="239" spans="1:3" x14ac:dyDescent="0.3">
      <c r="A239" s="299">
        <v>45549</v>
      </c>
      <c r="B239" s="39">
        <v>40</v>
      </c>
    </row>
    <row r="240" spans="1:3" x14ac:dyDescent="0.3">
      <c r="A240" s="299">
        <v>45553</v>
      </c>
      <c r="C240" s="39">
        <v>44</v>
      </c>
    </row>
    <row r="241" spans="1:3" x14ac:dyDescent="0.3">
      <c r="A241" s="299">
        <v>45563</v>
      </c>
      <c r="B241" s="39">
        <v>41</v>
      </c>
    </row>
    <row r="242" spans="1:3" x14ac:dyDescent="0.3">
      <c r="A242" s="299">
        <v>45567</v>
      </c>
      <c r="C242" s="39">
        <v>44</v>
      </c>
    </row>
    <row r="243" spans="1:3" x14ac:dyDescent="0.3">
      <c r="A243" s="299">
        <v>45577</v>
      </c>
      <c r="B243" s="39">
        <v>39</v>
      </c>
    </row>
    <row r="244" spans="1:3" x14ac:dyDescent="0.3">
      <c r="A244" s="299">
        <v>45581</v>
      </c>
      <c r="C244" s="39">
        <v>44</v>
      </c>
    </row>
    <row r="245" spans="1:3" x14ac:dyDescent="0.3">
      <c r="A245" s="299">
        <v>45591</v>
      </c>
      <c r="B245" s="39">
        <v>41</v>
      </c>
    </row>
    <row r="246" spans="1:3" x14ac:dyDescent="0.3">
      <c r="A246" s="299">
        <v>45595</v>
      </c>
      <c r="C246" s="39">
        <v>45</v>
      </c>
    </row>
    <row r="247" spans="1:3" x14ac:dyDescent="0.3">
      <c r="A247" s="299">
        <v>45596</v>
      </c>
      <c r="B247" s="39">
        <v>1</v>
      </c>
    </row>
    <row r="248" spans="1:3" x14ac:dyDescent="0.3">
      <c r="A248" s="299">
        <v>45605</v>
      </c>
      <c r="B248" s="39">
        <v>42</v>
      </c>
    </row>
    <row r="249" spans="1:3" x14ac:dyDescent="0.3">
      <c r="A249" s="299">
        <v>45609</v>
      </c>
      <c r="C249" s="39">
        <v>44</v>
      </c>
    </row>
    <row r="250" spans="1:3" x14ac:dyDescent="0.3">
      <c r="A250" s="299">
        <v>45619</v>
      </c>
      <c r="B250" s="39">
        <v>40</v>
      </c>
    </row>
    <row r="251" spans="1:3" x14ac:dyDescent="0.3">
      <c r="A251" s="299">
        <v>45623</v>
      </c>
      <c r="C251" s="39">
        <v>44</v>
      </c>
    </row>
    <row r="252" spans="1:3" x14ac:dyDescent="0.3">
      <c r="A252" s="299">
        <v>45633</v>
      </c>
      <c r="B252" s="39">
        <v>40</v>
      </c>
    </row>
    <row r="253" spans="1:3" x14ac:dyDescent="0.3">
      <c r="A253" s="299">
        <v>45637</v>
      </c>
      <c r="C253" s="39">
        <v>44</v>
      </c>
    </row>
    <row r="254" spans="1:3" x14ac:dyDescent="0.3">
      <c r="A254" s="299">
        <v>45647</v>
      </c>
      <c r="B254" s="39">
        <v>40</v>
      </c>
    </row>
    <row r="255" spans="1:3" x14ac:dyDescent="0.3">
      <c r="A255" s="299">
        <v>45651</v>
      </c>
      <c r="C255" s="39">
        <v>44</v>
      </c>
    </row>
    <row r="256" spans="1:3" x14ac:dyDescent="0.3">
      <c r="A256" s="299">
        <v>45661</v>
      </c>
      <c r="B256" s="39">
        <v>38</v>
      </c>
    </row>
    <row r="257" spans="1:3" x14ac:dyDescent="0.3">
      <c r="A257" s="299">
        <v>45665</v>
      </c>
      <c r="C257" s="39">
        <v>44</v>
      </c>
    </row>
    <row r="258" spans="1:3" x14ac:dyDescent="0.3">
      <c r="A258" s="299">
        <v>45675</v>
      </c>
      <c r="B258" s="39">
        <v>45</v>
      </c>
    </row>
    <row r="259" spans="1:3" x14ac:dyDescent="0.3">
      <c r="A259" s="299">
        <v>45679</v>
      </c>
      <c r="C259" s="39">
        <v>44</v>
      </c>
    </row>
    <row r="260" spans="1:3" x14ac:dyDescent="0.3">
      <c r="A260" s="299">
        <v>45689</v>
      </c>
      <c r="B260" s="39">
        <v>45</v>
      </c>
    </row>
    <row r="261" spans="1:3" x14ac:dyDescent="0.3">
      <c r="A261" s="299">
        <v>45693</v>
      </c>
      <c r="C261" s="39">
        <v>45</v>
      </c>
    </row>
    <row r="262" spans="1:3" x14ac:dyDescent="0.3">
      <c r="A262" s="299">
        <v>45703</v>
      </c>
      <c r="B262" s="39">
        <v>45</v>
      </c>
    </row>
    <row r="263" spans="1:3" x14ac:dyDescent="0.3">
      <c r="A263" s="299">
        <v>45707</v>
      </c>
      <c r="C263" s="39">
        <v>42</v>
      </c>
    </row>
    <row r="264" spans="1:3" x14ac:dyDescent="0.3">
      <c r="A264" s="299">
        <v>45717</v>
      </c>
      <c r="B264" s="39">
        <v>44</v>
      </c>
    </row>
    <row r="265" spans="1:3" x14ac:dyDescent="0.3">
      <c r="A265" s="299">
        <v>45721</v>
      </c>
      <c r="C265" s="39">
        <v>43</v>
      </c>
    </row>
    <row r="266" spans="1:3" x14ac:dyDescent="0.3">
      <c r="A266" s="299">
        <v>45731</v>
      </c>
      <c r="B266" s="39">
        <v>46</v>
      </c>
    </row>
    <row r="267" spans="1:3" x14ac:dyDescent="0.3">
      <c r="A267" s="299">
        <v>45735</v>
      </c>
      <c r="C267" s="39">
        <v>44</v>
      </c>
    </row>
    <row r="268" spans="1:3" x14ac:dyDescent="0.3">
      <c r="A268" s="299">
        <v>45745</v>
      </c>
      <c r="B268" s="39">
        <v>47</v>
      </c>
    </row>
    <row r="269" spans="1:3" x14ac:dyDescent="0.3">
      <c r="A269" s="299">
        <v>45749</v>
      </c>
      <c r="C269" s="39">
        <v>44</v>
      </c>
    </row>
    <row r="270" spans="1:3" x14ac:dyDescent="0.3">
      <c r="A270" s="299">
        <v>45759</v>
      </c>
      <c r="B270" s="39">
        <v>47</v>
      </c>
    </row>
    <row r="271" spans="1:3" x14ac:dyDescent="0.3">
      <c r="A271" s="299">
        <v>45763</v>
      </c>
      <c r="C271" s="39">
        <v>46</v>
      </c>
    </row>
    <row r="272" spans="1:3" x14ac:dyDescent="0.3">
      <c r="A272" s="299">
        <v>45773</v>
      </c>
      <c r="B272" s="39">
        <v>47</v>
      </c>
    </row>
    <row r="273" spans="1:3" x14ac:dyDescent="0.3">
      <c r="A273" s="299">
        <v>45777</v>
      </c>
      <c r="C273" s="39">
        <v>45</v>
      </c>
    </row>
    <row r="274" spans="1:3" x14ac:dyDescent="0.3">
      <c r="A274" s="299">
        <v>45787</v>
      </c>
      <c r="B274" s="39">
        <v>48</v>
      </c>
    </row>
    <row r="275" spans="1:3" x14ac:dyDescent="0.3">
      <c r="A275" s="299">
        <v>45791</v>
      </c>
      <c r="C275" s="39">
        <v>45</v>
      </c>
    </row>
    <row r="276" spans="1:3" x14ac:dyDescent="0.3">
      <c r="A276" s="299">
        <v>45801</v>
      </c>
      <c r="B276" s="39">
        <v>49</v>
      </c>
    </row>
    <row r="277" spans="1:3" x14ac:dyDescent="0.3">
      <c r="A277" s="299">
        <v>45805</v>
      </c>
      <c r="C277" s="39">
        <v>45</v>
      </c>
    </row>
    <row r="278" spans="1:3" x14ac:dyDescent="0.3">
      <c r="A278" s="299">
        <v>45815</v>
      </c>
      <c r="B278" s="39">
        <v>48</v>
      </c>
    </row>
    <row r="279" spans="1:3" x14ac:dyDescent="0.3">
      <c r="A279" s="299">
        <v>45819</v>
      </c>
      <c r="C279" s="39">
        <v>45</v>
      </c>
    </row>
    <row r="280" spans="1:3" x14ac:dyDescent="0.3">
      <c r="A280" s="299">
        <v>45829</v>
      </c>
      <c r="B280" s="39">
        <v>48</v>
      </c>
    </row>
    <row r="281" spans="1:3" x14ac:dyDescent="0.3">
      <c r="A281" s="299">
        <v>45833</v>
      </c>
      <c r="C281" s="39">
        <v>44</v>
      </c>
    </row>
    <row r="282" spans="1:3" x14ac:dyDescent="0.3">
      <c r="A282" s="299">
        <v>45843</v>
      </c>
      <c r="B282" s="39">
        <v>46</v>
      </c>
    </row>
    <row r="283" spans="1:3" x14ac:dyDescent="0.3">
      <c r="A283" s="299">
        <v>45847</v>
      </c>
      <c r="C283" s="39">
        <v>44</v>
      </c>
    </row>
    <row r="284" spans="1:3" x14ac:dyDescent="0.3">
      <c r="A284" s="299">
        <v>45857</v>
      </c>
      <c r="B284" s="39">
        <v>45</v>
      </c>
    </row>
    <row r="285" spans="1:3" x14ac:dyDescent="0.3">
      <c r="A285" s="299">
        <v>45861</v>
      </c>
      <c r="C285" s="39">
        <v>44</v>
      </c>
    </row>
    <row r="286" spans="1:3" x14ac:dyDescent="0.3">
      <c r="A286" s="299">
        <v>45871</v>
      </c>
      <c r="B286" s="39">
        <v>45</v>
      </c>
    </row>
    <row r="287" spans="1:3" x14ac:dyDescent="0.3">
      <c r="A287" s="299">
        <v>45875</v>
      </c>
      <c r="C287" s="39">
        <v>44</v>
      </c>
    </row>
    <row r="288" spans="1:3" x14ac:dyDescent="0.3">
      <c r="A288" s="299">
        <v>45885</v>
      </c>
      <c r="B288" s="39">
        <v>44</v>
      </c>
    </row>
    <row r="289" spans="1:3" x14ac:dyDescent="0.3">
      <c r="A289" s="299">
        <v>45889</v>
      </c>
      <c r="C289" s="39">
        <v>44</v>
      </c>
    </row>
    <row r="290" spans="1:3" x14ac:dyDescent="0.3">
      <c r="A290" s="299">
        <v>45899</v>
      </c>
      <c r="B290" s="39">
        <v>48</v>
      </c>
    </row>
    <row r="291" spans="1:3" x14ac:dyDescent="0.3">
      <c r="A291" s="299">
        <v>45903</v>
      </c>
      <c r="C291" s="39">
        <v>45</v>
      </c>
    </row>
    <row r="292" spans="1:3" x14ac:dyDescent="0.3">
      <c r="A292" s="299">
        <v>45913</v>
      </c>
      <c r="B292" s="39">
        <v>51</v>
      </c>
    </row>
    <row r="293" spans="1:3" x14ac:dyDescent="0.3">
      <c r="A293" s="299">
        <v>45917</v>
      </c>
      <c r="C293" s="39">
        <v>45</v>
      </c>
    </row>
    <row r="294" spans="1:3" x14ac:dyDescent="0.3">
      <c r="A294" s="299">
        <v>45927</v>
      </c>
      <c r="B294" s="39">
        <v>51</v>
      </c>
    </row>
    <row r="295" spans="1:3" x14ac:dyDescent="0.3">
      <c r="A295" s="299">
        <v>45931</v>
      </c>
      <c r="C295" s="39">
        <v>45</v>
      </c>
    </row>
    <row r="296" spans="1:3" x14ac:dyDescent="0.3">
      <c r="A296" s="299">
        <v>45941</v>
      </c>
      <c r="B296" s="39">
        <v>51</v>
      </c>
    </row>
    <row r="297" spans="1:3" x14ac:dyDescent="0.3">
      <c r="A297" s="299">
        <v>45945</v>
      </c>
      <c r="C297" s="39">
        <v>46</v>
      </c>
    </row>
    <row r="298" spans="1:3" x14ac:dyDescent="0.3">
      <c r="A298" s="299">
        <v>45955</v>
      </c>
      <c r="B298" s="39">
        <v>49</v>
      </c>
    </row>
    <row r="299" spans="1:3" x14ac:dyDescent="0.3">
      <c r="A299" s="299">
        <v>45959</v>
      </c>
      <c r="C299" s="39">
        <v>46</v>
      </c>
    </row>
    <row r="300" spans="1:3" x14ac:dyDescent="0.3">
      <c r="A300" s="299">
        <v>45969</v>
      </c>
      <c r="B300" s="39">
        <v>52</v>
      </c>
    </row>
    <row r="301" spans="1:3" x14ac:dyDescent="0.3">
      <c r="A301" s="299">
        <v>45973</v>
      </c>
      <c r="C301" s="39">
        <v>44</v>
      </c>
    </row>
    <row r="302" spans="1:3" x14ac:dyDescent="0.3">
      <c r="A302" s="299">
        <v>45983</v>
      </c>
      <c r="B302" s="39">
        <v>53</v>
      </c>
    </row>
    <row r="303" spans="1:3" x14ac:dyDescent="0.3">
      <c r="A303" s="299">
        <v>45987</v>
      </c>
      <c r="C303" s="39">
        <v>44</v>
      </c>
    </row>
    <row r="304" spans="1:3" x14ac:dyDescent="0.3">
      <c r="A304" s="299">
        <v>45997</v>
      </c>
      <c r="B304" s="39">
        <v>51</v>
      </c>
    </row>
    <row r="305" spans="1:3" x14ac:dyDescent="0.3">
      <c r="A305" s="299">
        <v>46001</v>
      </c>
      <c r="C305" s="39">
        <v>46</v>
      </c>
    </row>
    <row r="306" spans="1:3" x14ac:dyDescent="0.3">
      <c r="A306" s="299">
        <v>46011</v>
      </c>
      <c r="B306" s="39">
        <v>53</v>
      </c>
    </row>
    <row r="307" spans="1:3" x14ac:dyDescent="0.3">
      <c r="A307" s="299">
        <v>46015</v>
      </c>
      <c r="C307" s="39">
        <v>47</v>
      </c>
    </row>
    <row r="308" spans="1:3" x14ac:dyDescent="0.3">
      <c r="A308" s="299">
        <v>46025</v>
      </c>
      <c r="B308" s="39">
        <v>46</v>
      </c>
    </row>
    <row r="309" spans="1:3" x14ac:dyDescent="0.3">
      <c r="A309" s="299">
        <v>46029</v>
      </c>
      <c r="C309" s="39">
        <v>45</v>
      </c>
    </row>
    <row r="310" spans="1:3" x14ac:dyDescent="0.3">
      <c r="A310" s="299">
        <v>46039</v>
      </c>
      <c r="B310" s="39">
        <v>36</v>
      </c>
    </row>
    <row r="311" spans="1:3" x14ac:dyDescent="0.3">
      <c r="A311" s="299">
        <v>46043</v>
      </c>
      <c r="C311" s="39">
        <v>47</v>
      </c>
    </row>
    <row r="312" spans="1:3" x14ac:dyDescent="0.3">
      <c r="A312" s="299">
        <v>46053</v>
      </c>
      <c r="B312" s="39">
        <v>32</v>
      </c>
    </row>
    <row r="313" spans="1:3" x14ac:dyDescent="0.3">
      <c r="A313" s="299">
        <v>46057</v>
      </c>
      <c r="C313" s="39">
        <v>46</v>
      </c>
    </row>
    <row r="314" spans="1:3" x14ac:dyDescent="0.3">
      <c r="A314" s="299">
        <v>46067</v>
      </c>
      <c r="B314" s="39">
        <v>33</v>
      </c>
    </row>
    <row r="315" spans="1:3" x14ac:dyDescent="0.3">
      <c r="A315" s="299">
        <v>46071</v>
      </c>
      <c r="B315" s="39">
        <v>1</v>
      </c>
    </row>
    <row r="316" spans="1:3" x14ac:dyDescent="0.3">
      <c r="A316"/>
      <c r="B316"/>
      <c r="C316"/>
    </row>
    <row r="317" spans="1:3" x14ac:dyDescent="0.3">
      <c r="A317"/>
      <c r="B317"/>
      <c r="C317"/>
    </row>
    <row r="318" spans="1:3" x14ac:dyDescent="0.3">
      <c r="A318"/>
      <c r="B318"/>
      <c r="C318"/>
    </row>
    <row r="319" spans="1:3" x14ac:dyDescent="0.3">
      <c r="A319"/>
      <c r="B319"/>
      <c r="C319"/>
    </row>
    <row r="320" spans="1:3" x14ac:dyDescent="0.3">
      <c r="A320"/>
      <c r="B320"/>
      <c r="C320"/>
    </row>
    <row r="321" spans="1:3" x14ac:dyDescent="0.3">
      <c r="A321"/>
      <c r="B321"/>
      <c r="C321"/>
    </row>
    <row r="322" spans="1:3" x14ac:dyDescent="0.3">
      <c r="A322"/>
      <c r="B322"/>
      <c r="C322"/>
    </row>
    <row r="323" spans="1:3" x14ac:dyDescent="0.3">
      <c r="A323"/>
      <c r="B323"/>
      <c r="C323"/>
    </row>
    <row r="324" spans="1:3" x14ac:dyDescent="0.3">
      <c r="A324"/>
      <c r="B324"/>
      <c r="C324"/>
    </row>
    <row r="325" spans="1:3" x14ac:dyDescent="0.3">
      <c r="A325"/>
      <c r="B325"/>
      <c r="C325"/>
    </row>
    <row r="326" spans="1:3" x14ac:dyDescent="0.3">
      <c r="A326"/>
      <c r="B326"/>
      <c r="C326"/>
    </row>
    <row r="327" spans="1:3" x14ac:dyDescent="0.3">
      <c r="A327"/>
      <c r="B327"/>
      <c r="C327"/>
    </row>
    <row r="328" spans="1:3" x14ac:dyDescent="0.3">
      <c r="A328"/>
      <c r="B328"/>
      <c r="C328"/>
    </row>
    <row r="329" spans="1:3" x14ac:dyDescent="0.3">
      <c r="A329"/>
      <c r="B329"/>
      <c r="C329"/>
    </row>
    <row r="330" spans="1:3" x14ac:dyDescent="0.3">
      <c r="A330"/>
      <c r="B330"/>
      <c r="C330"/>
    </row>
    <row r="331" spans="1:3" x14ac:dyDescent="0.3">
      <c r="A331"/>
      <c r="B331"/>
      <c r="C331"/>
    </row>
    <row r="332" spans="1:3" x14ac:dyDescent="0.3">
      <c r="A332"/>
      <c r="B332"/>
      <c r="C332"/>
    </row>
    <row r="333" spans="1:3" x14ac:dyDescent="0.3">
      <c r="A333"/>
      <c r="B333"/>
      <c r="C333"/>
    </row>
    <row r="334" spans="1:3" x14ac:dyDescent="0.3">
      <c r="A334"/>
      <c r="B334"/>
      <c r="C334"/>
    </row>
    <row r="335" spans="1:3" x14ac:dyDescent="0.3">
      <c r="A335"/>
      <c r="B335"/>
      <c r="C335"/>
    </row>
    <row r="336" spans="1:3" x14ac:dyDescent="0.3">
      <c r="A336"/>
      <c r="B336"/>
      <c r="C336"/>
    </row>
    <row r="337" spans="1:3" x14ac:dyDescent="0.3">
      <c r="A337"/>
      <c r="B337"/>
      <c r="C337"/>
    </row>
    <row r="338" spans="1:3" x14ac:dyDescent="0.3">
      <c r="A338"/>
      <c r="B338"/>
      <c r="C338"/>
    </row>
    <row r="339" spans="1:3" x14ac:dyDescent="0.3">
      <c r="A339"/>
      <c r="B339"/>
      <c r="C339"/>
    </row>
    <row r="340" spans="1:3" x14ac:dyDescent="0.3">
      <c r="A340"/>
      <c r="B340"/>
      <c r="C340"/>
    </row>
    <row r="341" spans="1:3" x14ac:dyDescent="0.3">
      <c r="A341"/>
      <c r="B341"/>
      <c r="C341"/>
    </row>
    <row r="342" spans="1:3" x14ac:dyDescent="0.3">
      <c r="A342"/>
      <c r="B342"/>
      <c r="C342"/>
    </row>
    <row r="343" spans="1:3" x14ac:dyDescent="0.3">
      <c r="A343"/>
      <c r="B343"/>
      <c r="C343"/>
    </row>
    <row r="344" spans="1:3" x14ac:dyDescent="0.3">
      <c r="A344"/>
      <c r="B344"/>
      <c r="C344"/>
    </row>
    <row r="345" spans="1:3" x14ac:dyDescent="0.3">
      <c r="A345"/>
      <c r="B345"/>
      <c r="C345"/>
    </row>
    <row r="346" spans="1:3" x14ac:dyDescent="0.3">
      <c r="A346"/>
      <c r="B346"/>
      <c r="C346"/>
    </row>
    <row r="347" spans="1:3" x14ac:dyDescent="0.3">
      <c r="A347"/>
      <c r="B347"/>
      <c r="C347"/>
    </row>
    <row r="348" spans="1:3" x14ac:dyDescent="0.3">
      <c r="A348"/>
      <c r="B348"/>
      <c r="C348"/>
    </row>
    <row r="349" spans="1:3" x14ac:dyDescent="0.3">
      <c r="A349"/>
      <c r="B349"/>
      <c r="C349"/>
    </row>
    <row r="350" spans="1:3" x14ac:dyDescent="0.3">
      <c r="A350"/>
      <c r="B350"/>
      <c r="C350"/>
    </row>
    <row r="351" spans="1:3" x14ac:dyDescent="0.3">
      <c r="A351"/>
      <c r="B351"/>
      <c r="C351"/>
    </row>
    <row r="352" spans="1:3" x14ac:dyDescent="0.3">
      <c r="A352"/>
      <c r="B352"/>
      <c r="C352"/>
    </row>
    <row r="353" spans="1:3" x14ac:dyDescent="0.3">
      <c r="A353"/>
      <c r="B353"/>
      <c r="C353"/>
    </row>
    <row r="354" spans="1:3" x14ac:dyDescent="0.3">
      <c r="A354"/>
      <c r="B354"/>
      <c r="C354"/>
    </row>
    <row r="355" spans="1:3" x14ac:dyDescent="0.3">
      <c r="A355"/>
      <c r="B355"/>
      <c r="C355"/>
    </row>
    <row r="356" spans="1:3" x14ac:dyDescent="0.3">
      <c r="A356"/>
      <c r="B356"/>
      <c r="C356"/>
    </row>
    <row r="357" spans="1:3" x14ac:dyDescent="0.3">
      <c r="A357"/>
      <c r="B357"/>
      <c r="C357"/>
    </row>
    <row r="358" spans="1:3" x14ac:dyDescent="0.3">
      <c r="A358"/>
      <c r="B358"/>
      <c r="C358"/>
    </row>
    <row r="359" spans="1:3" x14ac:dyDescent="0.3">
      <c r="A359"/>
      <c r="B359"/>
      <c r="C359"/>
    </row>
    <row r="360" spans="1:3" x14ac:dyDescent="0.3">
      <c r="A360"/>
      <c r="B360"/>
      <c r="C360"/>
    </row>
    <row r="361" spans="1:3" x14ac:dyDescent="0.3">
      <c r="A361"/>
      <c r="B361"/>
      <c r="C361"/>
    </row>
    <row r="362" spans="1:3" x14ac:dyDescent="0.3">
      <c r="A362"/>
      <c r="B362"/>
      <c r="C362"/>
    </row>
    <row r="363" spans="1:3" x14ac:dyDescent="0.3">
      <c r="A363"/>
      <c r="B363"/>
      <c r="C363"/>
    </row>
    <row r="364" spans="1:3" x14ac:dyDescent="0.3">
      <c r="A364"/>
      <c r="B364"/>
      <c r="C364"/>
    </row>
    <row r="365" spans="1:3" x14ac:dyDescent="0.3">
      <c r="A365"/>
      <c r="B365"/>
      <c r="C365"/>
    </row>
    <row r="366" spans="1:3" x14ac:dyDescent="0.3">
      <c r="A366"/>
      <c r="B366"/>
      <c r="C366"/>
    </row>
    <row r="367" spans="1:3" x14ac:dyDescent="0.3">
      <c r="A367"/>
      <c r="B367"/>
      <c r="C367"/>
    </row>
    <row r="368" spans="1:3" x14ac:dyDescent="0.3">
      <c r="A368"/>
      <c r="B368"/>
      <c r="C368"/>
    </row>
    <row r="369" spans="1:3" x14ac:dyDescent="0.3">
      <c r="A369"/>
      <c r="B369"/>
      <c r="C369"/>
    </row>
    <row r="370" spans="1:3" x14ac:dyDescent="0.3">
      <c r="A370"/>
      <c r="B370"/>
      <c r="C370"/>
    </row>
    <row r="371" spans="1:3" x14ac:dyDescent="0.3">
      <c r="A371"/>
      <c r="B371"/>
      <c r="C371"/>
    </row>
    <row r="372" spans="1:3" x14ac:dyDescent="0.3">
      <c r="A372"/>
      <c r="B372"/>
      <c r="C372"/>
    </row>
    <row r="373" spans="1:3" x14ac:dyDescent="0.3">
      <c r="A373"/>
      <c r="B373"/>
      <c r="C373"/>
    </row>
    <row r="374" spans="1:3" x14ac:dyDescent="0.3">
      <c r="A374"/>
      <c r="B374"/>
      <c r="C374"/>
    </row>
    <row r="375" spans="1:3" x14ac:dyDescent="0.3">
      <c r="A375"/>
      <c r="B375"/>
      <c r="C375"/>
    </row>
    <row r="376" spans="1:3" x14ac:dyDescent="0.3">
      <c r="A376"/>
      <c r="B376"/>
      <c r="C376"/>
    </row>
    <row r="377" spans="1:3" x14ac:dyDescent="0.3">
      <c r="A377"/>
      <c r="B377"/>
      <c r="C377"/>
    </row>
    <row r="378" spans="1:3" x14ac:dyDescent="0.3">
      <c r="A378"/>
      <c r="B378"/>
      <c r="C378"/>
    </row>
    <row r="379" spans="1:3" x14ac:dyDescent="0.3">
      <c r="A379"/>
      <c r="B379"/>
      <c r="C379"/>
    </row>
    <row r="380" spans="1:3" x14ac:dyDescent="0.3">
      <c r="A380"/>
      <c r="B380"/>
      <c r="C380"/>
    </row>
    <row r="381" spans="1:3" x14ac:dyDescent="0.3">
      <c r="A381"/>
      <c r="B381"/>
      <c r="C381"/>
    </row>
    <row r="382" spans="1:3" x14ac:dyDescent="0.3">
      <c r="A382"/>
      <c r="B382"/>
      <c r="C382"/>
    </row>
    <row r="383" spans="1:3" x14ac:dyDescent="0.3">
      <c r="A383"/>
      <c r="B383"/>
      <c r="C383"/>
    </row>
    <row r="384" spans="1:3" x14ac:dyDescent="0.3">
      <c r="A384"/>
      <c r="B384"/>
      <c r="C384"/>
    </row>
    <row r="385" spans="1:3" x14ac:dyDescent="0.3">
      <c r="A385"/>
      <c r="B385"/>
      <c r="C385"/>
    </row>
    <row r="386" spans="1:3" x14ac:dyDescent="0.3">
      <c r="A386"/>
      <c r="B386"/>
      <c r="C386"/>
    </row>
    <row r="387" spans="1:3" x14ac:dyDescent="0.3">
      <c r="A387"/>
      <c r="B387"/>
      <c r="C387"/>
    </row>
    <row r="388" spans="1:3" x14ac:dyDescent="0.3">
      <c r="A388"/>
      <c r="B388"/>
      <c r="C388"/>
    </row>
    <row r="389" spans="1:3" x14ac:dyDescent="0.3">
      <c r="A389"/>
      <c r="B389"/>
      <c r="C389"/>
    </row>
    <row r="390" spans="1:3" x14ac:dyDescent="0.3">
      <c r="A390"/>
      <c r="B390"/>
      <c r="C390"/>
    </row>
    <row r="391" spans="1:3" x14ac:dyDescent="0.3">
      <c r="A391"/>
      <c r="B391"/>
      <c r="C391"/>
    </row>
    <row r="392" spans="1:3" x14ac:dyDescent="0.3">
      <c r="A392"/>
      <c r="B392"/>
      <c r="C392"/>
    </row>
    <row r="393" spans="1:3" x14ac:dyDescent="0.3">
      <c r="A393"/>
      <c r="B393"/>
      <c r="C393"/>
    </row>
    <row r="394" spans="1:3" x14ac:dyDescent="0.3">
      <c r="A394"/>
      <c r="B394"/>
      <c r="C394"/>
    </row>
    <row r="395" spans="1:3" x14ac:dyDescent="0.3">
      <c r="A395"/>
      <c r="B395"/>
      <c r="C395"/>
    </row>
    <row r="396" spans="1:3" x14ac:dyDescent="0.3">
      <c r="A396"/>
      <c r="B396"/>
      <c r="C396"/>
    </row>
    <row r="397" spans="1:3" x14ac:dyDescent="0.3">
      <c r="A397"/>
      <c r="B397"/>
      <c r="C397"/>
    </row>
    <row r="398" spans="1:3" x14ac:dyDescent="0.3">
      <c r="A398"/>
      <c r="B398"/>
      <c r="C398"/>
    </row>
    <row r="399" spans="1:3" x14ac:dyDescent="0.3">
      <c r="A399"/>
      <c r="B399"/>
      <c r="C399"/>
    </row>
    <row r="400" spans="1:3" x14ac:dyDescent="0.3">
      <c r="A400"/>
      <c r="B400"/>
      <c r="C400"/>
    </row>
    <row r="401" spans="1:3" x14ac:dyDescent="0.3">
      <c r="A401"/>
      <c r="B401"/>
      <c r="C401"/>
    </row>
    <row r="402" spans="1:3" x14ac:dyDescent="0.3">
      <c r="A402"/>
      <c r="B402"/>
      <c r="C402"/>
    </row>
    <row r="403" spans="1:3" x14ac:dyDescent="0.3">
      <c r="A403"/>
      <c r="B403"/>
      <c r="C403"/>
    </row>
    <row r="404" spans="1:3" x14ac:dyDescent="0.3">
      <c r="A404"/>
      <c r="B404"/>
      <c r="C404"/>
    </row>
    <row r="405" spans="1:3" x14ac:dyDescent="0.3">
      <c r="A405"/>
      <c r="B405"/>
      <c r="C405"/>
    </row>
    <row r="406" spans="1:3" x14ac:dyDescent="0.3">
      <c r="A406"/>
      <c r="B406"/>
      <c r="C406"/>
    </row>
    <row r="407" spans="1:3" x14ac:dyDescent="0.3">
      <c r="A407"/>
      <c r="B407"/>
      <c r="C407"/>
    </row>
    <row r="408" spans="1:3" x14ac:dyDescent="0.3">
      <c r="A408"/>
      <c r="B408"/>
      <c r="C408"/>
    </row>
    <row r="409" spans="1:3" x14ac:dyDescent="0.3">
      <c r="A409"/>
      <c r="B409"/>
      <c r="C409"/>
    </row>
    <row r="410" spans="1:3" x14ac:dyDescent="0.3">
      <c r="A410"/>
      <c r="B410"/>
      <c r="C410"/>
    </row>
    <row r="411" spans="1:3" x14ac:dyDescent="0.3">
      <c r="A411"/>
      <c r="B411"/>
      <c r="C411"/>
    </row>
    <row r="412" spans="1:3" x14ac:dyDescent="0.3">
      <c r="A412"/>
      <c r="B412"/>
      <c r="C412"/>
    </row>
    <row r="413" spans="1:3" x14ac:dyDescent="0.3">
      <c r="A413"/>
      <c r="B413"/>
      <c r="C413"/>
    </row>
    <row r="414" spans="1:3" x14ac:dyDescent="0.3">
      <c r="A414"/>
      <c r="B414"/>
      <c r="C414"/>
    </row>
    <row r="415" spans="1:3" x14ac:dyDescent="0.3">
      <c r="A415"/>
      <c r="B415"/>
      <c r="C415"/>
    </row>
    <row r="416" spans="1:3" x14ac:dyDescent="0.3">
      <c r="A416"/>
      <c r="B416"/>
      <c r="C416"/>
    </row>
    <row r="417" spans="1:3" x14ac:dyDescent="0.3">
      <c r="A417"/>
      <c r="B417"/>
      <c r="C417"/>
    </row>
    <row r="418" spans="1:3" x14ac:dyDescent="0.3">
      <c r="A418"/>
      <c r="B418"/>
      <c r="C418"/>
    </row>
    <row r="419" spans="1:3" x14ac:dyDescent="0.3">
      <c r="A419"/>
      <c r="B419"/>
      <c r="C419"/>
    </row>
    <row r="420" spans="1:3" x14ac:dyDescent="0.3">
      <c r="A420"/>
      <c r="B420"/>
      <c r="C420"/>
    </row>
    <row r="421" spans="1:3" x14ac:dyDescent="0.3">
      <c r="A421"/>
      <c r="B421"/>
      <c r="C421"/>
    </row>
    <row r="422" spans="1:3" x14ac:dyDescent="0.3">
      <c r="A422"/>
      <c r="B422"/>
      <c r="C422"/>
    </row>
    <row r="423" spans="1:3" x14ac:dyDescent="0.3">
      <c r="A423"/>
      <c r="B423"/>
      <c r="C423"/>
    </row>
    <row r="424" spans="1:3" x14ac:dyDescent="0.3">
      <c r="A424"/>
      <c r="B424"/>
      <c r="C424"/>
    </row>
    <row r="425" spans="1:3" x14ac:dyDescent="0.3">
      <c r="A425"/>
      <c r="B425"/>
      <c r="C425"/>
    </row>
    <row r="426" spans="1:3" x14ac:dyDescent="0.3">
      <c r="A426"/>
      <c r="B426"/>
      <c r="C426"/>
    </row>
    <row r="427" spans="1:3" x14ac:dyDescent="0.3">
      <c r="A427"/>
      <c r="B427"/>
      <c r="C427"/>
    </row>
    <row r="428" spans="1:3" x14ac:dyDescent="0.3">
      <c r="A428"/>
      <c r="B428"/>
      <c r="C428"/>
    </row>
    <row r="429" spans="1:3" x14ac:dyDescent="0.3">
      <c r="A429"/>
      <c r="B429"/>
      <c r="C429"/>
    </row>
    <row r="430" spans="1:3" x14ac:dyDescent="0.3">
      <c r="A430"/>
      <c r="B430"/>
      <c r="C430"/>
    </row>
    <row r="431" spans="1:3" x14ac:dyDescent="0.3">
      <c r="A431"/>
      <c r="B431"/>
      <c r="C431"/>
    </row>
    <row r="432" spans="1:3" x14ac:dyDescent="0.3">
      <c r="A432"/>
      <c r="B432"/>
      <c r="C432"/>
    </row>
    <row r="433" spans="1:3" x14ac:dyDescent="0.3">
      <c r="A433"/>
      <c r="B433"/>
      <c r="C433"/>
    </row>
    <row r="434" spans="1:3" x14ac:dyDescent="0.3">
      <c r="A434"/>
      <c r="B434"/>
      <c r="C434"/>
    </row>
    <row r="435" spans="1:3" x14ac:dyDescent="0.3">
      <c r="A435"/>
      <c r="B435"/>
      <c r="C435"/>
    </row>
    <row r="436" spans="1:3" x14ac:dyDescent="0.3">
      <c r="A436"/>
      <c r="B436"/>
      <c r="C436"/>
    </row>
    <row r="437" spans="1:3" x14ac:dyDescent="0.3">
      <c r="A437"/>
      <c r="B437"/>
      <c r="C437"/>
    </row>
    <row r="438" spans="1:3" x14ac:dyDescent="0.3">
      <c r="A438"/>
      <c r="B438"/>
      <c r="C438"/>
    </row>
    <row r="439" spans="1:3" x14ac:dyDescent="0.3">
      <c r="A439"/>
      <c r="B439"/>
      <c r="C439"/>
    </row>
    <row r="440" spans="1:3" x14ac:dyDescent="0.3">
      <c r="A440"/>
      <c r="B440"/>
      <c r="C440"/>
    </row>
    <row r="441" spans="1:3" x14ac:dyDescent="0.3">
      <c r="A441"/>
      <c r="B441"/>
      <c r="C441"/>
    </row>
    <row r="442" spans="1:3" x14ac:dyDescent="0.3">
      <c r="A442"/>
      <c r="B442"/>
      <c r="C442"/>
    </row>
    <row r="443" spans="1:3" x14ac:dyDescent="0.3">
      <c r="A443"/>
      <c r="B443"/>
      <c r="C443"/>
    </row>
    <row r="444" spans="1:3" x14ac:dyDescent="0.3">
      <c r="A444"/>
      <c r="B444"/>
      <c r="C444"/>
    </row>
    <row r="445" spans="1:3" x14ac:dyDescent="0.3">
      <c r="A445"/>
      <c r="B445"/>
      <c r="C445"/>
    </row>
    <row r="446" spans="1:3" x14ac:dyDescent="0.3">
      <c r="A446"/>
      <c r="B446"/>
      <c r="C446"/>
    </row>
    <row r="447" spans="1:3" x14ac:dyDescent="0.3">
      <c r="A447"/>
      <c r="B447"/>
      <c r="C447"/>
    </row>
    <row r="448" spans="1:3" x14ac:dyDescent="0.3">
      <c r="A448"/>
      <c r="B448"/>
      <c r="C448"/>
    </row>
    <row r="449" spans="1:3" x14ac:dyDescent="0.3">
      <c r="A449"/>
      <c r="B449"/>
      <c r="C449"/>
    </row>
    <row r="450" spans="1:3" x14ac:dyDescent="0.3">
      <c r="A450"/>
      <c r="B450"/>
      <c r="C450"/>
    </row>
    <row r="451" spans="1:3" x14ac:dyDescent="0.3">
      <c r="A451"/>
      <c r="B451"/>
      <c r="C451"/>
    </row>
    <row r="452" spans="1:3" x14ac:dyDescent="0.3">
      <c r="A452"/>
      <c r="B452"/>
      <c r="C452"/>
    </row>
    <row r="453" spans="1:3" x14ac:dyDescent="0.3">
      <c r="A453"/>
      <c r="B453"/>
      <c r="C453"/>
    </row>
    <row r="454" spans="1:3" x14ac:dyDescent="0.3">
      <c r="A454"/>
      <c r="B454"/>
      <c r="C454"/>
    </row>
    <row r="455" spans="1:3" x14ac:dyDescent="0.3">
      <c r="A455"/>
      <c r="B455"/>
      <c r="C455"/>
    </row>
    <row r="456" spans="1:3" x14ac:dyDescent="0.3">
      <c r="A456"/>
      <c r="B456"/>
      <c r="C456"/>
    </row>
    <row r="457" spans="1:3" x14ac:dyDescent="0.3">
      <c r="A457"/>
      <c r="B457"/>
      <c r="C457"/>
    </row>
    <row r="458" spans="1:3" x14ac:dyDescent="0.3">
      <c r="A458"/>
      <c r="B458"/>
      <c r="C458"/>
    </row>
    <row r="459" spans="1:3" x14ac:dyDescent="0.3">
      <c r="A459"/>
      <c r="B459"/>
      <c r="C459"/>
    </row>
    <row r="460" spans="1:3" x14ac:dyDescent="0.3">
      <c r="A460"/>
      <c r="B460"/>
      <c r="C460"/>
    </row>
    <row r="461" spans="1:3" x14ac:dyDescent="0.3">
      <c r="A461"/>
      <c r="B461"/>
      <c r="C461"/>
    </row>
    <row r="462" spans="1:3" x14ac:dyDescent="0.3">
      <c r="A462"/>
      <c r="B462"/>
      <c r="C462"/>
    </row>
    <row r="463" spans="1:3" x14ac:dyDescent="0.3">
      <c r="A463"/>
      <c r="B463"/>
      <c r="C463"/>
    </row>
    <row r="464" spans="1:3" x14ac:dyDescent="0.3">
      <c r="A464"/>
      <c r="B464"/>
      <c r="C464"/>
    </row>
    <row r="465" spans="1:3" x14ac:dyDescent="0.3">
      <c r="A465"/>
      <c r="B465"/>
      <c r="C465"/>
    </row>
    <row r="466" spans="1:3" x14ac:dyDescent="0.3">
      <c r="A466"/>
      <c r="B466"/>
      <c r="C466"/>
    </row>
    <row r="467" spans="1:3" x14ac:dyDescent="0.3">
      <c r="A467"/>
      <c r="B467"/>
      <c r="C467"/>
    </row>
    <row r="468" spans="1:3" x14ac:dyDescent="0.3">
      <c r="A468"/>
      <c r="B468"/>
      <c r="C468"/>
    </row>
    <row r="469" spans="1:3" x14ac:dyDescent="0.3">
      <c r="A469"/>
      <c r="B469"/>
      <c r="C469"/>
    </row>
    <row r="470" spans="1:3" x14ac:dyDescent="0.3">
      <c r="A470"/>
      <c r="B470"/>
      <c r="C470"/>
    </row>
    <row r="471" spans="1:3" x14ac:dyDescent="0.3">
      <c r="A471"/>
      <c r="B471"/>
      <c r="C471"/>
    </row>
    <row r="472" spans="1:3" x14ac:dyDescent="0.3">
      <c r="A472"/>
      <c r="B472"/>
      <c r="C472"/>
    </row>
    <row r="473" spans="1:3" x14ac:dyDescent="0.3">
      <c r="A473"/>
      <c r="B473"/>
      <c r="C473"/>
    </row>
    <row r="474" spans="1:3" x14ac:dyDescent="0.3">
      <c r="A474"/>
      <c r="B474"/>
      <c r="C474"/>
    </row>
    <row r="475" spans="1:3" x14ac:dyDescent="0.3">
      <c r="A475"/>
      <c r="B475"/>
      <c r="C475"/>
    </row>
    <row r="476" spans="1:3" x14ac:dyDescent="0.3">
      <c r="A476"/>
      <c r="B476"/>
      <c r="C476"/>
    </row>
    <row r="477" spans="1:3" x14ac:dyDescent="0.3">
      <c r="A477"/>
      <c r="B477"/>
      <c r="C477"/>
    </row>
    <row r="478" spans="1:3" x14ac:dyDescent="0.3">
      <c r="A478"/>
      <c r="B478"/>
      <c r="C478"/>
    </row>
    <row r="479" spans="1:3" x14ac:dyDescent="0.3">
      <c r="A479"/>
      <c r="B479"/>
      <c r="C479"/>
    </row>
    <row r="480" spans="1:3" x14ac:dyDescent="0.3">
      <c r="A480"/>
      <c r="B480"/>
      <c r="C480"/>
    </row>
    <row r="481" spans="1:3" x14ac:dyDescent="0.3">
      <c r="A481"/>
      <c r="B481"/>
      <c r="C481"/>
    </row>
    <row r="482" spans="1:3" x14ac:dyDescent="0.3">
      <c r="A482"/>
      <c r="B482"/>
      <c r="C482"/>
    </row>
    <row r="483" spans="1:3" x14ac:dyDescent="0.3">
      <c r="A483"/>
      <c r="B483"/>
      <c r="C483"/>
    </row>
    <row r="484" spans="1:3" x14ac:dyDescent="0.3">
      <c r="A484"/>
      <c r="B484"/>
      <c r="C484"/>
    </row>
    <row r="485" spans="1:3" x14ac:dyDescent="0.3">
      <c r="A485"/>
      <c r="B485"/>
      <c r="C485"/>
    </row>
    <row r="486" spans="1:3" x14ac:dyDescent="0.3">
      <c r="A486"/>
      <c r="B486"/>
      <c r="C486"/>
    </row>
    <row r="487" spans="1:3" x14ac:dyDescent="0.3">
      <c r="A487"/>
      <c r="B487"/>
      <c r="C487"/>
    </row>
    <row r="488" spans="1:3" x14ac:dyDescent="0.3">
      <c r="A488"/>
      <c r="B488"/>
      <c r="C488"/>
    </row>
    <row r="489" spans="1:3" x14ac:dyDescent="0.3">
      <c r="A489"/>
      <c r="B489"/>
      <c r="C489"/>
    </row>
    <row r="490" spans="1:3" x14ac:dyDescent="0.3">
      <c r="A490"/>
      <c r="B490"/>
      <c r="C490"/>
    </row>
    <row r="491" spans="1:3" x14ac:dyDescent="0.3">
      <c r="A491"/>
      <c r="B491"/>
      <c r="C491"/>
    </row>
    <row r="492" spans="1:3" x14ac:dyDescent="0.3">
      <c r="A492"/>
      <c r="B492"/>
      <c r="C492"/>
    </row>
    <row r="493" spans="1:3" x14ac:dyDescent="0.3">
      <c r="A493"/>
      <c r="B493"/>
      <c r="C493"/>
    </row>
    <row r="494" spans="1:3" x14ac:dyDescent="0.3">
      <c r="A494"/>
      <c r="B494"/>
      <c r="C494"/>
    </row>
    <row r="495" spans="1:3" x14ac:dyDescent="0.3">
      <c r="A495"/>
      <c r="B495"/>
      <c r="C495"/>
    </row>
    <row r="496" spans="1:3" x14ac:dyDescent="0.3">
      <c r="A496"/>
      <c r="B496"/>
      <c r="C496"/>
    </row>
    <row r="497" spans="1:3" x14ac:dyDescent="0.3">
      <c r="A497"/>
      <c r="B497"/>
      <c r="C497"/>
    </row>
    <row r="498" spans="1:3" x14ac:dyDescent="0.3">
      <c r="A498"/>
      <c r="B498"/>
      <c r="C498"/>
    </row>
    <row r="499" spans="1:3" x14ac:dyDescent="0.3">
      <c r="A499"/>
      <c r="B499"/>
      <c r="C499"/>
    </row>
    <row r="500" spans="1:3" x14ac:dyDescent="0.3">
      <c r="A500"/>
      <c r="B500"/>
      <c r="C500"/>
    </row>
    <row r="501" spans="1:3" x14ac:dyDescent="0.3">
      <c r="A501"/>
      <c r="B501"/>
      <c r="C501"/>
    </row>
    <row r="502" spans="1:3" x14ac:dyDescent="0.3">
      <c r="A502"/>
      <c r="B502"/>
      <c r="C502"/>
    </row>
    <row r="503" spans="1:3" x14ac:dyDescent="0.3">
      <c r="A503"/>
      <c r="B503"/>
      <c r="C503"/>
    </row>
    <row r="504" spans="1:3" x14ac:dyDescent="0.3">
      <c r="A504"/>
      <c r="B504"/>
      <c r="C504"/>
    </row>
    <row r="505" spans="1:3" x14ac:dyDescent="0.3">
      <c r="A505"/>
      <c r="B505"/>
      <c r="C505"/>
    </row>
    <row r="506" spans="1:3" x14ac:dyDescent="0.3">
      <c r="A506"/>
      <c r="B506"/>
      <c r="C506"/>
    </row>
    <row r="507" spans="1:3" x14ac:dyDescent="0.3">
      <c r="A507"/>
      <c r="B507"/>
      <c r="C507"/>
    </row>
    <row r="508" spans="1:3" x14ac:dyDescent="0.3">
      <c r="A508"/>
      <c r="B508"/>
      <c r="C508"/>
    </row>
    <row r="509" spans="1:3" x14ac:dyDescent="0.3">
      <c r="A509"/>
      <c r="B509"/>
      <c r="C509"/>
    </row>
    <row r="510" spans="1:3" x14ac:dyDescent="0.3">
      <c r="A510"/>
      <c r="B510"/>
      <c r="C510"/>
    </row>
    <row r="511" spans="1:3" x14ac:dyDescent="0.3">
      <c r="A511"/>
      <c r="B511"/>
      <c r="C511"/>
    </row>
    <row r="512" spans="1:3" x14ac:dyDescent="0.3">
      <c r="A512"/>
      <c r="B512"/>
      <c r="C512"/>
    </row>
    <row r="513" spans="1:3" x14ac:dyDescent="0.3">
      <c r="A513"/>
      <c r="B513"/>
      <c r="C513"/>
    </row>
    <row r="514" spans="1:3" x14ac:dyDescent="0.3">
      <c r="A514"/>
      <c r="B514"/>
      <c r="C514"/>
    </row>
    <row r="515" spans="1:3" x14ac:dyDescent="0.3">
      <c r="A515"/>
      <c r="B515"/>
      <c r="C515"/>
    </row>
    <row r="516" spans="1:3" x14ac:dyDescent="0.3">
      <c r="A516"/>
      <c r="B516"/>
      <c r="C516"/>
    </row>
    <row r="517" spans="1:3" x14ac:dyDescent="0.3">
      <c r="A517"/>
      <c r="B517"/>
      <c r="C517"/>
    </row>
    <row r="518" spans="1:3" x14ac:dyDescent="0.3">
      <c r="A518"/>
      <c r="B518"/>
      <c r="C518"/>
    </row>
    <row r="519" spans="1:3" x14ac:dyDescent="0.3">
      <c r="A519"/>
      <c r="B519"/>
      <c r="C519"/>
    </row>
    <row r="520" spans="1:3" x14ac:dyDescent="0.3">
      <c r="A520"/>
      <c r="B520"/>
      <c r="C520"/>
    </row>
    <row r="521" spans="1:3" x14ac:dyDescent="0.3">
      <c r="A521"/>
      <c r="B521"/>
      <c r="C521"/>
    </row>
    <row r="522" spans="1:3" x14ac:dyDescent="0.3">
      <c r="A522"/>
      <c r="B522"/>
      <c r="C522"/>
    </row>
    <row r="523" spans="1:3" x14ac:dyDescent="0.3">
      <c r="A523"/>
      <c r="B523"/>
      <c r="C523"/>
    </row>
    <row r="524" spans="1:3" x14ac:dyDescent="0.3">
      <c r="A524"/>
      <c r="B524"/>
      <c r="C524"/>
    </row>
    <row r="525" spans="1:3" x14ac:dyDescent="0.3">
      <c r="A525"/>
      <c r="B525"/>
      <c r="C525"/>
    </row>
    <row r="526" spans="1:3" x14ac:dyDescent="0.3">
      <c r="A526"/>
      <c r="B526"/>
      <c r="C526"/>
    </row>
    <row r="527" spans="1:3" x14ac:dyDescent="0.3">
      <c r="A527"/>
      <c r="B527"/>
      <c r="C527"/>
    </row>
    <row r="528" spans="1:3" x14ac:dyDescent="0.3">
      <c r="A528"/>
      <c r="B528"/>
      <c r="C528"/>
    </row>
    <row r="529" spans="1:3" x14ac:dyDescent="0.3">
      <c r="A529"/>
      <c r="B529"/>
      <c r="C529"/>
    </row>
    <row r="530" spans="1:3" x14ac:dyDescent="0.3">
      <c r="A530"/>
      <c r="B530"/>
      <c r="C530"/>
    </row>
    <row r="531" spans="1:3" x14ac:dyDescent="0.3">
      <c r="A531"/>
      <c r="B531"/>
      <c r="C531"/>
    </row>
    <row r="532" spans="1:3" x14ac:dyDescent="0.3">
      <c r="A532"/>
      <c r="B532"/>
      <c r="C532"/>
    </row>
    <row r="533" spans="1:3" x14ac:dyDescent="0.3">
      <c r="A533"/>
      <c r="B533"/>
      <c r="C533"/>
    </row>
    <row r="534" spans="1:3" x14ac:dyDescent="0.3">
      <c r="A534"/>
      <c r="B534"/>
      <c r="C534"/>
    </row>
    <row r="535" spans="1:3" x14ac:dyDescent="0.3">
      <c r="A535"/>
      <c r="B535"/>
      <c r="C535"/>
    </row>
    <row r="536" spans="1:3" x14ac:dyDescent="0.3">
      <c r="A536"/>
      <c r="B536"/>
      <c r="C536"/>
    </row>
    <row r="537" spans="1:3" x14ac:dyDescent="0.3">
      <c r="A537"/>
      <c r="B537"/>
      <c r="C537"/>
    </row>
    <row r="538" spans="1:3" x14ac:dyDescent="0.3">
      <c r="A538"/>
      <c r="B538"/>
      <c r="C538"/>
    </row>
    <row r="539" spans="1:3" x14ac:dyDescent="0.3">
      <c r="A539"/>
      <c r="B539"/>
      <c r="C539"/>
    </row>
    <row r="540" spans="1:3" x14ac:dyDescent="0.3">
      <c r="A540"/>
      <c r="B540"/>
      <c r="C540"/>
    </row>
    <row r="541" spans="1:3" x14ac:dyDescent="0.3">
      <c r="A541"/>
      <c r="B541"/>
      <c r="C541"/>
    </row>
    <row r="542" spans="1:3" x14ac:dyDescent="0.3">
      <c r="A542"/>
      <c r="B542"/>
      <c r="C542"/>
    </row>
    <row r="543" spans="1:3" x14ac:dyDescent="0.3">
      <c r="A543"/>
      <c r="B543"/>
      <c r="C543"/>
    </row>
    <row r="544" spans="1:3" x14ac:dyDescent="0.3">
      <c r="A544"/>
      <c r="B544"/>
      <c r="C544"/>
    </row>
    <row r="545" spans="1:3" x14ac:dyDescent="0.3">
      <c r="A545"/>
      <c r="B545"/>
      <c r="C545"/>
    </row>
    <row r="546" spans="1:3" x14ac:dyDescent="0.3">
      <c r="A546"/>
      <c r="B546"/>
      <c r="C546"/>
    </row>
    <row r="547" spans="1:3" x14ac:dyDescent="0.3">
      <c r="A547"/>
      <c r="B547"/>
      <c r="C547"/>
    </row>
    <row r="548" spans="1:3" x14ac:dyDescent="0.3">
      <c r="A548"/>
      <c r="B548"/>
      <c r="C548"/>
    </row>
    <row r="549" spans="1:3" x14ac:dyDescent="0.3">
      <c r="A549"/>
      <c r="B549"/>
      <c r="C549"/>
    </row>
    <row r="550" spans="1:3" x14ac:dyDescent="0.3">
      <c r="A550"/>
      <c r="B550"/>
      <c r="C550"/>
    </row>
    <row r="551" spans="1:3" x14ac:dyDescent="0.3">
      <c r="A551"/>
      <c r="B551"/>
      <c r="C551"/>
    </row>
    <row r="552" spans="1:3" x14ac:dyDescent="0.3">
      <c r="A552"/>
      <c r="B552"/>
      <c r="C552"/>
    </row>
    <row r="553" spans="1:3" x14ac:dyDescent="0.3">
      <c r="A553"/>
      <c r="B553"/>
      <c r="C553"/>
    </row>
    <row r="554" spans="1:3" x14ac:dyDescent="0.3">
      <c r="A554"/>
      <c r="B554"/>
      <c r="C554"/>
    </row>
    <row r="555" spans="1:3" x14ac:dyDescent="0.3">
      <c r="A555"/>
      <c r="B555"/>
      <c r="C555"/>
    </row>
    <row r="556" spans="1:3" x14ac:dyDescent="0.3">
      <c r="A556"/>
      <c r="B556"/>
      <c r="C556"/>
    </row>
    <row r="557" spans="1:3" x14ac:dyDescent="0.3">
      <c r="A557"/>
      <c r="B557"/>
      <c r="C557"/>
    </row>
    <row r="558" spans="1:3" x14ac:dyDescent="0.3">
      <c r="A558"/>
      <c r="B558"/>
      <c r="C558"/>
    </row>
    <row r="559" spans="1:3" x14ac:dyDescent="0.3">
      <c r="A559"/>
      <c r="B559"/>
      <c r="C559"/>
    </row>
    <row r="560" spans="1:3" x14ac:dyDescent="0.3">
      <c r="A560"/>
      <c r="B560"/>
      <c r="C560"/>
    </row>
    <row r="561" spans="1:3" x14ac:dyDescent="0.3">
      <c r="A561"/>
      <c r="B561"/>
      <c r="C561"/>
    </row>
    <row r="562" spans="1:3" x14ac:dyDescent="0.3">
      <c r="A562"/>
      <c r="B562"/>
      <c r="C562"/>
    </row>
    <row r="563" spans="1:3" x14ac:dyDescent="0.3">
      <c r="A563"/>
      <c r="B563"/>
      <c r="C563"/>
    </row>
    <row r="564" spans="1:3" x14ac:dyDescent="0.3">
      <c r="A564"/>
      <c r="B564"/>
      <c r="C564"/>
    </row>
    <row r="565" spans="1:3" x14ac:dyDescent="0.3">
      <c r="A565"/>
      <c r="B565"/>
      <c r="C565"/>
    </row>
    <row r="566" spans="1:3" x14ac:dyDescent="0.3">
      <c r="A566"/>
      <c r="B566"/>
      <c r="C566"/>
    </row>
    <row r="567" spans="1:3" x14ac:dyDescent="0.3">
      <c r="A567"/>
      <c r="B567"/>
      <c r="C567"/>
    </row>
    <row r="568" spans="1:3" x14ac:dyDescent="0.3">
      <c r="A568"/>
      <c r="B568"/>
      <c r="C568"/>
    </row>
    <row r="569" spans="1:3" x14ac:dyDescent="0.3">
      <c r="A569"/>
      <c r="B569"/>
      <c r="C569"/>
    </row>
    <row r="570" spans="1:3" x14ac:dyDescent="0.3">
      <c r="A570"/>
      <c r="B570"/>
      <c r="C570"/>
    </row>
    <row r="571" spans="1:3" x14ac:dyDescent="0.3">
      <c r="A571"/>
      <c r="B571"/>
      <c r="C571"/>
    </row>
    <row r="572" spans="1:3" x14ac:dyDescent="0.3">
      <c r="A572"/>
      <c r="B572"/>
      <c r="C572"/>
    </row>
    <row r="573" spans="1:3" x14ac:dyDescent="0.3">
      <c r="A573"/>
      <c r="B573"/>
      <c r="C573"/>
    </row>
    <row r="574" spans="1:3" x14ac:dyDescent="0.3">
      <c r="A574"/>
      <c r="B574"/>
      <c r="C574"/>
    </row>
    <row r="575" spans="1:3" x14ac:dyDescent="0.3">
      <c r="A575"/>
      <c r="B575"/>
      <c r="C575"/>
    </row>
    <row r="576" spans="1:3" x14ac:dyDescent="0.3">
      <c r="A576"/>
      <c r="B576"/>
      <c r="C576"/>
    </row>
    <row r="577" spans="1:3" x14ac:dyDescent="0.3">
      <c r="A577"/>
      <c r="B577"/>
      <c r="C577"/>
    </row>
    <row r="578" spans="1:3" x14ac:dyDescent="0.3">
      <c r="A578"/>
      <c r="B578"/>
      <c r="C578"/>
    </row>
    <row r="579" spans="1:3" x14ac:dyDescent="0.3">
      <c r="A579"/>
      <c r="B579"/>
      <c r="C579"/>
    </row>
    <row r="580" spans="1:3" x14ac:dyDescent="0.3">
      <c r="A580"/>
      <c r="B580"/>
      <c r="C580"/>
    </row>
    <row r="581" spans="1:3" x14ac:dyDescent="0.3">
      <c r="A581"/>
      <c r="B581"/>
      <c r="C581"/>
    </row>
    <row r="582" spans="1:3" x14ac:dyDescent="0.3">
      <c r="A582"/>
      <c r="B582"/>
      <c r="C582"/>
    </row>
    <row r="583" spans="1:3" x14ac:dyDescent="0.3">
      <c r="A583"/>
      <c r="B583"/>
      <c r="C583"/>
    </row>
    <row r="584" spans="1:3" x14ac:dyDescent="0.3">
      <c r="A584"/>
      <c r="B584"/>
      <c r="C584"/>
    </row>
    <row r="585" spans="1:3" x14ac:dyDescent="0.3">
      <c r="A585"/>
      <c r="B585"/>
      <c r="C585"/>
    </row>
    <row r="586" spans="1:3" x14ac:dyDescent="0.3">
      <c r="A586"/>
      <c r="B586"/>
      <c r="C586"/>
    </row>
    <row r="587" spans="1:3" x14ac:dyDescent="0.3">
      <c r="A587"/>
      <c r="B587"/>
      <c r="C587"/>
    </row>
    <row r="588" spans="1:3" x14ac:dyDescent="0.3">
      <c r="A588"/>
      <c r="B588"/>
      <c r="C588"/>
    </row>
    <row r="589" spans="1:3" x14ac:dyDescent="0.3">
      <c r="A589"/>
      <c r="B589"/>
      <c r="C589"/>
    </row>
    <row r="590" spans="1:3" x14ac:dyDescent="0.3">
      <c r="A590"/>
      <c r="B590"/>
      <c r="C590"/>
    </row>
    <row r="591" spans="1:3" x14ac:dyDescent="0.3">
      <c r="A591"/>
      <c r="B591"/>
      <c r="C591"/>
    </row>
    <row r="592" spans="1:3" x14ac:dyDescent="0.3">
      <c r="A592"/>
      <c r="B592"/>
      <c r="C592"/>
    </row>
    <row r="593" spans="1:3" x14ac:dyDescent="0.3">
      <c r="A593"/>
      <c r="B593"/>
      <c r="C593"/>
    </row>
    <row r="594" spans="1:3" x14ac:dyDescent="0.3">
      <c r="A594"/>
      <c r="B594"/>
      <c r="C594"/>
    </row>
    <row r="595" spans="1:3" x14ac:dyDescent="0.3">
      <c r="A595"/>
      <c r="B595"/>
      <c r="C595"/>
    </row>
    <row r="596" spans="1:3" x14ac:dyDescent="0.3">
      <c r="A596"/>
      <c r="B596"/>
      <c r="C596"/>
    </row>
    <row r="597" spans="1:3" x14ac:dyDescent="0.3">
      <c r="A597"/>
      <c r="B597"/>
      <c r="C597"/>
    </row>
    <row r="598" spans="1:3" x14ac:dyDescent="0.3">
      <c r="A598"/>
      <c r="B598"/>
      <c r="C598"/>
    </row>
    <row r="599" spans="1:3" x14ac:dyDescent="0.3">
      <c r="A599"/>
      <c r="B599"/>
      <c r="C599"/>
    </row>
    <row r="600" spans="1:3" x14ac:dyDescent="0.3">
      <c r="A600"/>
      <c r="B600"/>
      <c r="C600"/>
    </row>
    <row r="601" spans="1:3" x14ac:dyDescent="0.3">
      <c r="A601"/>
      <c r="B601"/>
      <c r="C601"/>
    </row>
    <row r="602" spans="1:3" x14ac:dyDescent="0.3">
      <c r="A602"/>
      <c r="B602"/>
      <c r="C602"/>
    </row>
    <row r="603" spans="1:3" x14ac:dyDescent="0.3">
      <c r="A603"/>
      <c r="B603"/>
      <c r="C603"/>
    </row>
    <row r="604" spans="1:3" x14ac:dyDescent="0.3">
      <c r="A604"/>
      <c r="B604"/>
      <c r="C604"/>
    </row>
    <row r="605" spans="1:3" x14ac:dyDescent="0.3">
      <c r="A605"/>
      <c r="B605"/>
      <c r="C605"/>
    </row>
    <row r="606" spans="1:3" x14ac:dyDescent="0.3">
      <c r="A606"/>
      <c r="B606"/>
      <c r="C606"/>
    </row>
    <row r="607" spans="1:3" x14ac:dyDescent="0.3">
      <c r="A607"/>
      <c r="B607"/>
      <c r="C607"/>
    </row>
    <row r="608" spans="1:3" x14ac:dyDescent="0.3">
      <c r="A608"/>
      <c r="B608"/>
      <c r="C608"/>
    </row>
    <row r="609" spans="1:3" x14ac:dyDescent="0.3">
      <c r="A609"/>
      <c r="B609"/>
      <c r="C609"/>
    </row>
    <row r="610" spans="1:3" x14ac:dyDescent="0.3">
      <c r="A610"/>
      <c r="B610"/>
      <c r="C610"/>
    </row>
    <row r="611" spans="1:3" x14ac:dyDescent="0.3">
      <c r="A611"/>
      <c r="B611"/>
      <c r="C611"/>
    </row>
    <row r="612" spans="1:3" x14ac:dyDescent="0.3">
      <c r="A612"/>
      <c r="B612"/>
      <c r="C612"/>
    </row>
    <row r="613" spans="1:3" x14ac:dyDescent="0.3">
      <c r="A613"/>
      <c r="B613"/>
      <c r="C613"/>
    </row>
    <row r="614" spans="1:3" x14ac:dyDescent="0.3">
      <c r="A614"/>
      <c r="B614"/>
      <c r="C614"/>
    </row>
    <row r="615" spans="1:3" x14ac:dyDescent="0.3">
      <c r="A615"/>
      <c r="B615"/>
      <c r="C615"/>
    </row>
  </sheetData>
  <phoneticPr fontId="13" type="noConversion"/>
  <printOptions horizontalCentered="1"/>
  <pageMargins left="0.25" right="0.25" top="0.75" bottom="0.5" header="0.25" footer="0.25"/>
  <pageSetup scale="86" orientation="landscape" r:id="rId2"/>
  <headerFooter>
    <oddHeader>&amp;L&amp;"-,Bold"CONFIDENTIAL -
FOR MEDIATION 
PURPOSES ONLY&amp;C&amp;"-,Bold"&amp;12&amp;F - &amp;A&amp;R&amp;"-,Bold"&amp;D</oddHeader>
    <oddFooter>&amp;CPage &amp;P of &amp;N</oddFooter>
  </headerFooter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2AA28-491B-4E71-8562-1105EC99ABF4}">
  <sheetPr>
    <tabColor rgb="FF7030A0"/>
  </sheetPr>
  <dimension ref="A1:Q2"/>
  <sheetViews>
    <sheetView workbookViewId="0"/>
  </sheetViews>
  <sheetFormatPr defaultRowHeight="13.2" x14ac:dyDescent="0.25"/>
  <cols>
    <col min="1" max="1" width="8" bestFit="1" customWidth="1"/>
    <col min="2" max="2" width="15" bestFit="1" customWidth="1"/>
    <col min="3" max="3" width="17.44140625" bestFit="1" customWidth="1"/>
    <col min="4" max="4" width="17.21875" bestFit="1" customWidth="1"/>
    <col min="5" max="5" width="15.77734375" bestFit="1" customWidth="1"/>
    <col min="6" max="6" width="14.109375" bestFit="1" customWidth="1"/>
    <col min="7" max="7" width="16.5546875" bestFit="1" customWidth="1"/>
    <col min="8" max="8" width="16.33203125" bestFit="1" customWidth="1"/>
    <col min="9" max="9" width="14.77734375" bestFit="1" customWidth="1"/>
    <col min="10" max="10" width="18.88671875" bestFit="1" customWidth="1"/>
    <col min="11" max="11" width="20.21875" bestFit="1" customWidth="1"/>
    <col min="12" max="12" width="19.21875" bestFit="1" customWidth="1"/>
    <col min="13" max="13" width="22.5546875" bestFit="1" customWidth="1"/>
    <col min="14" max="14" width="13.44140625" bestFit="1" customWidth="1"/>
    <col min="15" max="15" width="16.77734375" bestFit="1" customWidth="1"/>
    <col min="16" max="16" width="15.88671875" bestFit="1" customWidth="1"/>
    <col min="17" max="17" width="13.88671875" bestFit="1" customWidth="1"/>
  </cols>
  <sheetData>
    <row r="1" spans="1:17" x14ac:dyDescent="0.25">
      <c r="A1" t="s">
        <v>1</v>
      </c>
      <c r="B1" t="s">
        <v>601</v>
      </c>
      <c r="C1" t="s">
        <v>602</v>
      </c>
      <c r="D1" t="s">
        <v>603</v>
      </c>
      <c r="E1" t="s">
        <v>604</v>
      </c>
      <c r="F1" t="s">
        <v>605</v>
      </c>
      <c r="G1" t="s">
        <v>606</v>
      </c>
      <c r="H1" t="s">
        <v>607</v>
      </c>
      <c r="I1" t="s">
        <v>608</v>
      </c>
      <c r="J1" t="s">
        <v>609</v>
      </c>
      <c r="K1" t="s">
        <v>610</v>
      </c>
      <c r="L1" t="s">
        <v>611</v>
      </c>
      <c r="M1" t="s">
        <v>612</v>
      </c>
      <c r="N1" t="s">
        <v>613</v>
      </c>
      <c r="O1" t="s">
        <v>614</v>
      </c>
      <c r="P1" t="s">
        <v>615</v>
      </c>
      <c r="Q1" t="s">
        <v>616</v>
      </c>
    </row>
    <row r="2" spans="1:17" x14ac:dyDescent="0.25">
      <c r="C2" s="3"/>
      <c r="D2" s="3"/>
      <c r="G2" s="3"/>
      <c r="H2" s="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FF450-54AB-4431-8F2B-AD55243384A8}">
  <sheetPr>
    <tabColor theme="1"/>
  </sheetPr>
  <dimension ref="A1:M1"/>
  <sheetViews>
    <sheetView workbookViewId="0"/>
  </sheetViews>
  <sheetFormatPr defaultRowHeight="13.2" x14ac:dyDescent="0.25"/>
  <cols>
    <col min="1" max="1" width="63.5546875" bestFit="1" customWidth="1"/>
    <col min="2" max="2" width="80.88671875" bestFit="1" customWidth="1"/>
    <col min="3" max="3" width="17.6640625" bestFit="1" customWidth="1"/>
    <col min="4" max="4" width="14.77734375" bestFit="1" customWidth="1"/>
    <col min="5" max="5" width="13.77734375" bestFit="1" customWidth="1"/>
    <col min="6" max="6" width="11.109375" bestFit="1" customWidth="1"/>
    <col min="7" max="7" width="12.6640625" bestFit="1" customWidth="1"/>
    <col min="8" max="11" width="13.77734375" bestFit="1" customWidth="1"/>
    <col min="12" max="12" width="12.6640625" bestFit="1" customWidth="1"/>
    <col min="13" max="13" width="24.6640625" bestFit="1" customWidth="1"/>
  </cols>
  <sheetData>
    <row r="1" spans="1:13" x14ac:dyDescent="0.25">
      <c r="A1" t="s">
        <v>1007</v>
      </c>
      <c r="B1" t="s">
        <v>1008</v>
      </c>
      <c r="C1" t="s">
        <v>1009</v>
      </c>
      <c r="D1" t="s">
        <v>1010</v>
      </c>
      <c r="E1" t="s">
        <v>9</v>
      </c>
      <c r="F1" t="s">
        <v>1011</v>
      </c>
      <c r="G1" t="s">
        <v>1012</v>
      </c>
      <c r="H1" t="s">
        <v>1013</v>
      </c>
      <c r="I1" t="s">
        <v>1014</v>
      </c>
      <c r="J1" t="s">
        <v>1015</v>
      </c>
      <c r="K1" t="s">
        <v>1016</v>
      </c>
      <c r="L1" t="s">
        <v>1017</v>
      </c>
      <c r="M1" t="s">
        <v>698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A65F8-450D-48DD-BEE7-DE948B8362A3}">
  <sheetPr>
    <tabColor theme="1"/>
    <pageSetUpPr fitToPage="1"/>
  </sheetPr>
  <dimension ref="A1:L62"/>
  <sheetViews>
    <sheetView zoomScaleNormal="100" workbookViewId="0"/>
  </sheetViews>
  <sheetFormatPr defaultColWidth="9.109375" defaultRowHeight="14.4" outlineLevelRow="1" outlineLevelCol="1" x14ac:dyDescent="0.3"/>
  <cols>
    <col min="1" max="1" width="1" style="45" bestFit="1" customWidth="1"/>
    <col min="2" max="2" width="5.88671875" style="71" customWidth="1"/>
    <col min="3" max="3" width="47.6640625" style="45" bestFit="1" customWidth="1"/>
    <col min="4" max="4" width="19.6640625" style="213" customWidth="1" outlineLevel="1"/>
    <col min="5" max="5" width="19.6640625" style="45" customWidth="1"/>
    <col min="6" max="6" width="19.6640625" style="160" customWidth="1"/>
    <col min="7" max="7" width="52.5546875" style="43" bestFit="1" customWidth="1"/>
    <col min="8" max="8" width="39" style="44" customWidth="1" outlineLevel="1"/>
    <col min="9" max="9" width="12.44140625" style="42" customWidth="1" outlineLevel="1"/>
    <col min="10" max="16384" width="9.109375" style="45"/>
  </cols>
  <sheetData>
    <row r="1" spans="1:9" s="162" customFormat="1" outlineLevel="1" x14ac:dyDescent="0.3">
      <c r="A1" s="41"/>
      <c r="B1" s="161"/>
      <c r="C1" s="41"/>
      <c r="D1" s="42" t="str">
        <f>'Class Analysis'!$D$1</f>
        <v>Extrap</v>
      </c>
      <c r="E1" s="42" t="str">
        <f>'Class Analysis'!$E$1</f>
        <v>e</v>
      </c>
      <c r="F1" s="42" t="e">
        <f>'Class Analysis'!$M$1</f>
        <v>#NAME?</v>
      </c>
      <c r="H1" s="44"/>
      <c r="I1" s="42"/>
    </row>
    <row r="2" spans="1:9" ht="30" customHeight="1" x14ac:dyDescent="0.3">
      <c r="B2" s="46"/>
      <c r="C2" s="47"/>
      <c r="D2" s="192" t="str">
        <f ca="1">'Class Analysis'!$D$3</f>
        <v>Extrap thru 3/2/2026</v>
      </c>
      <c r="E2" s="48" t="s">
        <v>9</v>
      </c>
      <c r="F2" s="153" t="e">
        <f>F1</f>
        <v>#NAME?</v>
      </c>
      <c r="G2" s="49" t="s">
        <v>10</v>
      </c>
      <c r="H2" s="42" t="s">
        <v>11</v>
      </c>
      <c r="I2" s="42" t="s">
        <v>12</v>
      </c>
    </row>
    <row r="3" spans="1:9" ht="30" customHeight="1" x14ac:dyDescent="0.3">
      <c r="A3" s="50" t="s">
        <v>13</v>
      </c>
      <c r="B3" s="309" t="s">
        <v>14</v>
      </c>
      <c r="C3" s="51" t="s">
        <v>15</v>
      </c>
      <c r="D3" s="193">
        <f>ref!$B$6</f>
        <v>44497</v>
      </c>
      <c r="E3" s="52" t="e" cm="1">
        <f t="array" ref="E3">MAX($D3,_xlfn.LET(_xlpm.calc,_xlfn.MINIFS(Date,Key_Gps,"*"&amp;E$1&amp;"*"),IF(ISNUMBER(E$2),IF(OR(DATE(E$2,12,31) &lt; MIN(Date),DATE(E$2,1,1)&gt;MAX(Date)), "-", MAX(DATE(E$2,1,1),_xlpm.calc)),_xlpm.calc)))</f>
        <v>#NAME?</v>
      </c>
      <c r="F3" s="154" t="e" cm="1">
        <f t="array" ref="F3">MAX($D3,_xlfn.LET(_xlpm.calc,_xlfn.MINIFS(Date,Key_Gps,"*"&amp;F$1&amp;"*"),IF(ISNUMBER(F$2),IF(OR(DATE(F$2,12,31) &lt; MIN(Date),DATE(F$2,1,1)&gt;MAX(Date)), "-", MAX(DATE(F$2,1,1),_xlpm.calc)),_xlpm.calc)))</f>
        <v>#NAME?</v>
      </c>
      <c r="G3" s="53" t="str">
        <f>IF('Class Analysis'!N4="","",'Class Analysis'!N4)</f>
        <v>Complaint filed 01/01/2023.</v>
      </c>
    </row>
    <row r="4" spans="1:9" ht="28.8" x14ac:dyDescent="0.3">
      <c r="A4" s="50" t="s">
        <v>13</v>
      </c>
      <c r="B4" s="310"/>
      <c r="C4" s="51" t="s">
        <v>16</v>
      </c>
      <c r="D4" s="193">
        <f ca="1">ref!$B$3</f>
        <v>46083</v>
      </c>
      <c r="E4" s="52" t="e" cm="1">
        <f t="array" ref="E4">_xlfn.LET(_xlpm.calc,_xlfn.MAXIFS(Period_End,Key_Gps,"*"&amp;E$1&amp;"*"),IF(ISNUMBER(E$2),IF(DATE(E$2,12,31) &lt; MIN(Period_End), "-", MIN(DATE(E$2,12,31),_xlpm.calc)),_xlpm.calc))</f>
        <v>#NAME?</v>
      </c>
      <c r="F4" s="154" t="e" cm="1">
        <f t="array" ref="F4">_xlfn.LET(_xlpm.calc,_xlfn.MAXIFS(Period_End,Key_Gps,"*"&amp;F$1&amp;"*"),IF(ISNUMBER(F$2),IF(DATE(F$2,12,31) &lt; MIN(Period_End), "-", MIN(DATE(F$2,12,31),_xlpm.calc)),_xlpm.calc))</f>
        <v>#NAME?</v>
      </c>
      <c r="G4" s="54" t="str">
        <f>IF('Class Analysis'!N5="","",'Class Analysis'!N5)</f>
        <v/>
      </c>
    </row>
    <row r="5" spans="1:9" ht="28.8" x14ac:dyDescent="0.3">
      <c r="A5" s="50" t="s">
        <v>13</v>
      </c>
      <c r="B5" s="310"/>
      <c r="C5" s="55" t="s">
        <v>17</v>
      </c>
      <c r="D5" s="194">
        <f>E5*ref!$B$4</f>
        <v>0</v>
      </c>
      <c r="E5" s="56" cm="1">
        <f t="array" ref="E5">IFERROR(ROWS(_xlfn.UNIQUE(_xlfn._xlws.FILTER(ID,(Date &gt;= E$3) * (Date &lt;= E$4) * (IFERROR(SEARCH(E$1, Key_Gps),0)&gt;0)))),0)</f>
        <v>0</v>
      </c>
      <c r="F5" s="155" cm="1">
        <f t="array" ref="F5">IFERROR(ROWS(_xlfn.UNIQUE(_xlfn._xlws.FILTER(ID,(Date &gt;= F$3) * (Date &lt;= F$4) * (IFERROR(SEARCH(F$1, Key_Gps),0)&gt;0)))),0)</f>
        <v>0</v>
      </c>
      <c r="G5" s="151" t="str">
        <f>IF('Class Analysis'!N6="","",'Class Analysis'!N6)</f>
        <v>Values provided by defense counsel.</v>
      </c>
    </row>
    <row r="6" spans="1:9" x14ac:dyDescent="0.3">
      <c r="A6" s="50"/>
      <c r="B6" s="310"/>
      <c r="C6" s="55" t="s">
        <v>18</v>
      </c>
      <c r="D6" s="195" t="e">
        <f>ROUND(E6/E5*D5,0)</f>
        <v>#NAME?</v>
      </c>
      <c r="E6" s="56" t="e" cm="1">
        <f t="array" ref="E6">_xlfn.LET(_xlpm.active,ROWS(_xlfn.UNIQUE(_xlfn._xlws.FILTER(Pay_ID, (Pay_Period_End &gt; MAX(Pay_Period_End) - $H$6)))),E5-_xlpm.active)</f>
        <v>#NAME?</v>
      </c>
      <c r="F6" s="189">
        <f>F5</f>
        <v>0</v>
      </c>
      <c r="G6" s="54"/>
      <c r="H6" s="231">
        <v>30</v>
      </c>
    </row>
    <row r="7" spans="1:9" x14ac:dyDescent="0.3">
      <c r="A7" s="50"/>
      <c r="B7" s="310"/>
      <c r="C7" s="55" t="s">
        <v>19</v>
      </c>
      <c r="D7" s="195" t="str">
        <f>IFERROR(D5-D6,"-")</f>
        <v>-</v>
      </c>
      <c r="E7" s="56" t="str">
        <f t="shared" ref="E7" si="0">IFERROR(E5-E6,"-")</f>
        <v>-</v>
      </c>
      <c r="F7" s="155">
        <f>IFERROR(F5-F6,"-")</f>
        <v>0</v>
      </c>
      <c r="G7" s="232" t="s">
        <v>20</v>
      </c>
    </row>
    <row r="8" spans="1:9" ht="28.8" x14ac:dyDescent="0.3">
      <c r="A8" s="50" t="s">
        <v>13</v>
      </c>
      <c r="B8" s="310"/>
      <c r="C8" s="55" t="s">
        <v>21</v>
      </c>
      <c r="D8" s="195" t="e">
        <f ca="1">ROUND((E8*ref!$B$4)/ref!$B$9,0)</f>
        <v>#NAME?</v>
      </c>
      <c r="E8" s="56" cm="1">
        <f t="array" ref="E8" xml:space="preserve"> IFERROR(ROWS(_xlfn.UNIQUE(_xlfn._xlws.FILTER(ID_Period_End,(Period_End &gt;= E$3) * (Period_End &lt;= E$4) * (IFERROR(SEARCH(E$1, Key_Gps),0)&gt;0)))),0)</f>
        <v>0</v>
      </c>
      <c r="F8" s="155" cm="1">
        <f t="array" ref="F8" xml:space="preserve"> IFERROR(ROWS(_xlfn.UNIQUE(_xlfn._xlws.FILTER(ID_Period_End,(Period_End &gt;= F$3) * (Period_End &lt;= F$4) * (IFERROR(SEARCH(F$1, Key_Gps),0)&gt;0)))),0)</f>
        <v>0</v>
      </c>
      <c r="G8" s="54" t="str">
        <f>'Class Analysis'!N7</f>
        <v>ERROR</v>
      </c>
    </row>
    <row r="9" spans="1:9" x14ac:dyDescent="0.3">
      <c r="B9" s="46"/>
      <c r="C9" s="47"/>
      <c r="D9" s="190"/>
      <c r="E9" s="57"/>
      <c r="F9" s="152"/>
      <c r="G9" s="58"/>
    </row>
    <row r="10" spans="1:9" ht="28.8" x14ac:dyDescent="0.3">
      <c r="A10" s="50" t="s">
        <v>13</v>
      </c>
      <c r="B10" s="309" t="s">
        <v>22</v>
      </c>
      <c r="C10" s="55" t="s">
        <v>23</v>
      </c>
      <c r="D10" s="195" t="e">
        <f>ROUND(E11*D$5,0)</f>
        <v>#VALUE!</v>
      </c>
      <c r="E10" s="56" cm="1">
        <f t="array" ref="E10">IFERROR(ROWS(_xlfn.UNIQUE(_xlfn._xlws.FILTER(ID,(Date &gt;= E$3) * (Date &lt;= E$4) * (IFERROR(SEARCH(E$1, Key_Gps),0)&gt;0) * (mpv_per_pp &gt; 0)))),0)</f>
        <v>0</v>
      </c>
      <c r="F10" s="155" cm="1">
        <f t="array" ref="F10">IFERROR(ROWS(_xlfn.UNIQUE(_xlfn._xlws.FILTER(ID,(Date &gt;= F$3) * (Date &lt;= F$4) * (IFERROR(SEARCH(F$1, Key_Gps),0)&gt;0) * (mpv_per_pp &gt; 0)))),0)</f>
        <v>0</v>
      </c>
      <c r="G10" s="59" t="s">
        <v>24</v>
      </c>
    </row>
    <row r="11" spans="1:9" x14ac:dyDescent="0.3">
      <c r="A11" s="50"/>
      <c r="B11" s="311"/>
      <c r="C11" s="55" t="s">
        <v>25</v>
      </c>
      <c r="D11" s="211" t="str">
        <f t="shared" ref="D11" si="1">IFERROR(ROUND(D10/D$5,3),"-")</f>
        <v>-</v>
      </c>
      <c r="E11" s="40" t="str">
        <f>IFERROR(ROUND(E10/E$5,3),"-")</f>
        <v>-</v>
      </c>
      <c r="F11" s="156" t="str">
        <f t="shared" ref="F11" si="2">IFERROR(ROUND(F10/F$5,3),"-")</f>
        <v>-</v>
      </c>
      <c r="G11" s="54"/>
      <c r="H11" s="44" t="s">
        <v>26</v>
      </c>
    </row>
    <row r="12" spans="1:9" ht="28.8" x14ac:dyDescent="0.3">
      <c r="A12" s="50" t="s">
        <v>13</v>
      </c>
      <c r="B12" s="311"/>
      <c r="C12" s="55" t="s">
        <v>27</v>
      </c>
      <c r="D12" s="195" t="e">
        <f ca="1">ROUND($E13*D$8,0)</f>
        <v>#VALUE!</v>
      </c>
      <c r="E12" s="56" cm="1">
        <f t="array" ref="E12">IF($H11="Calculated Violation Rate Applied",IFERROR(ROWS(_xlfn.UNIQUE(_xlfn._xlws.FILTER(ID_Period_End,(Period_End &gt;= E$3) * (Period_End &lt;= E$4) * (IFERROR(SEARCH(E$1, Key_Gps),0)&gt;0) * (mpv_per_pp &gt; 0)))),0),ROUND(E$8*$H12,0))</f>
        <v>0</v>
      </c>
      <c r="F12" s="155" cm="1">
        <f t="array" ref="F12">IF($H11="Calculated Violation Rate Applied",IFERROR(ROWS(_xlfn.UNIQUE(_xlfn._xlws.FILTER(ID_Period_End,(Period_End &gt;= F$3) * (Period_End &lt;= F$4) * (IFERROR(SEARCH(F$1, Key_Gps),0)&gt;0) * (mpv_per_pp &gt; 0)))),0),ROUND(F$8*$H12,0))</f>
        <v>0</v>
      </c>
      <c r="G12" s="54"/>
      <c r="H12" s="150" t="e">
        <f>I12</f>
        <v>#DIV/0!</v>
      </c>
      <c r="I12" s="70" t="e" cm="1">
        <f t="array" ref="I12">ROUND(IFERROR(ROWS(_xlfn.UNIQUE(_xlfn._xlws.FILTER(ID_Period_End,(Period_End &gt;= E$3) * (Period_End &lt;= E$4) * (IFERROR(SEARCH(E$1, Key_Gps),0)&gt;0) * (mpv_per_pp &gt; 0)))),0) / IFERROR(ROWS(_xlfn.UNIQUE(_xlfn._xlws.FILTER(ID_Period_End,(Period_End &gt;= E$3) * (Period_End &lt;= E$4) * (IFERROR(SEARCH(E$1, Key_Gps),0)&gt;0)))),0),3)</f>
        <v>#DIV/0!</v>
      </c>
    </row>
    <row r="13" spans="1:9" x14ac:dyDescent="0.3">
      <c r="A13" s="50"/>
      <c r="B13" s="311"/>
      <c r="C13" s="55" t="s">
        <v>28</v>
      </c>
      <c r="D13" s="211" t="str">
        <f t="shared" ref="D13" ca="1" si="3">IFERROR(ROUND(D12/D$8,3),"-")</f>
        <v>-</v>
      </c>
      <c r="E13" s="40" t="str">
        <f>IFERROR(ROUND(E12/E$8,3),"-")</f>
        <v>-</v>
      </c>
      <c r="F13" s="156" t="str">
        <f t="shared" ref="F13" si="4">IFERROR(ROUND(F12/F$8,3),"-")</f>
        <v>-</v>
      </c>
      <c r="G13" s="59" t="e">
        <f>IF(INT(H12)=H12,_xlfn.CONCAT("Violation rate: ",TEXT(H12,"0%")),_xlfn.CONCAT("Violation rate: ",TEXT(H12,"0.0%")))</f>
        <v>#DIV/0!</v>
      </c>
      <c r="H13" s="45"/>
      <c r="I13" s="45"/>
    </row>
    <row r="14" spans="1:9" ht="28.8" x14ac:dyDescent="0.3">
      <c r="A14" s="50" t="s">
        <v>13</v>
      </c>
      <c r="B14" s="311"/>
      <c r="C14" s="62" t="s">
        <v>29</v>
      </c>
      <c r="D14" s="206" t="e">
        <f t="shared" ref="D14" ca="1" si="5">IF(D12=0,0,IF(D12=1,$H14,($H14*D$5)+((D12-D$5)*$I14)))</f>
        <v>#VALUE!</v>
      </c>
      <c r="E14" s="63">
        <f>IF(E12=0,0,IF(E12=1,$H14,($H14*E$5)+((E12-E$5)*$I14)))</f>
        <v>0</v>
      </c>
      <c r="F14" s="157">
        <f t="shared" ref="F14" si="6">IF(F12=0,0,IF(F12=1,$H14,($H14*F$5)+((F12-F$5)*$I14)))</f>
        <v>0</v>
      </c>
      <c r="G14" s="53" t="str">
        <f>IF(H14=I14,_xlfn.CONCAT("Assumes ",TEXT(H14,"$0")," for initial and subsequent violations (PPs)."),_xlfn.CONCAT("Assumes ",TEXT(H14,"$0")," for initial violation (PP) and ",TEXT(I14,"$0")," for subsequent violations (PPs)."))</f>
        <v>Assumes $100 for initial and subsequent violations (PPs).</v>
      </c>
      <c r="H14" s="64">
        <v>100</v>
      </c>
      <c r="I14" s="42">
        <v>100</v>
      </c>
    </row>
    <row r="15" spans="1:9" x14ac:dyDescent="0.3">
      <c r="B15" s="46"/>
      <c r="C15" s="47"/>
      <c r="D15" s="190"/>
      <c r="E15" s="57"/>
      <c r="F15" s="152"/>
      <c r="G15" s="58"/>
    </row>
    <row r="16" spans="1:9" ht="28.8" x14ac:dyDescent="0.3">
      <c r="A16" s="50" t="s">
        <v>13</v>
      </c>
      <c r="B16" s="309" t="s">
        <v>30</v>
      </c>
      <c r="C16" s="55" t="s">
        <v>31</v>
      </c>
      <c r="D16" s="195" t="e">
        <f>ROUND(E17*D$5,0)</f>
        <v>#VALUE!</v>
      </c>
      <c r="E16" s="56" cm="1">
        <f t="array" ref="E16">IFERROR(ROWS(_xlfn.UNIQUE(_xlfn._xlws.FILTER(ID,(Date &gt;= E$3) * (Date &lt;= E$4) * (IFERROR(SEARCH(E$1, Key_Gps),0)&gt;0) * (mpv_per_pp_w &gt; 0)))),0)</f>
        <v>0</v>
      </c>
      <c r="F16" s="155" cm="1">
        <f t="array" ref="F16">IFERROR(ROWS(_xlfn.UNIQUE(_xlfn._xlws.FILTER(ID,(Date &gt;= F$3) * (Date &lt;= F$4) * (IFERROR(SEARCH(F$1, Key_Gps),0)&gt;0) * (mpv_per_pp_w &gt; 0)))),0)</f>
        <v>0</v>
      </c>
      <c r="G16" s="59" t="s">
        <v>32</v>
      </c>
      <c r="H16" s="64"/>
    </row>
    <row r="17" spans="1:9" x14ac:dyDescent="0.3">
      <c r="A17" s="50"/>
      <c r="B17" s="311"/>
      <c r="C17" s="55" t="s">
        <v>25</v>
      </c>
      <c r="D17" s="211" t="str">
        <f>IFERROR(ROUND(D16/D$5,3),"-")</f>
        <v>-</v>
      </c>
      <c r="E17" s="40" t="str">
        <f>IFERROR(ROUND(E16/E$5,3),"-")</f>
        <v>-</v>
      </c>
      <c r="F17" s="156" t="str">
        <f t="shared" ref="F17" si="7">IFERROR(ROUND(F16/F$5,3),"-")</f>
        <v>-</v>
      </c>
      <c r="G17" s="54"/>
      <c r="H17" s="44" t="s">
        <v>26</v>
      </c>
    </row>
    <row r="18" spans="1:9" ht="28.8" x14ac:dyDescent="0.3">
      <c r="A18" s="50" t="s">
        <v>13</v>
      </c>
      <c r="B18" s="311"/>
      <c r="C18" s="55" t="s">
        <v>33</v>
      </c>
      <c r="D18" s="195" t="e">
        <f ca="1">ROUND($E19*D$8,0)</f>
        <v>#VALUE!</v>
      </c>
      <c r="E18" s="56" cm="1">
        <f t="array" ref="E18">IF($H17="Calculated Violation Rate Applied",IFERROR(ROWS(_xlfn.UNIQUE(_xlfn._xlws.FILTER(ID_Period_End,(Period_End &gt;= E$3) * (Period_End &lt;= E$4) * (IFERROR(SEARCH(E$1, Key_Gps),0)&gt;0) * (mpv_per_pp_w &gt; 0)))),0),ROUND(E$8*$H18,0))</f>
        <v>0</v>
      </c>
      <c r="F18" s="155" cm="1">
        <f t="array" ref="F18">IF($H17="Calculated Violation Rate Applied",IFERROR(ROWS(_xlfn.UNIQUE(_xlfn._xlws.FILTER(ID_Period_End,(Period_End &gt;= F$3) * (Period_End &lt;= F$4) * (IFERROR(SEARCH(F$1, Key_Gps),0)&gt;0) * (mpv_per_pp_w &gt; 0)))),0),ROUND(F$8*$H18,0))</f>
        <v>0</v>
      </c>
      <c r="G18" s="54"/>
      <c r="H18" s="150" t="e">
        <f>I18</f>
        <v>#DIV/0!</v>
      </c>
      <c r="I18" s="70" t="e" cm="1">
        <f t="array" ref="I18">ROUND(IFERROR(ROWS(_xlfn.UNIQUE(_xlfn._xlws.FILTER(ID_Period_End,(Period_End &gt;= E$3) * (Period_End &lt;= E$4) * (IFERROR(SEARCH(E$1, Key_Gps),0)&gt;0) * (mpv_per_pp_w &gt; 0)))),0) / IFERROR(ROWS(_xlfn.UNIQUE(_xlfn._xlws.FILTER(ID_Period_End,(Period_End &gt;= E$3) * (Period_End &lt;= E$4) * (IFERROR(SEARCH(E$1, Key_Gps),0)&gt;0)))),0),3)</f>
        <v>#DIV/0!</v>
      </c>
    </row>
    <row r="19" spans="1:9" x14ac:dyDescent="0.3">
      <c r="A19" s="50"/>
      <c r="B19" s="311"/>
      <c r="C19" s="55" t="s">
        <v>28</v>
      </c>
      <c r="D19" s="211" t="str">
        <f ca="1">IFERROR(ROUND(D18/D$8,3),"-")</f>
        <v>-</v>
      </c>
      <c r="E19" s="40" t="str">
        <f>IFERROR(ROUND(E18/E$8,3),"-")</f>
        <v>-</v>
      </c>
      <c r="F19" s="156" t="str">
        <f t="shared" ref="F19" si="8">IFERROR(ROUND(F18/F$8,3),"-")</f>
        <v>-</v>
      </c>
      <c r="G19" s="59" t="e">
        <f>IF(INT(H18)=H18,_xlfn.CONCAT("Violation rate: ",TEXT(H18,"0%")),_xlfn.CONCAT("Violation rate: ",TEXT(H18,"0.0%")))</f>
        <v>#DIV/0!</v>
      </c>
      <c r="H19" s="60"/>
      <c r="I19" s="61"/>
    </row>
    <row r="20" spans="1:9" ht="28.8" x14ac:dyDescent="0.3">
      <c r="A20" s="50" t="s">
        <v>13</v>
      </c>
      <c r="B20" s="311"/>
      <c r="C20" s="62" t="s">
        <v>34</v>
      </c>
      <c r="D20" s="206" t="e">
        <f t="shared" ref="D20" ca="1" si="9">IF(D18=0,0,IF(D18=1,$H20,($H20*D$5)+((D18-D$5)*$I20)))</f>
        <v>#VALUE!</v>
      </c>
      <c r="E20" s="63">
        <f>IF(E18=0,0,IF(E18=1,$H20,($H20*E$5)+((E18-E$5)*$I20)))</f>
        <v>0</v>
      </c>
      <c r="F20" s="157">
        <f t="shared" ref="F20" si="10">IF(F18=0,0,IF(F18=1,$H20,($H20*F$5)+((F18-F$5)*$I20)))</f>
        <v>0</v>
      </c>
      <c r="G20" s="53" t="str">
        <f>IF(H20=I20,_xlfn.CONCAT("Assumes ",TEXT(H20,"$0")," for initial and subsequent violations (PPs)."),_xlfn.CONCAT("Assumes ",TEXT(H20,"$0")," for initial violation (PP) and ",TEXT(I20,"$0")," for subsequent violations (PPs)."))</f>
        <v>Assumes $100 for initial and subsequent violations (PPs).</v>
      </c>
      <c r="H20" s="64">
        <v>100</v>
      </c>
      <c r="I20" s="42">
        <v>100</v>
      </c>
    </row>
    <row r="21" spans="1:9" outlineLevel="1" x14ac:dyDescent="0.3">
      <c r="B21" s="46"/>
      <c r="C21" s="47"/>
      <c r="D21" s="190"/>
      <c r="E21" s="57"/>
      <c r="F21" s="152"/>
      <c r="G21" s="58"/>
    </row>
    <row r="22" spans="1:9" ht="28.8" outlineLevel="1" x14ac:dyDescent="0.3">
      <c r="A22" s="50" t="s">
        <v>13</v>
      </c>
      <c r="B22" s="312" t="s">
        <v>588</v>
      </c>
      <c r="C22" s="270" t="s">
        <v>565</v>
      </c>
      <c r="D22" s="214" t="e">
        <f>ROUND(E23*D$5,0)</f>
        <v>#VALUE!</v>
      </c>
      <c r="E22" s="271" cm="1">
        <f t="array" ref="E22">IFERROR(ROWS(_xlfn.UNIQUE(_xlfn._xlws.FILTER(ID,(Date &gt;= E$3) * (Date &lt;= E$4) * (IFERROR(SEARCH(E$1, Key_Gps),0)&gt;0) * (mpv_per_pp_less_prems &gt; 0)))),0)</f>
        <v>0</v>
      </c>
      <c r="F22" s="216" cm="1">
        <f t="array" ref="F22">IFERROR(ROWS(_xlfn.UNIQUE(_xlfn._xlws.FILTER(ID,(Date &gt;= F$3) * (Date &lt;= F$4) * (IFERROR(SEARCH(F$1, Key_Gps),0)&gt;0) * (mpv_per_pp_less_prems &gt; 0)))),0)</f>
        <v>0</v>
      </c>
      <c r="G22" s="288" t="s">
        <v>590</v>
      </c>
    </row>
    <row r="23" spans="1:9" outlineLevel="1" x14ac:dyDescent="0.3">
      <c r="A23" s="50"/>
      <c r="B23" s="313"/>
      <c r="C23" s="270" t="s">
        <v>25</v>
      </c>
      <c r="D23" s="289" t="str">
        <f t="shared" ref="D23" si="11">IFERROR(ROUND(D22/D$5,3),"-")</f>
        <v>-</v>
      </c>
      <c r="E23" s="290" t="str">
        <f>IFERROR(ROUND(E22/E$5,3),"-")</f>
        <v>-</v>
      </c>
      <c r="F23" s="291" t="str">
        <f t="shared" ref="F23" si="12">IFERROR(ROUND(F22/F$5,3),"-")</f>
        <v>-</v>
      </c>
      <c r="G23" s="292"/>
      <c r="H23" s="44" t="s">
        <v>26</v>
      </c>
    </row>
    <row r="24" spans="1:9" ht="28.8" outlineLevel="1" x14ac:dyDescent="0.3">
      <c r="A24" s="50" t="s">
        <v>13</v>
      </c>
      <c r="B24" s="313"/>
      <c r="C24" s="270" t="s">
        <v>109</v>
      </c>
      <c r="D24" s="214" t="e">
        <f ca="1">ROUND($E25*D$8,0)</f>
        <v>#VALUE!</v>
      </c>
      <c r="E24" s="271" cm="1">
        <f t="array" ref="E24">IF($H23="Calculated Violation Rate Applied",IFERROR(ROWS(_xlfn.UNIQUE(_xlfn._xlws.FILTER(ID_Period_End,(Period_End &gt;= E$3) * (Period_End &lt;= E$4) * (IFERROR(SEARCH(E$1, Key_Gps),0)&gt;0) * (mpv_per_pp_less_prems &gt; 0)))),0),ROUND(E$8*$H24,0))</f>
        <v>0</v>
      </c>
      <c r="F24" s="216" cm="1">
        <f t="array" ref="F24">IF($H23="Calculated Violation Rate Applied",IFERROR(ROWS(_xlfn.UNIQUE(_xlfn._xlws.FILTER(ID_Period_End,(Period_End &gt;= F$3) * (Period_End &lt;= F$4) * (IFERROR(SEARCH(F$1, Key_Gps),0)&gt;0) * (mpv_per_pp_less_prems &gt; 0)))),0),ROUND(F$8*$H24,0))</f>
        <v>0</v>
      </c>
      <c r="G24" s="292"/>
      <c r="H24" s="287" t="e">
        <f>I24</f>
        <v>#DIV/0!</v>
      </c>
      <c r="I24" s="287" t="e" cm="1">
        <f t="array" ref="I24">ROUND(IFERROR(ROWS(_xlfn.UNIQUE(_xlfn._xlws.FILTER(ID_Period_End,(Period_End &gt;= E$3) * (Period_End &lt;= E$4) * (IFERROR(SEARCH(E$1, Key_Gps),0)&gt;0) * (mpv_per_pp_less_prems &gt; 0)))),0) / IFERROR(ROWS(_xlfn.UNIQUE(_xlfn._xlws.FILTER(ID_Period_End,(Period_End &gt;= E$3) * (Period_End &lt;= E$4) * (IFERROR(SEARCH(E$1, Key_Gps),0)&gt;0)))),0),3)</f>
        <v>#DIV/0!</v>
      </c>
    </row>
    <row r="25" spans="1:9" outlineLevel="1" x14ac:dyDescent="0.3">
      <c r="A25" s="50"/>
      <c r="B25" s="313"/>
      <c r="C25" s="270" t="s">
        <v>28</v>
      </c>
      <c r="D25" s="289" t="str">
        <f t="shared" ref="D25" ca="1" si="13">IFERROR(ROUND(D24/D$8,3),"-")</f>
        <v>-</v>
      </c>
      <c r="E25" s="290" t="str">
        <f>IFERROR(ROUND(E24/E$8,3),"-")</f>
        <v>-</v>
      </c>
      <c r="F25" s="291" t="str">
        <f t="shared" ref="F25" si="14">IFERROR(ROUND(F24/F$8,3),"-")</f>
        <v>-</v>
      </c>
      <c r="G25" s="288" t="e">
        <f>IF(INT(H24)=H24,_xlfn.CONCAT("Violation rate: ",TEXT(H24,"0%")),_xlfn.CONCAT("Violation rate: ",TEXT(H24,"0.0%")))</f>
        <v>#DIV/0!</v>
      </c>
      <c r="H25" s="45"/>
      <c r="I25" s="45"/>
    </row>
    <row r="26" spans="1:9" ht="28.8" outlineLevel="1" x14ac:dyDescent="0.3">
      <c r="A26" s="50" t="s">
        <v>13</v>
      </c>
      <c r="B26" s="313"/>
      <c r="C26" s="281" t="s">
        <v>29</v>
      </c>
      <c r="D26" s="293" t="e">
        <f t="shared" ref="D26" ca="1" si="15">IF(D24=0,0,IF(D24=1,$H26,($H26*D$5)+((D24-D$5)*$I26)))</f>
        <v>#VALUE!</v>
      </c>
      <c r="E26" s="294">
        <f>IF(E24=0,0,IF(E24=1,$H26,($H26*E$5)+((E24-E$5)*$I26)))</f>
        <v>0</v>
      </c>
      <c r="F26" s="295">
        <f t="shared" ref="F26" si="16">IF(F24=0,0,IF(F24=1,$H26,($H26*F$5)+((F24-F$5)*$I26)))</f>
        <v>0</v>
      </c>
      <c r="G26" s="272" t="str">
        <f>IF(H26=I26,_xlfn.CONCAT("Assumes ",TEXT(H26,"$0")," for initial and subsequent violations (PPs)."),_xlfn.CONCAT("Assumes ",TEXT(H26,"$0")," for initial violation (PP) and ",TEXT(I26,"$0")," for subsequent violations (PPs)."))</f>
        <v>Assumes $100 for initial and subsequent violations (PPs).</v>
      </c>
      <c r="H26" s="64">
        <v>100</v>
      </c>
      <c r="I26" s="42">
        <v>100</v>
      </c>
    </row>
    <row r="27" spans="1:9" outlineLevel="1" x14ac:dyDescent="0.3">
      <c r="B27" s="46"/>
      <c r="C27" s="47"/>
      <c r="D27" s="190"/>
      <c r="E27" s="57"/>
      <c r="F27" s="152"/>
      <c r="G27" s="58"/>
    </row>
    <row r="28" spans="1:9" ht="28.8" outlineLevel="1" x14ac:dyDescent="0.3">
      <c r="A28" s="50" t="s">
        <v>13</v>
      </c>
      <c r="B28" s="312" t="s">
        <v>589</v>
      </c>
      <c r="C28" s="270" t="s">
        <v>566</v>
      </c>
      <c r="D28" s="214" t="e">
        <f>ROUND(E29*D$5,0)</f>
        <v>#VALUE!</v>
      </c>
      <c r="E28" s="271" cm="1">
        <f t="array" ref="E28">IFERROR(ROWS(_xlfn.UNIQUE(_xlfn._xlws.FILTER(ID,(Date &gt;= E$3) * (Date &lt;= E$4) * (IFERROR(SEARCH(E$1, Key_Gps),0)&gt;0) * (mpv_per_pp_less_prems_w &gt; 0)))),0)</f>
        <v>0</v>
      </c>
      <c r="F28" s="216" cm="1">
        <f t="array" ref="F28">IFERROR(ROWS(_xlfn.UNIQUE(_xlfn._xlws.FILTER(ID,(Date &gt;= F$3) * (Date &lt;= F$4) * (IFERROR(SEARCH(F$1, Key_Gps),0)&gt;0) * (mpv_per_pp_less_prems_w &gt; 0)))),0)</f>
        <v>0</v>
      </c>
      <c r="G28" s="288" t="s">
        <v>591</v>
      </c>
      <c r="H28" s="64"/>
    </row>
    <row r="29" spans="1:9" outlineLevel="1" x14ac:dyDescent="0.3">
      <c r="A29" s="50"/>
      <c r="B29" s="313"/>
      <c r="C29" s="270" t="s">
        <v>25</v>
      </c>
      <c r="D29" s="289" t="str">
        <f>IFERROR(ROUND(D28/D$5,3),"-")</f>
        <v>-</v>
      </c>
      <c r="E29" s="290" t="str">
        <f>IFERROR(ROUND(E28/E$5,3),"-")</f>
        <v>-</v>
      </c>
      <c r="F29" s="291" t="str">
        <f t="shared" ref="F29" si="17">IFERROR(ROUND(F28/F$5,3),"-")</f>
        <v>-</v>
      </c>
      <c r="G29" s="292"/>
      <c r="H29" s="44" t="s">
        <v>26</v>
      </c>
    </row>
    <row r="30" spans="1:9" ht="28.8" outlineLevel="1" x14ac:dyDescent="0.3">
      <c r="A30" s="50" t="s">
        <v>13</v>
      </c>
      <c r="B30" s="313"/>
      <c r="C30" s="270" t="s">
        <v>117</v>
      </c>
      <c r="D30" s="214" t="e">
        <f ca="1">ROUND($E31*D$8,0)</f>
        <v>#VALUE!</v>
      </c>
      <c r="E30" s="271" cm="1">
        <f t="array" ref="E30">IF($H29="Calculated Violation Rate Applied",IFERROR(ROWS(_xlfn.UNIQUE(_xlfn._xlws.FILTER(ID_Period_End,(Period_End &gt;= E$3) * (Period_End &lt;= E$4) * (IFERROR(SEARCH(E$1, Key_Gps),0)&gt;0) * (mpv_per_pp_less_prems_w &gt; 0)))),0),ROUND(E$8*$H30,0))</f>
        <v>0</v>
      </c>
      <c r="F30" s="216" cm="1">
        <f t="array" ref="F30">IF($H29="Calculated Violation Rate Applied",IFERROR(ROWS(_xlfn.UNIQUE(_xlfn._xlws.FILTER(ID_Period_End,(Period_End &gt;= F$3) * (Period_End &lt;= F$4) * (IFERROR(SEARCH(F$1, Key_Gps),0)&gt;0) * (mpv_per_pp_less_prems_w &gt; 0)))),0),ROUND(F$8*$H30,0))</f>
        <v>0</v>
      </c>
      <c r="G30" s="292"/>
      <c r="H30" s="287" t="e">
        <f>I30</f>
        <v>#DIV/0!</v>
      </c>
      <c r="I30" s="287" t="e" cm="1">
        <f t="array" ref="I30">ROUND(IFERROR(ROWS(_xlfn.UNIQUE(_xlfn._xlws.FILTER(ID_Period_End,(Period_End &gt;= E$3) * (Period_End &lt;= E$4) * (IFERROR(SEARCH(E$1, Key_Gps),0)&gt;0) * (mpv_per_pp_less_prems_w &gt; 0)))),0) / IFERROR(ROWS(_xlfn.UNIQUE(_xlfn._xlws.FILTER(ID_Period_End,(Period_End &gt;= E$3) * (Period_End &lt;= E$4) * (IFERROR(SEARCH(E$1, Key_Gps),0)&gt;0)))),0),3)</f>
        <v>#DIV/0!</v>
      </c>
    </row>
    <row r="31" spans="1:9" outlineLevel="1" x14ac:dyDescent="0.3">
      <c r="A31" s="50"/>
      <c r="B31" s="313"/>
      <c r="C31" s="270" t="s">
        <v>28</v>
      </c>
      <c r="D31" s="289" t="str">
        <f ca="1">IFERROR(ROUND(D30/D$8,3),"-")</f>
        <v>-</v>
      </c>
      <c r="E31" s="290" t="str">
        <f>IFERROR(ROUND(E30/E$8,3),"-")</f>
        <v>-</v>
      </c>
      <c r="F31" s="291" t="str">
        <f t="shared" ref="F31" si="18">IFERROR(ROUND(F30/F$8,3),"-")</f>
        <v>-</v>
      </c>
      <c r="G31" s="288" t="e">
        <f>IF(INT(H30)=H30,_xlfn.CONCAT("Violation rate: ",TEXT(H30,"0%")),_xlfn.CONCAT("Violation rate: ",TEXT(H30,"0.0%")))</f>
        <v>#DIV/0!</v>
      </c>
      <c r="H31" s="60"/>
      <c r="I31" s="61"/>
    </row>
    <row r="32" spans="1:9" ht="28.8" outlineLevel="1" x14ac:dyDescent="0.3">
      <c r="A32" s="50" t="s">
        <v>13</v>
      </c>
      <c r="B32" s="313"/>
      <c r="C32" s="281" t="s">
        <v>34</v>
      </c>
      <c r="D32" s="293" t="e">
        <f t="shared" ref="D32" ca="1" si="19">IF(D30=0,0,IF(D30=1,$H32,($H32*D$5)+((D30-D$5)*$I32)))</f>
        <v>#VALUE!</v>
      </c>
      <c r="E32" s="294">
        <f>IF(E30=0,0,IF(E30=1,$H32,($H32*E$5)+((E30-E$5)*$I32)))</f>
        <v>0</v>
      </c>
      <c r="F32" s="295">
        <f t="shared" ref="F32" si="20">IF(F30=0,0,IF(F30=1,$H32,($H32*F$5)+((F30-F$5)*$I32)))</f>
        <v>0</v>
      </c>
      <c r="G32" s="272" t="str">
        <f>IF(H32=I32,_xlfn.CONCAT("Assumes ",TEXT(H32,"$0")," for initial and subsequent violations (PPs)."),_xlfn.CONCAT("Assumes ",TEXT(H32,"$0")," for initial violation (PP) and ",TEXT(I32,"$0")," for subsequent violations (PPs)."))</f>
        <v>Assumes $100 for initial and subsequent violations (PPs).</v>
      </c>
      <c r="H32" s="64">
        <v>100</v>
      </c>
      <c r="I32" s="42">
        <v>100</v>
      </c>
    </row>
    <row r="33" spans="1:9" x14ac:dyDescent="0.3">
      <c r="B33" s="46"/>
      <c r="C33" s="47"/>
      <c r="D33" s="190"/>
      <c r="E33" s="57"/>
      <c r="F33" s="152"/>
      <c r="G33" s="58"/>
    </row>
    <row r="34" spans="1:9" ht="30" customHeight="1" x14ac:dyDescent="0.3">
      <c r="A34" s="50" t="s">
        <v>13</v>
      </c>
      <c r="B34" s="309" t="s">
        <v>35</v>
      </c>
      <c r="C34" s="55" t="s">
        <v>36</v>
      </c>
      <c r="D34" s="195" t="e">
        <f>ROUND(E35*D$5,0)</f>
        <v>#VALUE!</v>
      </c>
      <c r="E34" s="56" cm="1">
        <f t="array" ref="E34">IFERROR(ROWS(_xlfn.UNIQUE(_xlfn._xlws.FILTER(ID,(Date &gt;= E$3) * (Date &lt;= E$4) * (IFERROR(SEARCH(E$1, Key_Gps),0)&gt;0) * (rpv_shift = 1)))),0)</f>
        <v>0</v>
      </c>
      <c r="F34" s="155" cm="1">
        <f t="array" ref="F34">IFERROR(ROWS(_xlfn.UNIQUE(_xlfn._xlws.FILTER(ID,(Date &gt;= F$3) * (Date &lt;= F$4) * (IFERROR(SEARCH(F$1, Key_Gps),0)&gt;0) * (rpv_shift = 1)))),0)</f>
        <v>0</v>
      </c>
      <c r="G34" s="54" t="s">
        <v>37</v>
      </c>
      <c r="H34" s="64"/>
    </row>
    <row r="35" spans="1:9" x14ac:dyDescent="0.3">
      <c r="A35" s="50"/>
      <c r="B35" s="311"/>
      <c r="C35" s="55" t="s">
        <v>25</v>
      </c>
      <c r="D35" s="211" t="str">
        <f>IFERROR(ROUND(D34/D$5,3),"-")</f>
        <v>-</v>
      </c>
      <c r="E35" s="40" t="str">
        <f>IFERROR(ROUND(E34/E$5,3),"-")</f>
        <v>-</v>
      </c>
      <c r="F35" s="156" t="str">
        <f t="shared" ref="F35" si="21">IFERROR(ROUND(F34/F$5,3),"-")</f>
        <v>-</v>
      </c>
      <c r="G35" s="54"/>
      <c r="H35" s="44" t="s">
        <v>26</v>
      </c>
    </row>
    <row r="36" spans="1:9" ht="30" customHeight="1" x14ac:dyDescent="0.3">
      <c r="A36" s="50" t="s">
        <v>13</v>
      </c>
      <c r="B36" s="311"/>
      <c r="C36" s="55" t="s">
        <v>38</v>
      </c>
      <c r="D36" s="195" t="e">
        <f ca="1">ROUND($E37*D$8,0)</f>
        <v>#VALUE!</v>
      </c>
      <c r="E36" s="56" cm="1">
        <f t="array" ref="E36">IF($H35="Calculated Violation Rate Applied",IFERROR(ROWS(_xlfn.UNIQUE(_xlfn._xlws.FILTER(ID_Period_End,(Period_End &gt;= E$3) * (Period_End &lt;= E$4) * (IFERROR(SEARCH(E$1, Key_Gps),0)&gt;0) * (rpv_shift &gt; 0)))),0),ROUND(E$8*$H36,0))</f>
        <v>0</v>
      </c>
      <c r="F36" s="155" cm="1">
        <f t="array" ref="F36">IF($H35="Calculated Violation Rate Applied",IFERROR(ROWS(_xlfn.UNIQUE(_xlfn._xlws.FILTER(ID_Period_End,(Period_End &gt;= F$3) * (Period_End &lt;= F$4) * (IFERROR(SEARCH(F$1, Key_Gps),0)&gt;0) * (rpv_shift &gt; 0)))),0),ROUND(F$8*$H36,0))</f>
        <v>0</v>
      </c>
      <c r="G36" s="54"/>
      <c r="H36" s="150" t="e">
        <f>I36</f>
        <v>#DIV/0!</v>
      </c>
      <c r="I36" s="70" t="e" cm="1">
        <f t="array" ref="I36">ROUND(IFERROR(ROWS(_xlfn.UNIQUE(_xlfn._xlws.FILTER(ID_Period_End,(Period_End &gt;= E$3) * (Period_End &lt;= E$4) * (IFERROR(SEARCH(E$1, Key_Gps),0)&gt;0) * (rpv_shift = 1)))),0) / IFERROR(ROWS(_xlfn.UNIQUE(_xlfn._xlws.FILTER(ID_Period_End,(Period_End &gt;= E$3) * (Period_End &lt;= E$4) * (IFERROR(SEARCH(E$1, Key_Gps),0)&gt;0)))),0),3)</f>
        <v>#DIV/0!</v>
      </c>
    </row>
    <row r="37" spans="1:9" x14ac:dyDescent="0.3">
      <c r="A37" s="50"/>
      <c r="B37" s="311"/>
      <c r="C37" s="55" t="s">
        <v>28</v>
      </c>
      <c r="D37" s="211" t="str">
        <f ca="1">IFERROR(ROUND(D36/D$8,3),"-")</f>
        <v>-</v>
      </c>
      <c r="E37" s="40" t="str">
        <f>IFERROR(ROUND(E36/E$8,3),"-")</f>
        <v>-</v>
      </c>
      <c r="F37" s="156" t="str">
        <f t="shared" ref="F37" si="22">IFERROR(ROUND(F36/F$8,3),"-")</f>
        <v>-</v>
      </c>
      <c r="G37" s="59" t="e">
        <f>IF(INT(H36)=H36,_xlfn.CONCAT("Violation rate: ",TEXT(H36,"0%")),_xlfn.CONCAT("Violation rate: ",TEXT(H36,"0.0%")))</f>
        <v>#DIV/0!</v>
      </c>
      <c r="H37" s="60"/>
      <c r="I37" s="61"/>
    </row>
    <row r="38" spans="1:9" ht="28.8" x14ac:dyDescent="0.3">
      <c r="A38" s="50" t="s">
        <v>13</v>
      </c>
      <c r="B38" s="311"/>
      <c r="C38" s="62" t="s">
        <v>39</v>
      </c>
      <c r="D38" s="206" t="e">
        <f t="shared" ref="D38" ca="1" si="23">IF(D36=0,0,IF(D36=1,$H38,($H38*D$5)+((D36-D$5)*$I38)))</f>
        <v>#VALUE!</v>
      </c>
      <c r="E38" s="63">
        <f>IF(E36=0,0,IF(E36=1,$H38,($H38*E$5)+((E36-E$5)*$I38)))</f>
        <v>0</v>
      </c>
      <c r="F38" s="157">
        <f t="shared" ref="F38" si="24">IF(F36=0,0,IF(F36=1,$H38,($H38*F$5)+((F36-F$5)*$I38)))</f>
        <v>0</v>
      </c>
      <c r="G38" s="53" t="str">
        <f>IF(H38=I38,_xlfn.CONCAT("Assumes ",TEXT(H38,"$0")," for initial and subsequent violations (PPs)."),_xlfn.CONCAT("Assumes ",TEXT(H38,"$0")," for initial violation (PP) and ",TEXT(I38,"$0")," for subsequent violations (PPs)."))</f>
        <v>Assumes $100 for initial and subsequent violations (PPs).</v>
      </c>
      <c r="H38" s="64">
        <v>100</v>
      </c>
      <c r="I38" s="42">
        <v>100</v>
      </c>
    </row>
    <row r="39" spans="1:9" x14ac:dyDescent="0.3">
      <c r="B39" s="46"/>
      <c r="C39" s="47"/>
      <c r="D39" s="190"/>
      <c r="E39" s="57"/>
      <c r="F39" s="152"/>
      <c r="G39" s="58"/>
    </row>
    <row r="40" spans="1:9" ht="28.8" x14ac:dyDescent="0.3">
      <c r="A40" s="50" t="s">
        <v>13</v>
      </c>
      <c r="B40" s="304">
        <v>226.3</v>
      </c>
      <c r="C40" s="55" t="s">
        <v>21</v>
      </c>
      <c r="D40" s="195" t="e">
        <f ca="1">ROUND($E41*D$8,0)</f>
        <v>#VALUE!</v>
      </c>
      <c r="E40" s="65">
        <f>MAX(E$36,E$18,E$12)</f>
        <v>0</v>
      </c>
      <c r="F40" s="155">
        <f>MAX(F$36,F$18,F$12)</f>
        <v>0</v>
      </c>
      <c r="G40" s="54"/>
      <c r="H40" s="64"/>
    </row>
    <row r="41" spans="1:9" x14ac:dyDescent="0.3">
      <c r="A41" s="50"/>
      <c r="B41" s="306"/>
      <c r="C41" s="55" t="s">
        <v>28</v>
      </c>
      <c r="D41" s="211" t="str">
        <f ca="1">IFERROR(ROUND(D40/D$8,3),"-")</f>
        <v>-</v>
      </c>
      <c r="E41" s="40" t="str">
        <f>IFERROR(ROUND(E40/E$8,3),"-")</f>
        <v>-</v>
      </c>
      <c r="F41" s="156" t="str">
        <f t="shared" ref="F41" si="25">IFERROR(ROUND(F40/F$8,3),"-")</f>
        <v>-</v>
      </c>
      <c r="G41" s="54"/>
      <c r="H41" s="60"/>
      <c r="I41" s="61"/>
    </row>
    <row r="42" spans="1:9" ht="28.8" x14ac:dyDescent="0.3">
      <c r="A42" s="50" t="s">
        <v>13</v>
      </c>
      <c r="B42" s="307"/>
      <c r="C42" s="62" t="s">
        <v>40</v>
      </c>
      <c r="D42" s="206" t="e">
        <f ca="1">IF(D40=0,0,IF(D40=1,$H42,($H42*D$5)+((D40-D$5)*$I42)))</f>
        <v>#VALUE!</v>
      </c>
      <c r="E42" s="63">
        <f>IF(E40=0,0,IF(E40=1,$H42,($H42*E$5)+((E40-E$5)*$I42)))</f>
        <v>0</v>
      </c>
      <c r="F42" s="157">
        <f t="shared" ref="F42" si="26">IF(F40=0,0,IF(F40=1,$H42,($H42*F$5)+((F40-F$5)*$I42)))</f>
        <v>0</v>
      </c>
      <c r="G42" s="53" t="str">
        <f>IF(H42=I42,_xlfn.CONCAT("Assumes ",TEXT(H42,"$0")," for initial and subsequent violations (PPs)."),_xlfn.CONCAT("Assumes ",TEXT(H42,"$0")," for initial violation (PP) and ",TEXT(I42,"$0")," for subsequent violations (PPs)."))</f>
        <v>Assumes $250 for initial and subsequent violations (PPs).</v>
      </c>
      <c r="H42" s="64">
        <v>250</v>
      </c>
      <c r="I42" s="42">
        <v>250</v>
      </c>
    </row>
    <row r="43" spans="1:9" x14ac:dyDescent="0.3">
      <c r="B43" s="46"/>
      <c r="C43" s="47"/>
      <c r="D43" s="190"/>
      <c r="E43" s="57"/>
      <c r="F43" s="152"/>
      <c r="G43" s="58"/>
    </row>
    <row r="44" spans="1:9" ht="28.8" x14ac:dyDescent="0.3">
      <c r="A44" s="50" t="s">
        <v>13</v>
      </c>
      <c r="B44" s="304">
        <v>558</v>
      </c>
      <c r="C44" s="55" t="s">
        <v>21</v>
      </c>
      <c r="D44" s="195" t="e">
        <f ca="1">ROUND($E45*D$8,0)</f>
        <v>#VALUE!</v>
      </c>
      <c r="E44" s="65">
        <f>MAX(E$18,E$12)</f>
        <v>0</v>
      </c>
      <c r="F44" s="155">
        <f>MAX(F$18,F$12)</f>
        <v>0</v>
      </c>
      <c r="G44" s="54"/>
      <c r="H44" s="64"/>
    </row>
    <row r="45" spans="1:9" x14ac:dyDescent="0.3">
      <c r="A45" s="50"/>
      <c r="B45" s="306"/>
      <c r="C45" s="55" t="s">
        <v>28</v>
      </c>
      <c r="D45" s="211" t="str">
        <f ca="1">IFERROR(ROUND(D44/D$8,3),"-")</f>
        <v>-</v>
      </c>
      <c r="E45" s="40" t="str">
        <f>IFERROR(ROUND(E44/E$8,3),"-")</f>
        <v>-</v>
      </c>
      <c r="F45" s="156" t="str">
        <f t="shared" ref="F45" si="27">IFERROR(ROUND(F44/F$8,3),"-")</f>
        <v>-</v>
      </c>
      <c r="G45" s="54"/>
      <c r="H45" s="60"/>
      <c r="I45" s="61"/>
    </row>
    <row r="46" spans="1:9" ht="28.8" x14ac:dyDescent="0.3">
      <c r="A46" s="50" t="s">
        <v>13</v>
      </c>
      <c r="B46" s="307"/>
      <c r="C46" s="62" t="s">
        <v>41</v>
      </c>
      <c r="D46" s="206" t="e">
        <f ca="1">IF(D44=0,0,IF(D44=1,$H46,($H46*D$5)+((D44-D$5)*$I46)))</f>
        <v>#VALUE!</v>
      </c>
      <c r="E46" s="63">
        <f>IF(E44=0,0,IF(E44=1,$H46,($H46*E$5)+((E44-E$5)*$I46)))</f>
        <v>0</v>
      </c>
      <c r="F46" s="157">
        <f t="shared" ref="F46" si="28">IF(F44=0,0,IF(F44=1,$H46,($H46*F$5)+((F44-F$5)*$I46)))</f>
        <v>0</v>
      </c>
      <c r="G46" s="53" t="str">
        <f>IF(H46=I46,_xlfn.CONCAT("Assumes ",TEXT(H46,"$0")," for initial and subsequent violations (PPs)."),_xlfn.CONCAT("Assumes ",TEXT(H46,"$0")," for initial violation (PP) and ",TEXT(I46,"$0")," for subsequent violations (PPs)."))</f>
        <v>Assumes $50 for initial and subsequent violations (PPs).</v>
      </c>
      <c r="H46" s="64">
        <v>50</v>
      </c>
      <c r="I46" s="42">
        <v>50</v>
      </c>
    </row>
    <row r="47" spans="1:9" x14ac:dyDescent="0.3">
      <c r="B47" s="46"/>
      <c r="C47" s="47"/>
      <c r="D47" s="190"/>
      <c r="E47" s="57"/>
      <c r="F47" s="152"/>
      <c r="G47" s="58"/>
    </row>
    <row r="48" spans="1:9" ht="30" customHeight="1" x14ac:dyDescent="0.3">
      <c r="A48" s="50" t="s">
        <v>13</v>
      </c>
      <c r="B48" s="308">
        <v>1174.5</v>
      </c>
      <c r="C48" s="55" t="s">
        <v>17</v>
      </c>
      <c r="D48" s="195">
        <f>D$5</f>
        <v>0</v>
      </c>
      <c r="E48" s="65">
        <f>E$5</f>
        <v>0</v>
      </c>
      <c r="F48" s="155">
        <f>F$5</f>
        <v>0</v>
      </c>
      <c r="G48" s="54"/>
      <c r="H48" s="64"/>
    </row>
    <row r="49" spans="1:12" ht="28.8" x14ac:dyDescent="0.3">
      <c r="A49" s="50" t="s">
        <v>13</v>
      </c>
      <c r="B49" s="307"/>
      <c r="C49" s="62" t="s">
        <v>42</v>
      </c>
      <c r="D49" s="206">
        <f t="shared" ref="D49" si="29">D48*$H49</f>
        <v>0</v>
      </c>
      <c r="E49" s="63">
        <f>E48*$H49</f>
        <v>0</v>
      </c>
      <c r="F49" s="157">
        <f t="shared" ref="F49" si="30">F48*$H49</f>
        <v>0</v>
      </c>
      <c r="G49" s="53" t="str">
        <f>_xlfn.CONCAT("Assumes ",TEXT(H49,"$0")," per employee.")</f>
        <v>Assumes $500 per employee.</v>
      </c>
      <c r="H49" s="64">
        <v>500</v>
      </c>
    </row>
    <row r="50" spans="1:12" outlineLevel="1" x14ac:dyDescent="0.3">
      <c r="B50" s="46"/>
      <c r="C50" s="47"/>
      <c r="D50" s="190"/>
      <c r="E50" s="57"/>
      <c r="F50" s="152"/>
      <c r="G50" s="58"/>
    </row>
    <row r="51" spans="1:12" ht="30" customHeight="1" outlineLevel="1" x14ac:dyDescent="0.3">
      <c r="A51" s="50" t="s">
        <v>13</v>
      </c>
      <c r="B51" s="304">
        <v>1197.0999999999999</v>
      </c>
      <c r="C51" s="55" t="s">
        <v>21</v>
      </c>
      <c r="D51" s="195" t="e">
        <f ca="1">ROUND($E52*D$8,0)</f>
        <v>#VALUE!</v>
      </c>
      <c r="E51" s="65">
        <f t="shared" ref="E51" si="31">MAX(E$18,E$12)</f>
        <v>0</v>
      </c>
      <c r="F51" s="155">
        <f>MAX(F$18,F$12)</f>
        <v>0</v>
      </c>
      <c r="G51" s="54"/>
      <c r="H51" s="64"/>
    </row>
    <row r="52" spans="1:12" outlineLevel="1" x14ac:dyDescent="0.3">
      <c r="A52" s="50"/>
      <c r="B52" s="306"/>
      <c r="C52" s="55" t="s">
        <v>28</v>
      </c>
      <c r="D52" s="211" t="str">
        <f ca="1">IFERROR(ROUND(D51/D$8,3),"-")</f>
        <v>-</v>
      </c>
      <c r="E52" s="40" t="str">
        <f>IFERROR(ROUND(E51/E$8,3),"-")</f>
        <v>-</v>
      </c>
      <c r="F52" s="156" t="str">
        <f t="shared" ref="F52" si="32">IFERROR(ROUND(F51/F$8,3),"-")</f>
        <v>-</v>
      </c>
      <c r="G52" s="54"/>
      <c r="H52" s="60"/>
      <c r="I52" s="61"/>
    </row>
    <row r="53" spans="1:12" ht="28.8" outlineLevel="1" x14ac:dyDescent="0.3">
      <c r="A53" s="50" t="s">
        <v>13</v>
      </c>
      <c r="B53" s="307"/>
      <c r="C53" s="62" t="s">
        <v>43</v>
      </c>
      <c r="D53" s="206" t="e">
        <f ca="1">IF(D51=0,0,IF(D51=1,$H53,($H53*D$5)+((D51-D$5)*$I53)))</f>
        <v>#VALUE!</v>
      </c>
      <c r="E53" s="63">
        <f>IF(E51=0,0,IF(E51=1,$H53,($H53*E$5)+((E51-E$5)*$I53)))</f>
        <v>0</v>
      </c>
      <c r="F53" s="157">
        <f t="shared" ref="F53" si="33">IF(F51=0,0,IF(F51=1,$H53,($H53*F$5)+((F51-F$5)*$I53)))</f>
        <v>0</v>
      </c>
      <c r="G53" s="53" t="str">
        <f>IF(H53=I53,_xlfn.CONCAT("Assumes maximum number of pay periods.",CHAR(10),"Assumes ",TEXT(H53,"$0")," for initial and subsequent violations (PPs)."),_xlfn.CONCAT("Assumes maximum number of pay periods.",CHAR(10),"Assumes ",TEXT(H53,"$0")," for initial violation (PP) and ",TEXT(I53,"$0")," for subsequent violations (PPs)."))</f>
        <v>Assumes maximum number of pay periods.
Assumes $100 for initial and subsequent violations (PPs).</v>
      </c>
      <c r="H53" s="64">
        <v>100</v>
      </c>
      <c r="I53" s="42">
        <v>100</v>
      </c>
    </row>
    <row r="54" spans="1:12" x14ac:dyDescent="0.3">
      <c r="B54" s="46"/>
      <c r="C54" s="47"/>
      <c r="D54" s="190"/>
      <c r="E54" s="57"/>
      <c r="F54" s="152"/>
      <c r="G54" s="58"/>
    </row>
    <row r="55" spans="1:12" ht="28.8" x14ac:dyDescent="0.3">
      <c r="A55" s="50" t="s">
        <v>13</v>
      </c>
      <c r="B55" s="304">
        <v>203</v>
      </c>
      <c r="C55" s="55" t="s">
        <v>18</v>
      </c>
      <c r="D55" s="195" t="e">
        <f>D$6</f>
        <v>#NAME?</v>
      </c>
      <c r="E55" s="65" t="e">
        <f t="shared" ref="E55:F55" si="34">E$6</f>
        <v>#NAME?</v>
      </c>
      <c r="F55" s="155">
        <f t="shared" si="34"/>
        <v>0</v>
      </c>
      <c r="G55" s="54"/>
      <c r="H55" s="64"/>
    </row>
    <row r="56" spans="1:12" ht="28.8" x14ac:dyDescent="0.3">
      <c r="A56" s="50" t="s">
        <v>13</v>
      </c>
      <c r="B56" s="307"/>
      <c r="C56" s="62" t="s">
        <v>44</v>
      </c>
      <c r="D56" s="206" t="e">
        <f t="shared" ref="D56" si="35">D55*$H56</f>
        <v>#NAME?</v>
      </c>
      <c r="E56" s="63" t="e">
        <f>E55*$H56</f>
        <v>#NAME?</v>
      </c>
      <c r="F56" s="157">
        <f t="shared" ref="F56" si="36">F55*$H56</f>
        <v>0</v>
      </c>
      <c r="G56" s="53" t="str">
        <f>_xlfn.CONCAT("Assumes one ",TEXT(H56,"$0")," pay period violation per employee.")</f>
        <v>Assumes one $100 pay period violation per employee.</v>
      </c>
      <c r="H56" s="64">
        <v>100</v>
      </c>
    </row>
    <row r="57" spans="1:12" x14ac:dyDescent="0.3">
      <c r="B57" s="66"/>
      <c r="C57" s="67"/>
      <c r="D57" s="212"/>
      <c r="E57" s="67"/>
      <c r="F57" s="158"/>
      <c r="G57" s="68"/>
      <c r="H57" s="68"/>
      <c r="I57" s="68"/>
      <c r="J57" s="67"/>
      <c r="K57" s="67"/>
      <c r="L57" s="67"/>
    </row>
    <row r="58" spans="1:12" ht="28.8" x14ac:dyDescent="0.3">
      <c r="A58" s="50" t="s">
        <v>13</v>
      </c>
      <c r="B58" s="304" t="s">
        <v>45</v>
      </c>
      <c r="C58" s="51" t="s">
        <v>46</v>
      </c>
      <c r="D58" s="204" t="e">
        <f ca="1">D$56+D$53+D$49+D$46+D$42+D$38+D$14</f>
        <v>#NAME?</v>
      </c>
      <c r="E58" s="69" t="e">
        <f>E$56+E$53+E$49+E$46+E$42+E$38+E$14</f>
        <v>#NAME?</v>
      </c>
      <c r="F58" s="159">
        <f>F$56+F$53+F$49+F$46+F$42+F$38+F$14</f>
        <v>0</v>
      </c>
      <c r="G58" s="53" t="s">
        <v>47</v>
      </c>
      <c r="H58" s="70"/>
    </row>
    <row r="59" spans="1:12" ht="28.8" x14ac:dyDescent="0.3">
      <c r="A59" s="50" t="s">
        <v>13</v>
      </c>
      <c r="B59" s="305"/>
      <c r="C59" s="51" t="s">
        <v>48</v>
      </c>
      <c r="D59" s="204" t="e">
        <f ca="1">D$56+D$20+D$49+(D$20/2)+D$42+D$38+D$20</f>
        <v>#NAME?</v>
      </c>
      <c r="E59" s="69" t="e">
        <f>E$56+E$20+E$49+(E$20/2)+E$42+E$38+E$20</f>
        <v>#NAME?</v>
      </c>
      <c r="F59" s="159">
        <f>F$56+F$20+F$49+(F$20/2)+F$42+F$38+F$20</f>
        <v>0</v>
      </c>
      <c r="G59" s="53" t="s">
        <v>47</v>
      </c>
      <c r="H59" s="70"/>
    </row>
    <row r="60" spans="1:12" outlineLevel="1" x14ac:dyDescent="0.3">
      <c r="B60" s="66"/>
      <c r="C60" s="67"/>
      <c r="D60" s="212"/>
      <c r="E60" s="67"/>
      <c r="F60" s="158"/>
      <c r="G60" s="68"/>
      <c r="H60" s="68"/>
      <c r="I60" s="68"/>
      <c r="J60" s="67"/>
      <c r="K60" s="67"/>
      <c r="L60" s="67"/>
    </row>
    <row r="61" spans="1:12" ht="28.8" outlineLevel="1" x14ac:dyDescent="0.3">
      <c r="A61" s="50" t="s">
        <v>13</v>
      </c>
      <c r="B61" s="302" t="s">
        <v>45</v>
      </c>
      <c r="C61" s="296" t="s">
        <v>594</v>
      </c>
      <c r="D61" s="205" t="e">
        <f ca="1">D$56+D$53+D$49+D$46+D$42+D$38+D$26</f>
        <v>#NAME?</v>
      </c>
      <c r="E61" s="297" t="e">
        <f t="shared" ref="E61:F61" si="37">E$56+E$53+E$49+E$46+E$42+E$38+E$26</f>
        <v>#NAME?</v>
      </c>
      <c r="F61" s="173">
        <f t="shared" si="37"/>
        <v>0</v>
      </c>
      <c r="G61" s="272" t="s">
        <v>47</v>
      </c>
      <c r="H61" s="70"/>
    </row>
    <row r="62" spans="1:12" ht="28.8" outlineLevel="1" x14ac:dyDescent="0.3">
      <c r="A62" s="50" t="s">
        <v>13</v>
      </c>
      <c r="B62" s="303"/>
      <c r="C62" s="296" t="s">
        <v>595</v>
      </c>
      <c r="D62" s="205" t="e">
        <f ca="1">D$56+D$32+D$49+(D$32/2)+D$42+D$38+D$32</f>
        <v>#NAME?</v>
      </c>
      <c r="E62" s="297" t="e">
        <f t="shared" ref="E62:F62" si="38">E$56+E$32+E$49+(E$32/2)+E$42+E$38+E$32</f>
        <v>#NAME?</v>
      </c>
      <c r="F62" s="173">
        <f t="shared" si="38"/>
        <v>0</v>
      </c>
      <c r="G62" s="272" t="s">
        <v>47</v>
      </c>
      <c r="H62" s="70"/>
    </row>
  </sheetData>
  <mergeCells count="13">
    <mergeCell ref="B3:B8"/>
    <mergeCell ref="B40:B42"/>
    <mergeCell ref="B10:B14"/>
    <mergeCell ref="B16:B20"/>
    <mergeCell ref="B34:B38"/>
    <mergeCell ref="B22:B26"/>
    <mergeCell ref="B28:B32"/>
    <mergeCell ref="B61:B62"/>
    <mergeCell ref="B58:B59"/>
    <mergeCell ref="B44:B46"/>
    <mergeCell ref="B48:B49"/>
    <mergeCell ref="B55:B56"/>
    <mergeCell ref="B51:B53"/>
  </mergeCells>
  <conditionalFormatting sqref="C1:C1048576">
    <cfRule type="containsText" dxfId="15" priority="14" operator="containsText" text="Exclude">
      <formula>NOT(ISERROR(SEARCH("Exclude",C1)))</formula>
    </cfRule>
  </conditionalFormatting>
  <conditionalFormatting sqref="D57:L57">
    <cfRule type="containsText" dxfId="14" priority="13" operator="containsText" text="Exclude">
      <formula>NOT(ISERROR(SEARCH("Exclude",D57)))</formula>
    </cfRule>
  </conditionalFormatting>
  <conditionalFormatting sqref="D60:L60">
    <cfRule type="containsText" dxfId="13" priority="1" operator="containsText" text="Exclude">
      <formula>NOT(ISERROR(SEARCH("Exclude",D60)))</formula>
    </cfRule>
  </conditionalFormatting>
  <conditionalFormatting sqref="G1:G1048576">
    <cfRule type="containsText" dxfId="12" priority="6" operator="containsText" text="ERROR">
      <formula>NOT(ISERROR(SEARCH("ERROR",G1)))</formula>
    </cfRule>
  </conditionalFormatting>
  <conditionalFormatting sqref="H11:I11">
    <cfRule type="containsText" dxfId="11" priority="11" operator="containsText" text="Manual">
      <formula>NOT(ISERROR(SEARCH("Manual",H11)))</formula>
    </cfRule>
    <cfRule type="containsText" dxfId="10" priority="12" operator="containsText" text="Calc">
      <formula>NOT(ISERROR(SEARCH("Calc",H11)))</formula>
    </cfRule>
  </conditionalFormatting>
  <conditionalFormatting sqref="H17:I17">
    <cfRule type="containsText" dxfId="9" priority="9" operator="containsText" text="Manual">
      <formula>NOT(ISERROR(SEARCH("Manual",H17)))</formula>
    </cfRule>
    <cfRule type="containsText" dxfId="8" priority="10" operator="containsText" text="Calc">
      <formula>NOT(ISERROR(SEARCH("Calc",H17)))</formula>
    </cfRule>
  </conditionalFormatting>
  <conditionalFormatting sqref="H23:I23">
    <cfRule type="containsText" dxfId="7" priority="4" operator="containsText" text="Manual">
      <formula>NOT(ISERROR(SEARCH("Manual",H23)))</formula>
    </cfRule>
    <cfRule type="containsText" dxfId="6" priority="5" operator="containsText" text="Calc">
      <formula>NOT(ISERROR(SEARCH("Calc",H23)))</formula>
    </cfRule>
  </conditionalFormatting>
  <conditionalFormatting sqref="H29:I29">
    <cfRule type="containsText" dxfId="5" priority="2" operator="containsText" text="Manual">
      <formula>NOT(ISERROR(SEARCH("Manual",H29)))</formula>
    </cfRule>
    <cfRule type="containsText" dxfId="4" priority="3" operator="containsText" text="Calc">
      <formula>NOT(ISERROR(SEARCH("Calc",H29)))</formula>
    </cfRule>
  </conditionalFormatting>
  <conditionalFormatting sqref="H35:I35">
    <cfRule type="containsText" dxfId="3" priority="7" operator="containsText" text="Manual">
      <formula>NOT(ISERROR(SEARCH("Manual",H35)))</formula>
    </cfRule>
    <cfRule type="containsText" dxfId="2" priority="8" operator="containsText" text="Calc">
      <formula>NOT(ISERROR(SEARCH("Calc",H35)))</formula>
    </cfRule>
  </conditionalFormatting>
  <dataValidations count="1">
    <dataValidation type="list" allowBlank="1" showInputMessage="1" showErrorMessage="1" sqref="H11 H17 H35 H23 H29" xr:uid="{D54C1476-F7B6-4812-98BB-6556418B5014}">
      <formula1>"Calculated Violation Rate Applied, Manual Override Active"</formula1>
    </dataValidation>
  </dataValidations>
  <printOptions horizontalCentered="1"/>
  <pageMargins left="0.25" right="0.25" top="0.75" bottom="0.5" header="0.25" footer="0.25"/>
  <pageSetup scale="49" orientation="portrait" horizontalDpi="1200" verticalDpi="1200" r:id="rId1"/>
  <headerFooter>
    <oddHeader>&amp;L&amp;"-,Bold"CONFIDENTIAL -
FOR MEDIATION 
PURPOSES ONLY&amp;C&amp;"-,Bold"&amp;12&amp;F - &amp;A&amp;R&amp;"-,Bold"&amp;D</oddHeader>
    <oddFooter>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0CD51-05C4-47F5-A8EE-A847DF221793}">
  <sheetPr>
    <tabColor theme="1"/>
  </sheetPr>
  <dimension ref="A1:AK327"/>
  <sheetViews>
    <sheetView zoomScaleNormal="100" zoomScaleSheetLayoutView="40" workbookViewId="0">
      <pane ySplit="3" topLeftCell="A4" activePane="bottomLeft" state="frozen"/>
      <selection pane="bottomLeft" activeCell="A4" sqref="A4"/>
    </sheetView>
  </sheetViews>
  <sheetFormatPr defaultColWidth="9.109375" defaultRowHeight="14.4" outlineLevelRow="2" outlineLevelCol="1" x14ac:dyDescent="0.25"/>
  <cols>
    <col min="1" max="1" width="6.44140625" style="42" bestFit="1" customWidth="1" outlineLevel="1"/>
    <col min="2" max="2" width="4.33203125" style="179" customWidth="1"/>
    <col min="3" max="3" width="68.109375" style="47" bestFit="1" customWidth="1"/>
    <col min="4" max="4" width="17.88671875" style="202" customWidth="1" outlineLevel="1"/>
    <col min="5" max="12" width="17.88671875" style="47" customWidth="1"/>
    <col min="13" max="13" width="17.88671875" style="169" customWidth="1" outlineLevel="1"/>
    <col min="14" max="14" width="50.88671875" style="58" customWidth="1"/>
    <col min="15" max="16" width="18.6640625" style="42" customWidth="1" outlineLevel="1"/>
    <col min="17" max="17" width="14" style="116" bestFit="1" customWidth="1" outlineLevel="1"/>
    <col min="18" max="18" width="10.88671875" style="80" bestFit="1" customWidth="1" outlineLevel="1"/>
    <col min="19" max="19" width="10.109375" style="42" bestFit="1" customWidth="1" outlineLevel="1"/>
    <col min="20" max="20" width="15.44140625" style="47" bestFit="1" customWidth="1" outlineLevel="1"/>
    <col min="21" max="21" width="14.88671875" style="47" bestFit="1" customWidth="1" outlineLevel="1"/>
    <col min="22" max="29" width="14.109375" style="47" customWidth="1" outlineLevel="1"/>
    <col min="30" max="16384" width="9.109375" style="47"/>
  </cols>
  <sheetData>
    <row r="1" spans="1:29" s="41" customFormat="1" outlineLevel="1" x14ac:dyDescent="0.25">
      <c r="A1" s="42">
        <v>1</v>
      </c>
      <c r="B1" s="178"/>
      <c r="D1" s="42" t="s">
        <v>49</v>
      </c>
      <c r="E1" s="72" t="s">
        <v>50</v>
      </c>
      <c r="F1" s="42" t="str">
        <f t="shared" ref="F1:L1" si="0">$E$1</f>
        <v>e</v>
      </c>
      <c r="G1" s="42" t="str">
        <f t="shared" si="0"/>
        <v>e</v>
      </c>
      <c r="H1" s="42" t="str">
        <f t="shared" si="0"/>
        <v>e</v>
      </c>
      <c r="I1" s="42" t="str">
        <f t="shared" si="0"/>
        <v>e</v>
      </c>
      <c r="J1" s="42" t="str">
        <f t="shared" si="0"/>
        <v>e</v>
      </c>
      <c r="K1" s="42" t="str">
        <f t="shared" si="0"/>
        <v>e</v>
      </c>
      <c r="L1" s="42" t="str">
        <f t="shared" si="0"/>
        <v>e</v>
      </c>
      <c r="M1" s="72" t="e" cm="1">
        <f t="array" ref="M1">INDEX(Key_Gps, MATCH(TRUE, Key_Gps&lt;&gt;"Everyone Else", 0))</f>
        <v>#NAME?</v>
      </c>
      <c r="N1" s="41" t="s">
        <v>10</v>
      </c>
      <c r="O1" s="42" t="s">
        <v>11</v>
      </c>
      <c r="P1" s="42" t="s">
        <v>12</v>
      </c>
      <c r="Q1" s="42" t="s">
        <v>51</v>
      </c>
      <c r="R1" s="72" t="s">
        <v>52</v>
      </c>
      <c r="S1" s="42" t="s">
        <v>53</v>
      </c>
      <c r="T1" s="42" t="str">
        <f>D1</f>
        <v>Extrap</v>
      </c>
      <c r="U1" s="42" t="str">
        <f>E1</f>
        <v>e</v>
      </c>
      <c r="V1" s="42" t="str">
        <f>F1</f>
        <v>e</v>
      </c>
      <c r="W1" s="42" t="str">
        <f t="shared" ref="W1:AB1" si="1">G1</f>
        <v>e</v>
      </c>
      <c r="X1" s="42" t="str">
        <f t="shared" si="1"/>
        <v>e</v>
      </c>
      <c r="Y1" s="42" t="str">
        <f t="shared" si="1"/>
        <v>e</v>
      </c>
      <c r="Z1" s="42" t="str">
        <f t="shared" si="1"/>
        <v>e</v>
      </c>
      <c r="AA1" s="42" t="str">
        <f t="shared" si="1"/>
        <v>e</v>
      </c>
      <c r="AB1" s="42" t="str">
        <f t="shared" si="1"/>
        <v>e</v>
      </c>
      <c r="AC1" s="42" t="e">
        <f>M1</f>
        <v>#NAME?</v>
      </c>
    </row>
    <row r="2" spans="1:29" s="41" customFormat="1" x14ac:dyDescent="0.25">
      <c r="A2" s="42"/>
      <c r="B2" s="178"/>
      <c r="D2" s="191" t="s">
        <v>54</v>
      </c>
      <c r="E2" s="316" t="s">
        <v>55</v>
      </c>
      <c r="F2" s="317"/>
      <c r="G2" s="317"/>
      <c r="H2" s="317"/>
      <c r="I2" s="317"/>
      <c r="J2" s="317"/>
      <c r="K2" s="317"/>
      <c r="L2" s="317"/>
      <c r="M2" s="181" t="s">
        <v>56</v>
      </c>
      <c r="N2" s="318" t="s">
        <v>10</v>
      </c>
      <c r="O2" s="42"/>
      <c r="P2" s="42"/>
      <c r="Q2" s="42"/>
      <c r="R2" s="7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</row>
    <row r="3" spans="1:29" ht="28.8" x14ac:dyDescent="0.25">
      <c r="A3" s="42" t="s">
        <v>57</v>
      </c>
      <c r="D3" s="192" t="str">
        <f ca="1">_xlfn.CONCAT("Extrap thru ",TEXT(D5,"m/d/yyyy"))</f>
        <v>Extrap thru 3/2/2026</v>
      </c>
      <c r="E3" s="48" t="s">
        <v>9</v>
      </c>
      <c r="F3" s="48">
        <v>2020</v>
      </c>
      <c r="G3" s="48">
        <v>2021</v>
      </c>
      <c r="H3" s="48">
        <v>2022</v>
      </c>
      <c r="I3" s="48">
        <v>2023</v>
      </c>
      <c r="J3" s="48">
        <v>2024</v>
      </c>
      <c r="K3" s="48">
        <v>2025</v>
      </c>
      <c r="L3" s="48">
        <v>2026</v>
      </c>
      <c r="M3" s="153" t="e">
        <f>M1</f>
        <v>#NAME?</v>
      </c>
      <c r="N3" s="319"/>
      <c r="O3" s="42" t="str">
        <f>O1</f>
        <v>Ref_1</v>
      </c>
      <c r="P3" s="42" t="str">
        <f>P1</f>
        <v>Ref_2</v>
      </c>
      <c r="Q3" s="42" t="s">
        <v>51</v>
      </c>
      <c r="R3" s="73" t="s">
        <v>52</v>
      </c>
      <c r="S3" s="42" t="s">
        <v>53</v>
      </c>
      <c r="T3" s="42" t="str">
        <f ca="1">D3</f>
        <v>Extrap thru 3/2/2026</v>
      </c>
      <c r="U3" s="42" t="str">
        <f>E3</f>
        <v>All Data</v>
      </c>
      <c r="V3" s="42">
        <f>F3</f>
        <v>2020</v>
      </c>
      <c r="W3" s="42">
        <f t="shared" ref="W3:AB3" si="2">G3</f>
        <v>2021</v>
      </c>
      <c r="X3" s="42">
        <f t="shared" si="2"/>
        <v>2022</v>
      </c>
      <c r="Y3" s="42">
        <f t="shared" si="2"/>
        <v>2023</v>
      </c>
      <c r="Z3" s="42">
        <f t="shared" si="2"/>
        <v>2024</v>
      </c>
      <c r="AA3" s="42">
        <f t="shared" si="2"/>
        <v>2025</v>
      </c>
      <c r="AB3" s="42">
        <f t="shared" si="2"/>
        <v>2026</v>
      </c>
      <c r="AC3" s="42" t="e">
        <f>M3</f>
        <v>#NAME?</v>
      </c>
    </row>
    <row r="4" spans="1:29" ht="28.8" outlineLevel="1" x14ac:dyDescent="0.25">
      <c r="A4" s="42" t="s">
        <v>13</v>
      </c>
      <c r="B4" s="314" t="s">
        <v>58</v>
      </c>
      <c r="C4" s="51" t="s">
        <v>15</v>
      </c>
      <c r="D4" s="193">
        <f>ref!$B$7</f>
        <v>43466</v>
      </c>
      <c r="E4" s="52" t="e" cm="1">
        <f t="array" ref="E4">_xlfn.LET(_xlpm.calc,_xlfn.MINIFS(Date,Key_Gps,"*"&amp;E$1&amp;"*"),IF(ISNUMBER(E$3),IF(OR(DATE(E$3,12,31) &lt; MIN(Date),DATE(E$3,1,1)&gt;MAX(Date)), "-", MAX(DATE(E$3,1,1),_xlpm.calc)),_xlpm.calc))</f>
        <v>#NAME?</v>
      </c>
      <c r="F4" s="52" t="e" cm="1">
        <f t="array" ref="F4">_xlfn.LET(_xlpm.calc,_xlfn.MINIFS(Date,Key_Gps,"*"&amp;F$1&amp;"*"),IF(ISNUMBER(F$3),IF(OR(DATE(F$3,12,31) &lt; MIN(Date),DATE(F$3,1,1)&gt;MAX(Date)), "-", MAX(DATE(F$3,1,1),_xlpm.calc)),_xlpm.calc))</f>
        <v>#NAME?</v>
      </c>
      <c r="G4" s="52" t="e" cm="1">
        <f t="array" ref="G4">_xlfn.LET(_xlpm.calc,_xlfn.MINIFS(Date,Key_Gps,"*"&amp;G$1&amp;"*"),IF(ISNUMBER(G$3),IF(OR(DATE(G$3,12,31) &lt; MIN(Date),DATE(G$3,1,1)&gt;MAX(Date)), "-", MAX(DATE(G$3,1,1),_xlpm.calc)),_xlpm.calc))</f>
        <v>#NAME?</v>
      </c>
      <c r="H4" s="52" t="e" cm="1">
        <f t="array" ref="H4">_xlfn.LET(_xlpm.calc,_xlfn.MINIFS(Date,Key_Gps,"*"&amp;H$1&amp;"*"),IF(ISNUMBER(H$3),IF(OR(DATE(H$3,12,31) &lt; MIN(Date),DATE(H$3,1,1)&gt;MAX(Date)), "-", MAX(DATE(H$3,1,1),_xlpm.calc)),_xlpm.calc))</f>
        <v>#NAME?</v>
      </c>
      <c r="I4" s="52" t="e" cm="1">
        <f t="array" ref="I4">_xlfn.LET(_xlpm.calc,_xlfn.MINIFS(Date,Key_Gps,"*"&amp;I$1&amp;"*"),IF(ISNUMBER(I$3),IF(OR(DATE(I$3,12,31) &lt; MIN(Date),DATE(I$3,1,1)&gt;MAX(Date)), "-", MAX(DATE(I$3,1,1),_xlpm.calc)),_xlpm.calc))</f>
        <v>#NAME?</v>
      </c>
      <c r="J4" s="52" t="e" cm="1">
        <f t="array" ref="J4">_xlfn.LET(_xlpm.calc,_xlfn.MINIFS(Date,Key_Gps,"*"&amp;J$1&amp;"*"),IF(ISNUMBER(J$3),IF(OR(DATE(J$3,12,31) &lt; MIN(Date),DATE(J$3,1,1)&gt;MAX(Date)), "-", MAX(DATE(J$3,1,1),_xlpm.calc)),_xlpm.calc))</f>
        <v>#NAME?</v>
      </c>
      <c r="K4" s="52" t="e" cm="1">
        <f t="array" ref="K4">_xlfn.LET(_xlpm.calc,_xlfn.MINIFS(Date,Key_Gps,"*"&amp;K$1&amp;"*"),IF(ISNUMBER(K$3),IF(OR(DATE(K$3,12,31) &lt; MIN(Date),DATE(K$3,1,1)&gt;MAX(Date)), "-", MAX(DATE(K$3,1,1),_xlpm.calc)),_xlpm.calc))</f>
        <v>#NAME?</v>
      </c>
      <c r="L4" s="52" t="e" cm="1">
        <f t="array" ref="L4">_xlfn.LET(_xlpm.calc,_xlfn.MINIFS(Date,Key_Gps,"*"&amp;L$1&amp;"*"),IF(ISNUMBER(L$3),IF(OR(DATE(L$3,12,31) &lt; MIN(Date),DATE(L$3,1,1)&gt;MAX(Date)), "-", MAX(DATE(L$3,1,1),_xlpm.calc)),_xlpm.calc))</f>
        <v>#NAME?</v>
      </c>
      <c r="M4" s="154" t="e" cm="1">
        <f t="array" ref="M4">_xlfn.LET(_xlpm.calc,_xlfn.MINIFS(Date,Key_Gps,"*"&amp;M$1&amp;"*"),IF(ISNUMBER(M$3),IF(OR(DATE(M$3,12,31) &lt; MIN(Date),DATE(M$3,1,1)&gt;MAX(Date)), "-", MAX(DATE(M$3,1,1),_xlpm.calc)),_xlpm.calc))</f>
        <v>#NAME?</v>
      </c>
      <c r="N4" s="53" t="str">
        <f>"Complaint filed "&amp;TEXT(ref!$B$1,"mm/dd/yyyy")&amp;"."</f>
        <v>Complaint filed 01/01/2023.</v>
      </c>
      <c r="O4" s="74"/>
      <c r="Q4" s="75" t="str">
        <f t="shared" ref="Q4:Q35" si="3">IF(IFERROR(SEARCH("(",E4),0)=0,"",VALUE(SUBSTITUTE(RIGHT(E4,LEN(E4)-SEARCH("(",E4)),")","")))</f>
        <v/>
      </c>
      <c r="R4" s="76" t="str">
        <f t="shared" ref="R4:R35" si="4">IF(U4="","",SUM(V4:AB4)-U4)</f>
        <v/>
      </c>
      <c r="S4" s="64" t="str">
        <f>IF($C4="","",IF(OR(IFERROR(SEARCH("min wage",LOWER($C4)),0)&gt;0, IFERROR(SEARCH(" per ",LOWER($C4)),0)&gt;0, IFERROR(SEARCH("penalt",LOWER($C4)),0)&gt;0,IFERROR(SEARCH("total",LOWER($C4)),0)&gt;0,IFERROR(SEARCH("interest",LOWER($C4)),0)&gt;0,IFERROR(SEARCH("date",LOWER($C4)),0)&gt;0,IFERROR(SEARCH("employee",LOWER($C4)),0)&gt;0,IFERROR(SEARCH("average",LOWER($C4)),0)&gt;0,IFERROR(SEARCH("median",LOWER($C4)),0)&gt;0),"",1))</f>
        <v/>
      </c>
      <c r="T4" s="42" t="str">
        <f t="shared" ref="T4:T35" si="5">IF($S4&lt;&gt;1,"",IF(IFERROR(SEARCH("(",D4),0)=0,D4,VALUE(TRIM(LEFT(D4,SEARCH(" (",D4))))))</f>
        <v/>
      </c>
      <c r="U4" s="42" t="str">
        <f t="shared" ref="U4:U35" si="6">IF($S4&lt;&gt;1,"",IF(IFERROR(SEARCH("(",E4),0)=0,E4,VALUE(TRIM(LEFT(E4,SEARCH(" (",E4))))))</f>
        <v/>
      </c>
      <c r="V4" s="42" t="str">
        <f t="shared" ref="V4:V35" si="7">IF($S4&lt;&gt;1,"",IF(IFERROR(SEARCH("(",F4),0)=0,F4,VALUE(TRIM(LEFT(F4,SEARCH(" (",F4))))))</f>
        <v/>
      </c>
      <c r="W4" s="42" t="str">
        <f t="shared" ref="W4:W67" si="8">IF($S4&lt;&gt;1,"",IF(IFERROR(SEARCH("(",G4),0)=0,G4,VALUE(TRIM(LEFT(G4,SEARCH(" (",G4))))))</f>
        <v/>
      </c>
      <c r="X4" s="42" t="str">
        <f t="shared" ref="X4:X67" si="9">IF($S4&lt;&gt;1,"",IF(IFERROR(SEARCH("(",H4),0)=0,H4,VALUE(TRIM(LEFT(H4,SEARCH(" (",H4))))))</f>
        <v/>
      </c>
      <c r="Y4" s="42" t="str">
        <f t="shared" ref="Y4:Y67" si="10">IF($S4&lt;&gt;1,"",IF(IFERROR(SEARCH("(",I4),0)=0,I4,VALUE(TRIM(LEFT(I4,SEARCH(" (",I4))))))</f>
        <v/>
      </c>
      <c r="Z4" s="42" t="str">
        <f t="shared" ref="Z4:Z67" si="11">IF($S4&lt;&gt;1,"",IF(IFERROR(SEARCH("(",J4),0)=0,J4,VALUE(TRIM(LEFT(J4,SEARCH(" (",J4))))))</f>
        <v/>
      </c>
      <c r="AA4" s="42" t="str">
        <f t="shared" ref="AA4:AA67" si="12">IF($S4&lt;&gt;1,"",IF(IFERROR(SEARCH("(",K4),0)=0,K4,VALUE(TRIM(LEFT(K4,SEARCH(" (",K4))))))</f>
        <v/>
      </c>
      <c r="AB4" s="42" t="str">
        <f t="shared" ref="AB4:AB67" si="13">IF($S4&lt;&gt;1,"",IF(IFERROR(SEARCH("(",L4),0)=0,L4,VALUE(TRIM(LEFT(L4,SEARCH(" (",L4))))))</f>
        <v/>
      </c>
      <c r="AC4" s="42" t="str">
        <f t="shared" ref="AC4:AC35" si="14">IF($S4&lt;&gt;1,"",IF(IFERROR(SEARCH("(",M4),0)=0,M4,VALUE(TRIM(LEFT(M4,SEARCH(" (",M4))))))</f>
        <v/>
      </c>
    </row>
    <row r="5" spans="1:29" ht="28.8" outlineLevel="1" x14ac:dyDescent="0.25">
      <c r="A5" s="42" t="s">
        <v>13</v>
      </c>
      <c r="B5" s="315"/>
      <c r="C5" s="51" t="s">
        <v>16</v>
      </c>
      <c r="D5" s="193">
        <f ca="1">ref!$B$3</f>
        <v>46083</v>
      </c>
      <c r="E5" s="52" t="e" cm="1">
        <f t="array" ref="E5">_xlfn.LET(_xlpm.calc,_xlfn.MAXIFS(Period_End,Key_Gps,"*"&amp;E$1&amp;"*"),IF(ISNUMBER(E$3),IF(OR(DATE(E$3,12,31) &lt; MIN(Date),DATE(E$3,1,1)&gt;MAX(Date)), "-", MIN(DATE(E$3,12,31),_xlpm.calc)),_xlpm.calc))</f>
        <v>#NAME?</v>
      </c>
      <c r="F5" s="52" t="e" cm="1">
        <f t="array" ref="F5">_xlfn.LET(_xlpm.calc,_xlfn.MAXIFS(Period_End,Key_Gps,"*"&amp;F$1&amp;"*"),IF(ISNUMBER(F$3),IF(OR(DATE(F$3,12,31) &lt; MIN(Date),DATE(F$3,1,1)&gt;MAX(Date)), "-", MIN(DATE(F$3,12,31),_xlpm.calc)),_xlpm.calc))</f>
        <v>#NAME?</v>
      </c>
      <c r="G5" s="52" t="e" cm="1">
        <f t="array" ref="G5">_xlfn.LET(_xlpm.calc,_xlfn.MAXIFS(Period_End,Key_Gps,"*"&amp;G$1&amp;"*"),IF(ISNUMBER(G$3),IF(OR(DATE(G$3,12,31) &lt; MIN(Date),DATE(G$3,1,1)&gt;MAX(Date)), "-", MIN(DATE(G$3,12,31),_xlpm.calc)),_xlpm.calc))</f>
        <v>#NAME?</v>
      </c>
      <c r="H5" s="52" t="e" cm="1">
        <f t="array" ref="H5">_xlfn.LET(_xlpm.calc,_xlfn.MAXIFS(Period_End,Key_Gps,"*"&amp;H$1&amp;"*"),IF(ISNUMBER(H$3),IF(OR(DATE(H$3,12,31) &lt; MIN(Date),DATE(H$3,1,1)&gt;MAX(Date)), "-", MIN(DATE(H$3,12,31),_xlpm.calc)),_xlpm.calc))</f>
        <v>#NAME?</v>
      </c>
      <c r="I5" s="52" t="e" cm="1">
        <f t="array" ref="I5">_xlfn.LET(_xlpm.calc,_xlfn.MAXIFS(Period_End,Key_Gps,"*"&amp;I$1&amp;"*"),IF(ISNUMBER(I$3),IF(OR(DATE(I$3,12,31) &lt; MIN(Date),DATE(I$3,1,1)&gt;MAX(Date)), "-", MIN(DATE(I$3,12,31),_xlpm.calc)),_xlpm.calc))</f>
        <v>#NAME?</v>
      </c>
      <c r="J5" s="52" t="e" cm="1">
        <f t="array" ref="J5">_xlfn.LET(_xlpm.calc,_xlfn.MAXIFS(Period_End,Key_Gps,"*"&amp;J$1&amp;"*"),IF(ISNUMBER(J$3),IF(OR(DATE(J$3,12,31) &lt; MIN(Date),DATE(J$3,1,1)&gt;MAX(Date)), "-", MIN(DATE(J$3,12,31),_xlpm.calc)),_xlpm.calc))</f>
        <v>#NAME?</v>
      </c>
      <c r="K5" s="52" t="e" cm="1">
        <f t="array" ref="K5">_xlfn.LET(_xlpm.calc,_xlfn.MAXIFS(Period_End,Key_Gps,"*"&amp;K$1&amp;"*"),IF(ISNUMBER(K$3),IF(OR(DATE(K$3,12,31) &lt; MIN(Date),DATE(K$3,1,1)&gt;MAX(Date)), "-", MIN(DATE(K$3,12,31),_xlpm.calc)),_xlpm.calc))</f>
        <v>#NAME?</v>
      </c>
      <c r="L5" s="52" t="e" cm="1">
        <f t="array" ref="L5">_xlfn.LET(_xlpm.calc,_xlfn.MAXIFS(Period_End,Key_Gps,"*"&amp;L$1&amp;"*"),IF(ISNUMBER(L$3),IF(OR(DATE(L$3,12,31) &lt; MIN(Date),DATE(L$3,1,1)&gt;MAX(Date)), "-", MIN(DATE(L$3,12,31),_xlpm.calc)),_xlpm.calc))</f>
        <v>#NAME?</v>
      </c>
      <c r="M5" s="154" t="e" cm="1">
        <f t="array" ref="M5">_xlfn.LET(_xlpm.calc,_xlfn.MAXIFS(Period_End,Key_Gps,"*"&amp;M$1&amp;"*"),IF(ISNUMBER(M$3),IF(OR(DATE(M$3,12,31) &lt; MIN(Date),DATE(M$3,1,1)&gt;MAX(Date)), "-", MIN(DATE(M$3,12,31),_xlpm.calc)),_xlpm.calc))</f>
        <v>#NAME?</v>
      </c>
      <c r="N5" s="53" t="str">
        <f>IF(ref!$B$2=1,"",_xlfn.CONCAT("Sample represents ",TEXT(ref!$B$2,"0%")," of class members."))</f>
        <v/>
      </c>
      <c r="O5" s="74"/>
      <c r="Q5" s="75" t="str">
        <f t="shared" si="3"/>
        <v/>
      </c>
      <c r="R5" s="76" t="str">
        <f t="shared" si="4"/>
        <v/>
      </c>
      <c r="S5" s="64" t="str">
        <f t="shared" ref="S5:S72" si="15">IF($C5="","",IF(OR(IFERROR(SEARCH("min wage",LOWER($C5)),0)&gt;0, IFERROR(SEARCH(" per ",LOWER($C5)),0)&gt;0, IFERROR(SEARCH("penalt",LOWER($C5)),0)&gt;0,IFERROR(SEARCH("total",LOWER($C5)),0)&gt;0,IFERROR(SEARCH("interest",LOWER($C5)),0)&gt;0,IFERROR(SEARCH("date",LOWER($C5)),0)&gt;0,IFERROR(SEARCH("employee",LOWER($C5)),0)&gt;0,IFERROR(SEARCH("average",LOWER($C5)),0)&gt;0,IFERROR(SEARCH("median",LOWER($C5)),0)&gt;0),"",1))</f>
        <v/>
      </c>
      <c r="T5" s="42" t="str">
        <f t="shared" si="5"/>
        <v/>
      </c>
      <c r="U5" s="42" t="str">
        <f t="shared" si="6"/>
        <v/>
      </c>
      <c r="V5" s="42" t="str">
        <f t="shared" si="7"/>
        <v/>
      </c>
      <c r="W5" s="42" t="str">
        <f t="shared" si="8"/>
        <v/>
      </c>
      <c r="X5" s="42" t="str">
        <f t="shared" si="9"/>
        <v/>
      </c>
      <c r="Y5" s="42" t="str">
        <f t="shared" si="10"/>
        <v/>
      </c>
      <c r="Z5" s="42" t="str">
        <f t="shared" si="11"/>
        <v/>
      </c>
      <c r="AA5" s="42" t="str">
        <f t="shared" si="12"/>
        <v/>
      </c>
      <c r="AB5" s="42" t="str">
        <f t="shared" si="13"/>
        <v/>
      </c>
      <c r="AC5" s="42" t="str">
        <f t="shared" si="14"/>
        <v/>
      </c>
    </row>
    <row r="6" spans="1:29" ht="28.8" outlineLevel="1" x14ac:dyDescent="0.25">
      <c r="A6" s="42" t="s">
        <v>13</v>
      </c>
      <c r="B6" s="315"/>
      <c r="C6" s="55" t="s">
        <v>17</v>
      </c>
      <c r="D6" s="194">
        <f>E6*ref!$B$4</f>
        <v>0</v>
      </c>
      <c r="E6" s="56" cm="1">
        <f t="array" ref="E6">IFERROR(ROWS(_xlfn.UNIQUE(_xlfn._xlws.FILTER(ID,(Date &gt;= E$4) * (Date &lt;= E$5) * (IFERROR(SEARCH(E$1, Key_Gps),0)&gt;0)))),0)</f>
        <v>0</v>
      </c>
      <c r="F6" s="56" cm="1">
        <f t="array" ref="F6">IFERROR(ROWS(_xlfn.UNIQUE(_xlfn._xlws.FILTER(ID,(Date &gt;= F$4) * (Date &lt;= F$5) * (IFERROR(SEARCH(F$1, Key_Gps),0)&gt;0)))),0)</f>
        <v>0</v>
      </c>
      <c r="G6" s="56" cm="1">
        <f t="array" ref="G6">IFERROR(ROWS(_xlfn.UNIQUE(_xlfn._xlws.FILTER(ID,(Date &gt;= G$4) * (Date &lt;= G$5) * (IFERROR(SEARCH(G$1, Key_Gps),0)&gt;0)))),0)</f>
        <v>0</v>
      </c>
      <c r="H6" s="56" cm="1">
        <f t="array" ref="H6">IFERROR(ROWS(_xlfn.UNIQUE(_xlfn._xlws.FILTER(ID,(Date &gt;= H$4) * (Date &lt;= H$5) * (IFERROR(SEARCH(H$1, Key_Gps),0)&gt;0)))),0)</f>
        <v>0</v>
      </c>
      <c r="I6" s="56" cm="1">
        <f t="array" ref="I6">IFERROR(ROWS(_xlfn.UNIQUE(_xlfn._xlws.FILTER(ID,(Date &gt;= I$4) * (Date &lt;= I$5) * (IFERROR(SEARCH(I$1, Key_Gps),0)&gt;0)))),0)</f>
        <v>0</v>
      </c>
      <c r="J6" s="56" cm="1">
        <f t="array" ref="J6">IFERROR(ROWS(_xlfn.UNIQUE(_xlfn._xlws.FILTER(ID,(Date &gt;= J$4) * (Date &lt;= J$5) * (IFERROR(SEARCH(J$1, Key_Gps),0)&gt;0)))),0)</f>
        <v>0</v>
      </c>
      <c r="K6" s="56" cm="1">
        <f t="array" ref="K6">IFERROR(ROWS(_xlfn.UNIQUE(_xlfn._xlws.FILTER(ID,(Date &gt;= K$4) * (Date &lt;= K$5) * (IFERROR(SEARCH(K$1, Key_Gps),0)&gt;0)))),0)</f>
        <v>0</v>
      </c>
      <c r="L6" s="56" cm="1">
        <f t="array" ref="L6">IFERROR(ROWS(_xlfn.UNIQUE(_xlfn._xlws.FILTER(ID,(Date &gt;= L$4) * (Date &lt;= L$5) * (IFERROR(SEARCH(L$1, Key_Gps),0)&gt;0)))),0)</f>
        <v>0</v>
      </c>
      <c r="M6" s="155" cm="1">
        <f t="array" ref="M6">IFERROR(ROWS(_xlfn.UNIQUE(_xlfn._xlws.FILTER(ID,(Date &gt;= M$4) * (Date &lt;= M$5) * (IFERROR(SEARCH(M$1, Key_Gps),0)&gt;0)))),0)</f>
        <v>0</v>
      </c>
      <c r="N6" s="151" t="s">
        <v>59</v>
      </c>
      <c r="O6" s="74"/>
      <c r="Q6" s="75" t="str">
        <f t="shared" si="3"/>
        <v/>
      </c>
      <c r="R6" s="76" t="str">
        <f t="shared" si="4"/>
        <v/>
      </c>
      <c r="S6" s="64" t="str">
        <f t="shared" si="15"/>
        <v/>
      </c>
      <c r="T6" s="42" t="str">
        <f t="shared" si="5"/>
        <v/>
      </c>
      <c r="U6" s="42" t="str">
        <f t="shared" si="6"/>
        <v/>
      </c>
      <c r="V6" s="42" t="str">
        <f t="shared" si="7"/>
        <v/>
      </c>
      <c r="W6" s="42" t="str">
        <f t="shared" si="8"/>
        <v/>
      </c>
      <c r="X6" s="42" t="str">
        <f t="shared" si="9"/>
        <v/>
      </c>
      <c r="Y6" s="42" t="str">
        <f t="shared" si="10"/>
        <v/>
      </c>
      <c r="Z6" s="42" t="str">
        <f t="shared" si="11"/>
        <v/>
      </c>
      <c r="AA6" s="42" t="str">
        <f t="shared" si="12"/>
        <v/>
      </c>
      <c r="AB6" s="42" t="str">
        <f t="shared" si="13"/>
        <v/>
      </c>
      <c r="AC6" s="42" t="str">
        <f t="shared" si="14"/>
        <v/>
      </c>
    </row>
    <row r="7" spans="1:29" ht="28.8" outlineLevel="1" x14ac:dyDescent="0.25">
      <c r="A7" s="42" t="s">
        <v>13</v>
      </c>
      <c r="B7" s="315"/>
      <c r="C7" s="55" t="s">
        <v>21</v>
      </c>
      <c r="D7" s="195" t="e">
        <f ca="1">ROUND((E7*ref!$B$4)/ref!$B$5,0)</f>
        <v>#NAME?</v>
      </c>
      <c r="E7" s="56" cm="1">
        <f t="array" ref="E7">IFERROR(ROWS(_xlfn.UNIQUE(_xlfn._xlws.FILTER(ID_Period_End,(Period_End &gt;= E$4) * (Period_End &lt;= E$5) * (IFERROR(SEARCH(E$1, Key_Gps),0)&gt;0)))),0)</f>
        <v>0</v>
      </c>
      <c r="F7" s="56" cm="1">
        <f t="array" ref="F7">IFERROR(ROWS(_xlfn.UNIQUE(_xlfn._xlws.FILTER(ID_Period_End,(Period_End &gt;= F$4) * (Period_End &lt;= F$5) * (IFERROR(SEARCH(F$1, Key_Gps),0)&gt;0)))),0)</f>
        <v>0</v>
      </c>
      <c r="G7" s="56" cm="1">
        <f t="array" ref="G7">IFERROR(ROWS(_xlfn.UNIQUE(_xlfn._xlws.FILTER(ID_Period_End,(Period_End &gt;= G$4) * (Period_End &lt;= G$5) * (IFERROR(SEARCH(G$1, Key_Gps),0)&gt;0)))),0)</f>
        <v>0</v>
      </c>
      <c r="H7" s="56" cm="1">
        <f t="array" ref="H7">IFERROR(ROWS(_xlfn.UNIQUE(_xlfn._xlws.FILTER(ID_Period_End,(Period_End &gt;= H$4) * (Period_End &lt;= H$5) * (IFERROR(SEARCH(H$1, Key_Gps),0)&gt;0)))),0)</f>
        <v>0</v>
      </c>
      <c r="I7" s="56" cm="1">
        <f t="array" ref="I7">IFERROR(ROWS(_xlfn.UNIQUE(_xlfn._xlws.FILTER(ID_Period_End,(Period_End &gt;= I$4) * (Period_End &lt;= I$5) * (IFERROR(SEARCH(I$1, Key_Gps),0)&gt;0)))),0)</f>
        <v>0</v>
      </c>
      <c r="J7" s="56" cm="1">
        <f t="array" ref="J7">IFERROR(ROWS(_xlfn.UNIQUE(_xlfn._xlws.FILTER(ID_Period_End,(Period_End &gt;= J$4) * (Period_End &lt;= J$5) * (IFERROR(SEARCH(J$1, Key_Gps),0)&gt;0)))),0)</f>
        <v>0</v>
      </c>
      <c r="K7" s="56" cm="1">
        <f t="array" ref="K7">IFERROR(ROWS(_xlfn.UNIQUE(_xlfn._xlws.FILTER(ID_Period_End,(Period_End &gt;= K$4) * (Period_End &lt;= K$5) * (IFERROR(SEARCH(K$1, Key_Gps),0)&gt;0)))),0)</f>
        <v>0</v>
      </c>
      <c r="L7" s="56" cm="1">
        <f t="array" ref="L7">IFERROR(ROWS(_xlfn.UNIQUE(_xlfn._xlws.FILTER(ID_Period_End,(Period_End &gt;= L$4) * (Period_End &lt;= L$5) * (IFERROR(SEARCH(L$1, Key_Gps),0)&gt;0)))),0)</f>
        <v>0</v>
      </c>
      <c r="M7" s="155" cm="1">
        <f t="array" ref="M7">IFERROR(ROWS(_xlfn.UNIQUE(_xlfn._xlws.FILTER(ID_Period_End,(Period_End &gt;= M$4) * (Period_End &lt;= M$5) * (IFERROR(SEARCH(M$1, Key_Gps),0)&gt;0)))),0)</f>
        <v>0</v>
      </c>
      <c r="N7" s="53" t="str">
        <f>IFERROR(IF(E7/E8&gt;1.25,"ERROR-REVIEW PAY SCHEDULE AND WEEKS!",IF(E7/E8&gt;0.9,"Pay schedule is weekly.",IF(E7/E8&lt;0.45,"Pay schedule is bimonthly.","Pay schedule is biweekly."))),"ERROR")</f>
        <v>ERROR</v>
      </c>
      <c r="O7" s="74"/>
      <c r="Q7" s="75" t="str">
        <f t="shared" si="3"/>
        <v/>
      </c>
      <c r="R7" s="76">
        <f t="shared" si="4"/>
        <v>0</v>
      </c>
      <c r="S7" s="64">
        <f t="shared" si="15"/>
        <v>1</v>
      </c>
      <c r="T7" s="42" t="e">
        <f t="shared" ca="1" si="5"/>
        <v>#NAME?</v>
      </c>
      <c r="U7" s="42">
        <f t="shared" si="6"/>
        <v>0</v>
      </c>
      <c r="V7" s="42">
        <f t="shared" si="7"/>
        <v>0</v>
      </c>
      <c r="W7" s="42">
        <f t="shared" si="8"/>
        <v>0</v>
      </c>
      <c r="X7" s="42">
        <f t="shared" si="9"/>
        <v>0</v>
      </c>
      <c r="Y7" s="42">
        <f t="shared" si="10"/>
        <v>0</v>
      </c>
      <c r="Z7" s="42">
        <f t="shared" si="11"/>
        <v>0</v>
      </c>
      <c r="AA7" s="42">
        <f t="shared" si="12"/>
        <v>0</v>
      </c>
      <c r="AB7" s="42">
        <f t="shared" si="13"/>
        <v>0</v>
      </c>
      <c r="AC7" s="42">
        <f t="shared" si="14"/>
        <v>0</v>
      </c>
    </row>
    <row r="8" spans="1:29" ht="28.8" outlineLevel="1" x14ac:dyDescent="0.25">
      <c r="A8" s="42" t="s">
        <v>13</v>
      </c>
      <c r="B8" s="315"/>
      <c r="C8" s="55" t="s">
        <v>60</v>
      </c>
      <c r="D8" s="195" t="e">
        <f ca="1">ROUND((E8*ref!$B$4)/ref!$B$5,0)</f>
        <v>#NAME?</v>
      </c>
      <c r="E8" s="56" t="e" cm="1">
        <f t="array" ref="E8">SUMIFS(week,Date,"&gt;="&amp;E$4,Date,"&lt;="&amp;E$5,Key_Gps,"*"&amp;E$1&amp;"*")</f>
        <v>#NAME?</v>
      </c>
      <c r="F8" s="56" t="e" cm="1">
        <f t="array" ref="F8">SUMIFS(week,Date,"&gt;="&amp;F$4,Date,"&lt;="&amp;F$5,Key_Gps,"*"&amp;F$1&amp;"*")</f>
        <v>#NAME?</v>
      </c>
      <c r="G8" s="56" t="e" cm="1">
        <f t="array" ref="G8">SUMIFS(week,Date,"&gt;="&amp;G$4,Date,"&lt;="&amp;G$5,Key_Gps,"*"&amp;G$1&amp;"*")</f>
        <v>#NAME?</v>
      </c>
      <c r="H8" s="56" t="e" cm="1">
        <f t="array" ref="H8">SUMIFS(week,Date,"&gt;="&amp;H$4,Date,"&lt;="&amp;H$5,Key_Gps,"*"&amp;H$1&amp;"*")</f>
        <v>#NAME?</v>
      </c>
      <c r="I8" s="56" t="e" cm="1">
        <f t="array" ref="I8">SUMIFS(week,Date,"&gt;="&amp;I$4,Date,"&lt;="&amp;I$5,Key_Gps,"*"&amp;I$1&amp;"*")</f>
        <v>#NAME?</v>
      </c>
      <c r="J8" s="56" t="e" cm="1">
        <f t="array" ref="J8">SUMIFS(week,Date,"&gt;="&amp;J$4,Date,"&lt;="&amp;J$5,Key_Gps,"*"&amp;J$1&amp;"*")</f>
        <v>#NAME?</v>
      </c>
      <c r="K8" s="56" t="e" cm="1">
        <f t="array" ref="K8">SUMIFS(week,Date,"&gt;="&amp;K$4,Date,"&lt;="&amp;K$5,Key_Gps,"*"&amp;K$1&amp;"*")</f>
        <v>#NAME?</v>
      </c>
      <c r="L8" s="56" t="e" cm="1">
        <f t="array" ref="L8">SUMIFS(week,Date,"&gt;="&amp;L$4,Date,"&lt;="&amp;L$5,Key_Gps,"*"&amp;L$1&amp;"*")</f>
        <v>#NAME?</v>
      </c>
      <c r="M8" s="155" t="e" cm="1">
        <f t="array" ref="M8">SUMIFS(week,Date,"&gt;="&amp;M$4,Date,"&lt;="&amp;M$5,Key_Gps,"*"&amp;M$1&amp;"*")</f>
        <v>#NAME?</v>
      </c>
      <c r="N8" s="53"/>
      <c r="O8" s="74"/>
      <c r="Q8" s="75" t="str">
        <f t="shared" si="3"/>
        <v/>
      </c>
      <c r="R8" s="76" t="e">
        <f t="shared" si="4"/>
        <v>#NAME?</v>
      </c>
      <c r="S8" s="64">
        <f t="shared" si="15"/>
        <v>1</v>
      </c>
      <c r="T8" s="42" t="e">
        <f t="shared" ca="1" si="5"/>
        <v>#NAME?</v>
      </c>
      <c r="U8" s="42" t="e">
        <f t="shared" si="6"/>
        <v>#NAME?</v>
      </c>
      <c r="V8" s="42" t="e">
        <f t="shared" si="7"/>
        <v>#NAME?</v>
      </c>
      <c r="W8" s="42" t="e">
        <f t="shared" si="8"/>
        <v>#NAME?</v>
      </c>
      <c r="X8" s="42" t="e">
        <f t="shared" si="9"/>
        <v>#NAME?</v>
      </c>
      <c r="Y8" s="42" t="e">
        <f t="shared" si="10"/>
        <v>#NAME?</v>
      </c>
      <c r="Z8" s="42" t="e">
        <f t="shared" si="11"/>
        <v>#NAME?</v>
      </c>
      <c r="AA8" s="42" t="e">
        <f t="shared" si="12"/>
        <v>#NAME?</v>
      </c>
      <c r="AB8" s="42" t="e">
        <f t="shared" si="13"/>
        <v>#NAME?</v>
      </c>
      <c r="AC8" s="42" t="e">
        <f t="shared" si="14"/>
        <v>#NAME?</v>
      </c>
    </row>
    <row r="9" spans="1:29" ht="28.8" outlineLevel="1" x14ac:dyDescent="0.25">
      <c r="A9" s="42" t="s">
        <v>13</v>
      </c>
      <c r="B9" s="315"/>
      <c r="C9" s="55" t="s">
        <v>61</v>
      </c>
      <c r="D9" s="195" t="e">
        <f ca="1">ROUND($E$10*D$8,0)</f>
        <v>#VALUE!</v>
      </c>
      <c r="E9" s="56" t="e" cm="1">
        <f t="array" ref="E9">COUNTIFS(Date,"&gt;="&amp;E$4,Date,"&lt;="&amp;E$5,Key_Gps,"*"&amp;E$1&amp;"*")</f>
        <v>#NAME?</v>
      </c>
      <c r="F9" s="56" t="e" cm="1">
        <f t="array" ref="F9">COUNTIFS(Date,"&gt;="&amp;F$4,Date,"&lt;="&amp;F$5,Key_Gps,"*"&amp;F$1&amp;"*")</f>
        <v>#NAME?</v>
      </c>
      <c r="G9" s="56" t="e" cm="1">
        <f t="array" ref="G9">COUNTIFS(Date,"&gt;="&amp;G$4,Date,"&lt;="&amp;G$5,Key_Gps,"*"&amp;G$1&amp;"*")</f>
        <v>#NAME?</v>
      </c>
      <c r="H9" s="56" t="e" cm="1">
        <f t="array" ref="H9">COUNTIFS(Date,"&gt;="&amp;H$4,Date,"&lt;="&amp;H$5,Key_Gps,"*"&amp;H$1&amp;"*")</f>
        <v>#NAME?</v>
      </c>
      <c r="I9" s="56" t="e" cm="1">
        <f t="array" ref="I9">COUNTIFS(Date,"&gt;="&amp;I$4,Date,"&lt;="&amp;I$5,Key_Gps,"*"&amp;I$1&amp;"*")</f>
        <v>#NAME?</v>
      </c>
      <c r="J9" s="56" t="e" cm="1">
        <f t="array" ref="J9">COUNTIFS(Date,"&gt;="&amp;J$4,Date,"&lt;="&amp;J$5,Key_Gps,"*"&amp;J$1&amp;"*")</f>
        <v>#NAME?</v>
      </c>
      <c r="K9" s="56" t="e" cm="1">
        <f t="array" ref="K9">COUNTIFS(Date,"&gt;="&amp;K$4,Date,"&lt;="&amp;K$5,Key_Gps,"*"&amp;K$1&amp;"*")</f>
        <v>#NAME?</v>
      </c>
      <c r="L9" s="56" t="e" cm="1">
        <f t="array" ref="L9">COUNTIFS(Date,"&gt;="&amp;L$4,Date,"&lt;="&amp;L$5,Key_Gps,"*"&amp;L$1&amp;"*")</f>
        <v>#NAME?</v>
      </c>
      <c r="M9" s="155" t="e" cm="1">
        <f t="array" ref="M9">COUNTIFS(Date,"&gt;="&amp;M$4,Date,"&lt;="&amp;M$5,Key_Gps,"*"&amp;M$1&amp;"*")</f>
        <v>#NAME?</v>
      </c>
      <c r="N9" s="53"/>
      <c r="O9" s="74"/>
      <c r="Q9" s="75" t="str">
        <f t="shared" si="3"/>
        <v/>
      </c>
      <c r="R9" s="76" t="e">
        <f t="shared" si="4"/>
        <v>#NAME?</v>
      </c>
      <c r="S9" s="64">
        <f t="shared" si="15"/>
        <v>1</v>
      </c>
      <c r="T9" s="42" t="e">
        <f t="shared" ca="1" si="5"/>
        <v>#VALUE!</v>
      </c>
      <c r="U9" s="42" t="e">
        <f t="shared" si="6"/>
        <v>#NAME?</v>
      </c>
      <c r="V9" s="42" t="e">
        <f t="shared" si="7"/>
        <v>#NAME?</v>
      </c>
      <c r="W9" s="42" t="e">
        <f t="shared" si="8"/>
        <v>#NAME?</v>
      </c>
      <c r="X9" s="42" t="e">
        <f t="shared" si="9"/>
        <v>#NAME?</v>
      </c>
      <c r="Y9" s="42" t="e">
        <f t="shared" si="10"/>
        <v>#NAME?</v>
      </c>
      <c r="Z9" s="42" t="e">
        <f t="shared" si="11"/>
        <v>#NAME?</v>
      </c>
      <c r="AA9" s="42" t="e">
        <f t="shared" si="12"/>
        <v>#NAME?</v>
      </c>
      <c r="AB9" s="42" t="e">
        <f t="shared" si="13"/>
        <v>#NAME?</v>
      </c>
      <c r="AC9" s="42" t="e">
        <f t="shared" si="14"/>
        <v>#NAME?</v>
      </c>
    </row>
    <row r="10" spans="1:29" ht="28.8" outlineLevel="1" x14ac:dyDescent="0.25">
      <c r="A10" s="42" t="s">
        <v>13</v>
      </c>
      <c r="B10" s="315"/>
      <c r="C10" s="55" t="s">
        <v>62</v>
      </c>
      <c r="D10" s="196" t="str">
        <f t="shared" ref="D10" ca="1" si="16">IFERROR(D9/D8,"-")</f>
        <v>-</v>
      </c>
      <c r="E10" s="77" t="str">
        <f t="shared" ref="E10" si="17">IFERROR(E9/E8,"-")</f>
        <v>-</v>
      </c>
      <c r="F10" s="77" t="str">
        <f t="shared" ref="F10:L10" si="18">IFERROR(F9/F8,"-")</f>
        <v>-</v>
      </c>
      <c r="G10" s="77" t="str">
        <f t="shared" si="18"/>
        <v>-</v>
      </c>
      <c r="H10" s="77" t="str">
        <f t="shared" si="18"/>
        <v>-</v>
      </c>
      <c r="I10" s="77" t="str">
        <f t="shared" si="18"/>
        <v>-</v>
      </c>
      <c r="J10" s="77" t="str">
        <f t="shared" ref="J10:K10" si="19">IFERROR(J9/J8,"-")</f>
        <v>-</v>
      </c>
      <c r="K10" s="77" t="str">
        <f t="shared" si="19"/>
        <v>-</v>
      </c>
      <c r="L10" s="77" t="str">
        <f t="shared" si="18"/>
        <v>-</v>
      </c>
      <c r="M10" s="163" t="str">
        <f t="shared" ref="M10" si="20">IFERROR(M9/M8,"-")</f>
        <v>-</v>
      </c>
      <c r="N10" s="53"/>
      <c r="O10" s="74"/>
      <c r="Q10" s="75" t="str">
        <f t="shared" si="3"/>
        <v/>
      </c>
      <c r="R10" s="76" t="str">
        <f t="shared" si="4"/>
        <v/>
      </c>
      <c r="S10" s="64" t="str">
        <f t="shared" si="15"/>
        <v/>
      </c>
      <c r="T10" s="42" t="str">
        <f t="shared" si="5"/>
        <v/>
      </c>
      <c r="U10" s="42" t="str">
        <f t="shared" si="6"/>
        <v/>
      </c>
      <c r="V10" s="42" t="str">
        <f t="shared" si="7"/>
        <v/>
      </c>
      <c r="W10" s="42" t="str">
        <f t="shared" si="8"/>
        <v/>
      </c>
      <c r="X10" s="42" t="str">
        <f t="shared" si="9"/>
        <v/>
      </c>
      <c r="Y10" s="42" t="str">
        <f t="shared" si="10"/>
        <v/>
      </c>
      <c r="Z10" s="42" t="str">
        <f t="shared" si="11"/>
        <v/>
      </c>
      <c r="AA10" s="42" t="str">
        <f t="shared" si="12"/>
        <v/>
      </c>
      <c r="AB10" s="42" t="str">
        <f t="shared" si="13"/>
        <v/>
      </c>
      <c r="AC10" s="42" t="str">
        <f t="shared" si="14"/>
        <v/>
      </c>
    </row>
    <row r="11" spans="1:29" ht="28.8" outlineLevel="1" x14ac:dyDescent="0.25">
      <c r="A11" s="42" t="s">
        <v>13</v>
      </c>
      <c r="B11" s="315"/>
      <c r="C11" s="55" t="s">
        <v>216</v>
      </c>
      <c r="D11" s="197" t="str">
        <f>E11</f>
        <v>-</v>
      </c>
      <c r="E11" s="78" t="str" cm="1">
        <f t="array" ref="E11">IFERROR(AVERAGEIFS(shift_hrs, Date,"&gt;="&amp;E$4,Date,"&lt;="&amp;E$5,Key_Gps,"*"&amp;E$1&amp;"*"),"-")</f>
        <v>-</v>
      </c>
      <c r="F11" s="78" t="str" cm="1">
        <f t="array" ref="F11">IFERROR(AVERAGEIFS(shift_hrs, Date,"&gt;="&amp;F$4,Date,"&lt;="&amp;F$5,Key_Gps,"*"&amp;F$1&amp;"*"),"-")</f>
        <v>-</v>
      </c>
      <c r="G11" s="78" t="str" cm="1">
        <f t="array" ref="G11">IFERROR(AVERAGEIFS(shift_hrs, Date,"&gt;="&amp;G$4,Date,"&lt;="&amp;G$5,Key_Gps,"*"&amp;G$1&amp;"*"),"-")</f>
        <v>-</v>
      </c>
      <c r="H11" s="78" t="str" cm="1">
        <f t="array" ref="H11">IFERROR(AVERAGEIFS(shift_hrs, Date,"&gt;="&amp;H$4,Date,"&lt;="&amp;H$5,Key_Gps,"*"&amp;H$1&amp;"*"),"-")</f>
        <v>-</v>
      </c>
      <c r="I11" s="78" t="str" cm="1">
        <f t="array" ref="I11">IFERROR(AVERAGEIFS(shift_hrs, Date,"&gt;="&amp;I$4,Date,"&lt;="&amp;I$5,Key_Gps,"*"&amp;I$1&amp;"*"),"-")</f>
        <v>-</v>
      </c>
      <c r="J11" s="78" t="str" cm="1">
        <f t="array" ref="J11">IFERROR(AVERAGEIFS(shift_hrs, Date,"&gt;="&amp;J$4,Date,"&lt;="&amp;J$5,Key_Gps,"*"&amp;J$1&amp;"*"),"-")</f>
        <v>-</v>
      </c>
      <c r="K11" s="78" t="str" cm="1">
        <f t="array" ref="K11">IFERROR(AVERAGEIFS(shift_hrs, Date,"&gt;="&amp;K$4,Date,"&lt;="&amp;K$5,Key_Gps,"*"&amp;K$1&amp;"*"),"-")</f>
        <v>-</v>
      </c>
      <c r="L11" s="78" t="str" cm="1">
        <f t="array" ref="L11">IFERROR(AVERAGEIFS(shift_hrs, Date,"&gt;="&amp;L$4,Date,"&lt;="&amp;L$5,Key_Gps,"*"&amp;L$1&amp;"*"),"-")</f>
        <v>-</v>
      </c>
      <c r="M11" s="164" t="str" cm="1">
        <f t="array" ref="M11">IFERROR(AVERAGEIFS(shift_hrs, Date,"&gt;="&amp;M$4,Date,"&lt;="&amp;M$5,Key_Gps,"*"&amp;M$1&amp;"*"),"-")</f>
        <v>-</v>
      </c>
      <c r="N11" s="53"/>
      <c r="O11" s="74"/>
      <c r="Q11" s="75" t="str">
        <f t="shared" si="3"/>
        <v/>
      </c>
      <c r="R11" s="76" t="str">
        <f t="shared" si="4"/>
        <v/>
      </c>
      <c r="S11" s="64" t="str">
        <f t="shared" si="15"/>
        <v/>
      </c>
      <c r="T11" s="42" t="str">
        <f t="shared" si="5"/>
        <v/>
      </c>
      <c r="U11" s="42" t="str">
        <f t="shared" si="6"/>
        <v/>
      </c>
      <c r="V11" s="42" t="str">
        <f t="shared" si="7"/>
        <v/>
      </c>
      <c r="W11" s="42" t="str">
        <f t="shared" si="8"/>
        <v/>
      </c>
      <c r="X11" s="42" t="str">
        <f t="shared" si="9"/>
        <v/>
      </c>
      <c r="Y11" s="42" t="str">
        <f t="shared" si="10"/>
        <v/>
      </c>
      <c r="Z11" s="42" t="str">
        <f t="shared" si="11"/>
        <v/>
      </c>
      <c r="AA11" s="42" t="str">
        <f t="shared" si="12"/>
        <v/>
      </c>
      <c r="AB11" s="42" t="str">
        <f t="shared" si="13"/>
        <v/>
      </c>
      <c r="AC11" s="42" t="str">
        <f t="shared" si="14"/>
        <v/>
      </c>
    </row>
    <row r="12" spans="1:29" ht="28.8" outlineLevel="1" x14ac:dyDescent="0.25">
      <c r="A12" s="42" t="s">
        <v>13</v>
      </c>
      <c r="B12" s="315"/>
      <c r="C12" s="55" t="s">
        <v>600</v>
      </c>
      <c r="D12" s="197" t="str">
        <f>E12</f>
        <v>-</v>
      </c>
      <c r="E12" s="78" t="str" cm="1">
        <f t="array" ref="E12">IFERROR(MEDIAN(IF((Date &gt;= E$4) * (Date &lt;= E$5) * (IFERROR(SEARCH(E$1, Key_Gps),0)&gt;0),shift_hrs)),"-")</f>
        <v>-</v>
      </c>
      <c r="F12" s="78" t="str" cm="1">
        <f t="array" ref="F12">IFERROR(MEDIAN(IF((Date &gt;= F$4) * (Date &lt;= F$5) * (IFERROR(SEARCH(F$1, Key_Gps),0)&gt;0),shift_hrs)),"-")</f>
        <v>-</v>
      </c>
      <c r="G12" s="78" t="str" cm="1">
        <f t="array" ref="G12">IFERROR(MEDIAN(IF((Date &gt;= G$4) * (Date &lt;= G$5) * (IFERROR(SEARCH(G$1, Key_Gps),0)&gt;0),shift_hrs)),"-")</f>
        <v>-</v>
      </c>
      <c r="H12" s="78" t="str" cm="1">
        <f t="array" ref="H12">IFERROR(MEDIAN(IF((Date &gt;= H$4) * (Date &lt;= H$5) * (IFERROR(SEARCH(H$1, Key_Gps),0)&gt;0),shift_hrs)),"-")</f>
        <v>-</v>
      </c>
      <c r="I12" s="78" t="str" cm="1">
        <f t="array" ref="I12">IFERROR(MEDIAN(IF((Date &gt;= I$4) * (Date &lt;= I$5) * (IFERROR(SEARCH(I$1, Key_Gps),0)&gt;0),shift_hrs)),"-")</f>
        <v>-</v>
      </c>
      <c r="J12" s="78" t="str" cm="1">
        <f t="array" ref="J12">IFERROR(MEDIAN(IF((Date &gt;= J$4) * (Date &lt;= J$5) * (IFERROR(SEARCH(J$1, Key_Gps),0)&gt;0),shift_hrs)),"-")</f>
        <v>-</v>
      </c>
      <c r="K12" s="78" t="str" cm="1">
        <f t="array" ref="K12">IFERROR(MEDIAN(IF((Date &gt;= K$4) * (Date &lt;= K$5) * (IFERROR(SEARCH(K$1, Key_Gps),0)&gt;0),shift_hrs)),"-")</f>
        <v>-</v>
      </c>
      <c r="L12" s="78" t="str" cm="1">
        <f t="array" ref="L12">IFERROR(MEDIAN(IF((Date &gt;= L$4) * (Date &lt;= L$5) * (IFERROR(SEARCH(L$1, Key_Gps),0)&gt;0),shift_hrs)),"-")</f>
        <v>-</v>
      </c>
      <c r="M12" s="164" t="str" cm="1">
        <f t="array" ref="M12">IFERROR(MEDIAN(IF((Date &gt;= M$4) * (Date &lt;= M$5) * (IFERROR(SEARCH(M$1, Key_Gps),0)&gt;0),shift_hrs)),"-")</f>
        <v>-</v>
      </c>
      <c r="N12" s="53"/>
      <c r="O12" s="74"/>
      <c r="Q12" s="75" t="str">
        <f t="shared" si="3"/>
        <v/>
      </c>
      <c r="R12" s="76" t="str">
        <f t="shared" si="4"/>
        <v/>
      </c>
      <c r="S12" s="64" t="str">
        <f t="shared" si="15"/>
        <v/>
      </c>
      <c r="T12" s="42" t="str">
        <f t="shared" si="5"/>
        <v/>
      </c>
      <c r="U12" s="42" t="str">
        <f t="shared" si="6"/>
        <v/>
      </c>
      <c r="V12" s="42" t="str">
        <f t="shared" si="7"/>
        <v/>
      </c>
      <c r="W12" s="42" t="str">
        <f t="shared" si="8"/>
        <v/>
      </c>
      <c r="X12" s="42" t="str">
        <f t="shared" si="9"/>
        <v/>
      </c>
      <c r="Y12" s="42" t="str">
        <f t="shared" si="10"/>
        <v/>
      </c>
      <c r="Z12" s="42" t="str">
        <f t="shared" si="11"/>
        <v/>
      </c>
      <c r="AA12" s="42" t="str">
        <f t="shared" si="12"/>
        <v/>
      </c>
      <c r="AB12" s="42" t="str">
        <f t="shared" si="13"/>
        <v/>
      </c>
      <c r="AC12" s="42" t="str">
        <f t="shared" si="14"/>
        <v/>
      </c>
    </row>
    <row r="13" spans="1:29" ht="28.8" outlineLevel="1" x14ac:dyDescent="0.25">
      <c r="A13" s="42" t="s">
        <v>13</v>
      </c>
      <c r="B13" s="315"/>
      <c r="C13" s="55" t="s">
        <v>63</v>
      </c>
      <c r="D13" s="195" t="str">
        <f t="shared" ref="D13:D20" ca="1" si="21">_xlfn.LET(_xlpm.denom,D$9,_xlpm.calc,ROUND($Q13*_xlpm.denom,0),_xlpm.perc,_xlpm.calc/_xlpm.denom,IFERROR(IF(_xlpm.calc&lt;1000,_xlfn.CONCAT(_xlpm.calc," (",TEXT(_xlpm.perc,"0.0%"),")"),_xlfn.CONCAT(TEXT(_xlpm.calc,"0,000")," (",TEXT(_xlpm.perc,"0.0%"),")")),"-"))</f>
        <v>-</v>
      </c>
      <c r="E13" s="65" t="str" cm="1">
        <f t="array" ref="E13">_xlfn.LET(_xlpm.denom,E$9,_xlpm.calc,COUNTIFS(Date,"&gt;="&amp;E$4,Date,"&lt;="&amp;E$5,shift_hrs,"&gt;"&amp;$P13,Key_Gps,"*"&amp;E$1&amp;"*"),_xlpm.perc,_xlpm.calc/_xlpm.denom,IFERROR(IF(_xlpm.calc&lt;1000,_xlfn.CONCAT(_xlpm.calc," (",TEXT(_xlpm.perc,"0.0%"),")"),_xlfn.CONCAT(TEXT(_xlpm.calc,"0,000")," (",TEXT(_xlpm.perc,"0.0%"),")")),"-"))</f>
        <v>-</v>
      </c>
      <c r="F13" s="65" t="str" cm="1">
        <f t="array" ref="F13">_xlfn.LET(_xlpm.denom,F$9,_xlpm.calc,COUNTIFS(Date,"&gt;="&amp;F$4,Date,"&lt;="&amp;F$5,shift_hrs,"&gt;"&amp;$P13,Key_Gps,"*"&amp;F$1&amp;"*"),_xlpm.perc,_xlpm.calc/_xlpm.denom,IFERROR(IF(_xlpm.calc&lt;1000,_xlfn.CONCAT(_xlpm.calc," (",TEXT(_xlpm.perc,"0.0%"),")"),_xlfn.CONCAT(TEXT(_xlpm.calc,"0,000")," (",TEXT(_xlpm.perc,"0.0%"),")")),"-"))</f>
        <v>-</v>
      </c>
      <c r="G13" s="65" t="str" cm="1">
        <f t="array" ref="G13">_xlfn.LET(_xlpm.denom,G$9,_xlpm.calc,COUNTIFS(Date,"&gt;="&amp;G$4,Date,"&lt;="&amp;G$5,shift_hrs,"&gt;"&amp;$P13,Key_Gps,"*"&amp;G$1&amp;"*"),_xlpm.perc,_xlpm.calc/_xlpm.denom,IFERROR(IF(_xlpm.calc&lt;1000,_xlfn.CONCAT(_xlpm.calc," (",TEXT(_xlpm.perc,"0.0%"),")"),_xlfn.CONCAT(TEXT(_xlpm.calc,"0,000")," (",TEXT(_xlpm.perc,"0.0%"),")")),"-"))</f>
        <v>-</v>
      </c>
      <c r="H13" s="65" t="str" cm="1">
        <f t="array" ref="H13">_xlfn.LET(_xlpm.denom,H$9,_xlpm.calc,COUNTIFS(Date,"&gt;="&amp;H$4,Date,"&lt;="&amp;H$5,shift_hrs,"&gt;"&amp;$P13,Key_Gps,"*"&amp;H$1&amp;"*"),_xlpm.perc,_xlpm.calc/_xlpm.denom,IFERROR(IF(_xlpm.calc&lt;1000,_xlfn.CONCAT(_xlpm.calc," (",TEXT(_xlpm.perc,"0.0%"),")"),_xlfn.CONCAT(TEXT(_xlpm.calc,"0,000")," (",TEXT(_xlpm.perc,"0.0%"),")")),"-"))</f>
        <v>-</v>
      </c>
      <c r="I13" s="65" t="str" cm="1">
        <f t="array" ref="I13">_xlfn.LET(_xlpm.denom,I$9,_xlpm.calc,COUNTIFS(Date,"&gt;="&amp;I$4,Date,"&lt;="&amp;I$5,shift_hrs,"&gt;"&amp;$P13,Key_Gps,"*"&amp;I$1&amp;"*"),_xlpm.perc,_xlpm.calc/_xlpm.denom,IFERROR(IF(_xlpm.calc&lt;1000,_xlfn.CONCAT(_xlpm.calc," (",TEXT(_xlpm.perc,"0.0%"),")"),_xlfn.CONCAT(TEXT(_xlpm.calc,"0,000")," (",TEXT(_xlpm.perc,"0.0%"),")")),"-"))</f>
        <v>-</v>
      </c>
      <c r="J13" s="65" t="str" cm="1">
        <f t="array" ref="J13">_xlfn.LET(_xlpm.denom,J$9,_xlpm.calc,COUNTIFS(Date,"&gt;="&amp;J$4,Date,"&lt;="&amp;J$5,shift_hrs,"&gt;"&amp;$P13,Key_Gps,"*"&amp;J$1&amp;"*"),_xlpm.perc,_xlpm.calc/_xlpm.denom,IFERROR(IF(_xlpm.calc&lt;1000,_xlfn.CONCAT(_xlpm.calc," (",TEXT(_xlpm.perc,"0.0%"),")"),_xlfn.CONCAT(TEXT(_xlpm.calc,"0,000")," (",TEXT(_xlpm.perc,"0.0%"),")")),"-"))</f>
        <v>-</v>
      </c>
      <c r="K13" s="65" t="str" cm="1">
        <f t="array" ref="K13">_xlfn.LET(_xlpm.denom,K$9,_xlpm.calc,COUNTIFS(Date,"&gt;="&amp;K$4,Date,"&lt;="&amp;K$5,shift_hrs,"&gt;"&amp;$P13,Key_Gps,"*"&amp;K$1&amp;"*"),_xlpm.perc,_xlpm.calc/_xlpm.denom,IFERROR(IF(_xlpm.calc&lt;1000,_xlfn.CONCAT(_xlpm.calc," (",TEXT(_xlpm.perc,"0.0%"),")"),_xlfn.CONCAT(TEXT(_xlpm.calc,"0,000")," (",TEXT(_xlpm.perc,"0.0%"),")")),"-"))</f>
        <v>-</v>
      </c>
      <c r="L13" s="65" t="str" cm="1">
        <f t="array" ref="L13">_xlfn.LET(_xlpm.denom,L$9,_xlpm.calc,COUNTIFS(Date,"&gt;="&amp;L$4,Date,"&lt;="&amp;L$5,shift_hrs,"&gt;"&amp;$P13,Key_Gps,"*"&amp;L$1&amp;"*"),_xlpm.perc,_xlpm.calc/_xlpm.denom,IFERROR(IF(_xlpm.calc&lt;1000,_xlfn.CONCAT(_xlpm.calc," (",TEXT(_xlpm.perc,"0.0%"),")"),_xlfn.CONCAT(TEXT(_xlpm.calc,"0,000")," (",TEXT(_xlpm.perc,"0.0%"),")")),"-"))</f>
        <v>-</v>
      </c>
      <c r="M13" s="155" t="str" cm="1">
        <f t="array" ref="M13">_xlfn.LET(_xlpm.denom,M$9,_xlpm.calc,COUNTIFS(Date,"&gt;="&amp;M$4,Date,"&lt;="&amp;M$5,shift_hrs,"&gt;"&amp;$P13,Key_Gps,"*"&amp;M$1&amp;"*"),_xlpm.perc,_xlpm.calc/_xlpm.denom,IFERROR(IF(_xlpm.calc&lt;1000,_xlfn.CONCAT(_xlpm.calc," (",TEXT(_xlpm.perc,"0.0%"),")"),_xlfn.CONCAT(TEXT(_xlpm.calc,"0,000")," (",TEXT(_xlpm.perc,"0.0%"),")")),"-"))</f>
        <v>-</v>
      </c>
      <c r="N13" s="53" t="s">
        <v>64</v>
      </c>
      <c r="O13" s="74"/>
      <c r="P13" s="42">
        <v>3.5</v>
      </c>
      <c r="Q13" s="75" t="str">
        <f t="shared" si="3"/>
        <v/>
      </c>
      <c r="R13" s="76" t="e">
        <f t="shared" si="4"/>
        <v>#VALUE!</v>
      </c>
      <c r="S13" s="64">
        <f t="shared" si="15"/>
        <v>1</v>
      </c>
      <c r="T13" s="42" t="str">
        <f t="shared" ca="1" si="5"/>
        <v>-</v>
      </c>
      <c r="U13" s="42" t="str">
        <f t="shared" si="6"/>
        <v>-</v>
      </c>
      <c r="V13" s="42" t="str">
        <f t="shared" si="7"/>
        <v>-</v>
      </c>
      <c r="W13" s="42" t="str">
        <f t="shared" si="8"/>
        <v>-</v>
      </c>
      <c r="X13" s="42" t="str">
        <f t="shared" si="9"/>
        <v>-</v>
      </c>
      <c r="Y13" s="42" t="str">
        <f t="shared" si="10"/>
        <v>-</v>
      </c>
      <c r="Z13" s="42" t="str">
        <f t="shared" si="11"/>
        <v>-</v>
      </c>
      <c r="AA13" s="42" t="str">
        <f t="shared" si="12"/>
        <v>-</v>
      </c>
      <c r="AB13" s="42" t="str">
        <f t="shared" si="13"/>
        <v>-</v>
      </c>
      <c r="AC13" s="42" t="str">
        <f t="shared" si="14"/>
        <v>-</v>
      </c>
    </row>
    <row r="14" spans="1:29" ht="28.8" outlineLevel="1" x14ac:dyDescent="0.25">
      <c r="A14" s="42" t="s">
        <v>13</v>
      </c>
      <c r="B14" s="315"/>
      <c r="C14" s="55" t="s">
        <v>65</v>
      </c>
      <c r="D14" s="195" t="str">
        <f t="shared" ca="1" si="21"/>
        <v>-</v>
      </c>
      <c r="E14" s="65" t="str" cm="1">
        <f t="array" ref="E14">_xlfn.LET(_xlpm.denom,E$9,_xlpm.calc,COUNTIFS(Date,"&gt;="&amp;E$4,Date,"&lt;="&amp;E$5,shift_hrs,"&gt;"&amp;$P14,Key_Gps,"*"&amp;E$1&amp;"*"),_xlpm.perc,_xlpm.calc/_xlpm.denom,IFERROR(IF(_xlpm.calc&lt;1000,_xlfn.CONCAT(_xlpm.calc," (",TEXT(_xlpm.perc,"0.0%"),")"),_xlfn.CONCAT(TEXT(_xlpm.calc,"0,000")," (",TEXT(_xlpm.perc,"0.0%"),")")),"-"))</f>
        <v>-</v>
      </c>
      <c r="F14" s="65" t="str" cm="1">
        <f t="array" ref="F14">_xlfn.LET(_xlpm.denom,F$9,_xlpm.calc,COUNTIFS(Date,"&gt;="&amp;F$4,Date,"&lt;="&amp;F$5,shift_hrs,"&gt;"&amp;$P14,Key_Gps,"*"&amp;F$1&amp;"*"),_xlpm.perc,_xlpm.calc/_xlpm.denom,IFERROR(IF(_xlpm.calc&lt;1000,_xlfn.CONCAT(_xlpm.calc," (",TEXT(_xlpm.perc,"0.0%"),")"),_xlfn.CONCAT(TEXT(_xlpm.calc,"0,000")," (",TEXT(_xlpm.perc,"0.0%"),")")),"-"))</f>
        <v>-</v>
      </c>
      <c r="G14" s="65" t="str" cm="1">
        <f t="array" ref="G14">_xlfn.LET(_xlpm.denom,G$9,_xlpm.calc,COUNTIFS(Date,"&gt;="&amp;G$4,Date,"&lt;="&amp;G$5,shift_hrs,"&gt;"&amp;$P14,Key_Gps,"*"&amp;G$1&amp;"*"),_xlpm.perc,_xlpm.calc/_xlpm.denom,IFERROR(IF(_xlpm.calc&lt;1000,_xlfn.CONCAT(_xlpm.calc," (",TEXT(_xlpm.perc,"0.0%"),")"),_xlfn.CONCAT(TEXT(_xlpm.calc,"0,000")," (",TEXT(_xlpm.perc,"0.0%"),")")),"-"))</f>
        <v>-</v>
      </c>
      <c r="H14" s="65" t="str" cm="1">
        <f t="array" ref="H14">_xlfn.LET(_xlpm.denom,H$9,_xlpm.calc,COUNTIFS(Date,"&gt;="&amp;H$4,Date,"&lt;="&amp;H$5,shift_hrs,"&gt;"&amp;$P14,Key_Gps,"*"&amp;H$1&amp;"*"),_xlpm.perc,_xlpm.calc/_xlpm.denom,IFERROR(IF(_xlpm.calc&lt;1000,_xlfn.CONCAT(_xlpm.calc," (",TEXT(_xlpm.perc,"0.0%"),")"),_xlfn.CONCAT(TEXT(_xlpm.calc,"0,000")," (",TEXT(_xlpm.perc,"0.0%"),")")),"-"))</f>
        <v>-</v>
      </c>
      <c r="I14" s="65" t="str" cm="1">
        <f t="array" ref="I14">_xlfn.LET(_xlpm.denom,I$9,_xlpm.calc,COUNTIFS(Date,"&gt;="&amp;I$4,Date,"&lt;="&amp;I$5,shift_hrs,"&gt;"&amp;$P14,Key_Gps,"*"&amp;I$1&amp;"*"),_xlpm.perc,_xlpm.calc/_xlpm.denom,IFERROR(IF(_xlpm.calc&lt;1000,_xlfn.CONCAT(_xlpm.calc," (",TEXT(_xlpm.perc,"0.0%"),")"),_xlfn.CONCAT(TEXT(_xlpm.calc,"0,000")," (",TEXT(_xlpm.perc,"0.0%"),")")),"-"))</f>
        <v>-</v>
      </c>
      <c r="J14" s="65" t="str" cm="1">
        <f t="array" ref="J14">_xlfn.LET(_xlpm.denom,J$9,_xlpm.calc,COUNTIFS(Date,"&gt;="&amp;J$4,Date,"&lt;="&amp;J$5,shift_hrs,"&gt;"&amp;$P14,Key_Gps,"*"&amp;J$1&amp;"*"),_xlpm.perc,_xlpm.calc/_xlpm.denom,IFERROR(IF(_xlpm.calc&lt;1000,_xlfn.CONCAT(_xlpm.calc," (",TEXT(_xlpm.perc,"0.0%"),")"),_xlfn.CONCAT(TEXT(_xlpm.calc,"0,000")," (",TEXT(_xlpm.perc,"0.0%"),")")),"-"))</f>
        <v>-</v>
      </c>
      <c r="K14" s="65" t="str" cm="1">
        <f t="array" ref="K14">_xlfn.LET(_xlpm.denom,K$9,_xlpm.calc,COUNTIFS(Date,"&gt;="&amp;K$4,Date,"&lt;="&amp;K$5,shift_hrs,"&gt;"&amp;$P14,Key_Gps,"*"&amp;K$1&amp;"*"),_xlpm.perc,_xlpm.calc/_xlpm.denom,IFERROR(IF(_xlpm.calc&lt;1000,_xlfn.CONCAT(_xlpm.calc," (",TEXT(_xlpm.perc,"0.0%"),")"),_xlfn.CONCAT(TEXT(_xlpm.calc,"0,000")," (",TEXT(_xlpm.perc,"0.0%"),")")),"-"))</f>
        <v>-</v>
      </c>
      <c r="L14" s="65" t="str" cm="1">
        <f t="array" ref="L14">_xlfn.LET(_xlpm.denom,L$9,_xlpm.calc,COUNTIFS(Date,"&gt;="&amp;L$4,Date,"&lt;="&amp;L$5,shift_hrs,"&gt;"&amp;$P14,Key_Gps,"*"&amp;L$1&amp;"*"),_xlpm.perc,_xlpm.calc/_xlpm.denom,IFERROR(IF(_xlpm.calc&lt;1000,_xlfn.CONCAT(_xlpm.calc," (",TEXT(_xlpm.perc,"0.0%"),")"),_xlfn.CONCAT(TEXT(_xlpm.calc,"0,000")," (",TEXT(_xlpm.perc,"0.0%"),")")),"-"))</f>
        <v>-</v>
      </c>
      <c r="M14" s="155" t="str" cm="1">
        <f t="array" ref="M14">_xlfn.LET(_xlpm.denom,M$9,_xlpm.calc,COUNTIFS(Date,"&gt;="&amp;M$4,Date,"&lt;="&amp;M$5,shift_hrs,"&gt;"&amp;$P14,Key_Gps,"*"&amp;M$1&amp;"*"),_xlpm.perc,_xlpm.calc/_xlpm.denom,IFERROR(IF(_xlpm.calc&lt;1000,_xlfn.CONCAT(_xlpm.calc," (",TEXT(_xlpm.perc,"0.0%"),")"),_xlfn.CONCAT(TEXT(_xlpm.calc,"0,000")," (",TEXT(_xlpm.perc,"0.0%"),")")),"-"))</f>
        <v>-</v>
      </c>
      <c r="N14" s="53" t="s">
        <v>64</v>
      </c>
      <c r="O14" s="74"/>
      <c r="P14" s="42">
        <v>5</v>
      </c>
      <c r="Q14" s="75" t="str">
        <f t="shared" si="3"/>
        <v/>
      </c>
      <c r="R14" s="76" t="e">
        <f t="shared" si="4"/>
        <v>#VALUE!</v>
      </c>
      <c r="S14" s="64">
        <f t="shared" si="15"/>
        <v>1</v>
      </c>
      <c r="T14" s="42" t="str">
        <f t="shared" ca="1" si="5"/>
        <v>-</v>
      </c>
      <c r="U14" s="42" t="str">
        <f t="shared" si="6"/>
        <v>-</v>
      </c>
      <c r="V14" s="42" t="str">
        <f t="shared" si="7"/>
        <v>-</v>
      </c>
      <c r="W14" s="42" t="str">
        <f t="shared" si="8"/>
        <v>-</v>
      </c>
      <c r="X14" s="42" t="str">
        <f t="shared" si="9"/>
        <v>-</v>
      </c>
      <c r="Y14" s="42" t="str">
        <f t="shared" si="10"/>
        <v>-</v>
      </c>
      <c r="Z14" s="42" t="str">
        <f t="shared" si="11"/>
        <v>-</v>
      </c>
      <c r="AA14" s="42" t="str">
        <f t="shared" si="12"/>
        <v>-</v>
      </c>
      <c r="AB14" s="42" t="str">
        <f t="shared" si="13"/>
        <v>-</v>
      </c>
      <c r="AC14" s="42" t="str">
        <f t="shared" si="14"/>
        <v>-</v>
      </c>
    </row>
    <row r="15" spans="1:29" ht="28.8" outlineLevel="1" x14ac:dyDescent="0.25">
      <c r="A15" s="42" t="s">
        <v>13</v>
      </c>
      <c r="B15" s="315"/>
      <c r="C15" s="55" t="s">
        <v>66</v>
      </c>
      <c r="D15" s="195" t="str">
        <f t="shared" ca="1" si="21"/>
        <v>-</v>
      </c>
      <c r="E15" s="65" t="str" cm="1">
        <f t="array" ref="E15">_xlfn.LET(_xlpm.denom,E$9,_xlpm.calc,COUNTIFS(Date,"&gt;="&amp;E$4,Date,"&lt;="&amp;E$5,shift_hrs,"&gt;"&amp;$P14,shift_hrs,"&lt;="&amp;$P15,Key_Gps,"*"&amp;E$1&amp;"*"),_xlpm.perc,_xlpm.calc/_xlpm.denom,IFERROR(IF(_xlpm.calc&lt;1000,_xlfn.CONCAT(_xlpm.calc," (",TEXT(_xlpm.perc,"0.0%"),")"),_xlfn.CONCAT(TEXT(_xlpm.calc,"0,000")," (",TEXT(_xlpm.perc,"0.0%"),")")),"-"))</f>
        <v>-</v>
      </c>
      <c r="F15" s="65" t="str" cm="1">
        <f t="array" ref="F15">_xlfn.LET(_xlpm.denom,F$9,_xlpm.calc,COUNTIFS(Date,"&gt;="&amp;F$4,Date,"&lt;="&amp;F$5,shift_hrs,"&gt;"&amp;$P14,shift_hrs,"&lt;="&amp;$P15,Key_Gps,"*"&amp;F$1&amp;"*"),_xlpm.perc,_xlpm.calc/_xlpm.denom,IFERROR(IF(_xlpm.calc&lt;1000,_xlfn.CONCAT(_xlpm.calc," (",TEXT(_xlpm.perc,"0.0%"),")"),_xlfn.CONCAT(TEXT(_xlpm.calc,"0,000")," (",TEXT(_xlpm.perc,"0.0%"),")")),"-"))</f>
        <v>-</v>
      </c>
      <c r="G15" s="65" t="str" cm="1">
        <f t="array" ref="G15">_xlfn.LET(_xlpm.denom,G$9,_xlpm.calc,COUNTIFS(Date,"&gt;="&amp;G$4,Date,"&lt;="&amp;G$5,shift_hrs,"&gt;"&amp;$P14,shift_hrs,"&lt;="&amp;$P15,Key_Gps,"*"&amp;G$1&amp;"*"),_xlpm.perc,_xlpm.calc/_xlpm.denom,IFERROR(IF(_xlpm.calc&lt;1000,_xlfn.CONCAT(_xlpm.calc," (",TEXT(_xlpm.perc,"0.0%"),")"),_xlfn.CONCAT(TEXT(_xlpm.calc,"0,000")," (",TEXT(_xlpm.perc,"0.0%"),")")),"-"))</f>
        <v>-</v>
      </c>
      <c r="H15" s="65" t="str" cm="1">
        <f t="array" ref="H15">_xlfn.LET(_xlpm.denom,H$9,_xlpm.calc,COUNTIFS(Date,"&gt;="&amp;H$4,Date,"&lt;="&amp;H$5,shift_hrs,"&gt;"&amp;$P14,shift_hrs,"&lt;="&amp;$P15,Key_Gps,"*"&amp;H$1&amp;"*"),_xlpm.perc,_xlpm.calc/_xlpm.denom,IFERROR(IF(_xlpm.calc&lt;1000,_xlfn.CONCAT(_xlpm.calc," (",TEXT(_xlpm.perc,"0.0%"),")"),_xlfn.CONCAT(TEXT(_xlpm.calc,"0,000")," (",TEXT(_xlpm.perc,"0.0%"),")")),"-"))</f>
        <v>-</v>
      </c>
      <c r="I15" s="65" t="str" cm="1">
        <f t="array" ref="I15">_xlfn.LET(_xlpm.denom,I$9,_xlpm.calc,COUNTIFS(Date,"&gt;="&amp;I$4,Date,"&lt;="&amp;I$5,shift_hrs,"&gt;"&amp;$P14,shift_hrs,"&lt;="&amp;$P15,Key_Gps,"*"&amp;I$1&amp;"*"),_xlpm.perc,_xlpm.calc/_xlpm.denom,IFERROR(IF(_xlpm.calc&lt;1000,_xlfn.CONCAT(_xlpm.calc," (",TEXT(_xlpm.perc,"0.0%"),")"),_xlfn.CONCAT(TEXT(_xlpm.calc,"0,000")," (",TEXT(_xlpm.perc,"0.0%"),")")),"-"))</f>
        <v>-</v>
      </c>
      <c r="J15" s="65" t="str" cm="1">
        <f t="array" ref="J15">_xlfn.LET(_xlpm.denom,J$9,_xlpm.calc,COUNTIFS(Date,"&gt;="&amp;J$4,Date,"&lt;="&amp;J$5,shift_hrs,"&gt;"&amp;$P14,shift_hrs,"&lt;="&amp;$P15,Key_Gps,"*"&amp;J$1&amp;"*"),_xlpm.perc,_xlpm.calc/_xlpm.denom,IFERROR(IF(_xlpm.calc&lt;1000,_xlfn.CONCAT(_xlpm.calc," (",TEXT(_xlpm.perc,"0.0%"),")"),_xlfn.CONCAT(TEXT(_xlpm.calc,"0,000")," (",TEXT(_xlpm.perc,"0.0%"),")")),"-"))</f>
        <v>-</v>
      </c>
      <c r="K15" s="65" t="str" cm="1">
        <f t="array" ref="K15">_xlfn.LET(_xlpm.denom,K$9,_xlpm.calc,COUNTIFS(Date,"&gt;="&amp;K$4,Date,"&lt;="&amp;K$5,shift_hrs,"&gt;"&amp;$P14,shift_hrs,"&lt;="&amp;$P15,Key_Gps,"*"&amp;K$1&amp;"*"),_xlpm.perc,_xlpm.calc/_xlpm.denom,IFERROR(IF(_xlpm.calc&lt;1000,_xlfn.CONCAT(_xlpm.calc," (",TEXT(_xlpm.perc,"0.0%"),")"),_xlfn.CONCAT(TEXT(_xlpm.calc,"0,000")," (",TEXT(_xlpm.perc,"0.0%"),")")),"-"))</f>
        <v>-</v>
      </c>
      <c r="L15" s="65" t="str" cm="1">
        <f t="array" ref="L15">_xlfn.LET(_xlpm.denom,L$9,_xlpm.calc,COUNTIFS(Date,"&gt;="&amp;L$4,Date,"&lt;="&amp;L$5,shift_hrs,"&gt;"&amp;$P14,shift_hrs,"&lt;="&amp;$P15,Key_Gps,"*"&amp;L$1&amp;"*"),_xlpm.perc,_xlpm.calc/_xlpm.denom,IFERROR(IF(_xlpm.calc&lt;1000,_xlfn.CONCAT(_xlpm.calc," (",TEXT(_xlpm.perc,"0.0%"),")"),_xlfn.CONCAT(TEXT(_xlpm.calc,"0,000")," (",TEXT(_xlpm.perc,"0.0%"),")")),"-"))</f>
        <v>-</v>
      </c>
      <c r="M15" s="155" t="str" cm="1">
        <f t="array" ref="M15">_xlfn.LET(_xlpm.denom,M$9,_xlpm.calc,COUNTIFS(Date,"&gt;="&amp;M$4,Date,"&lt;="&amp;M$5,shift_hrs,"&gt;"&amp;$P14,shift_hrs,"&lt;="&amp;$P15,Key_Gps,"*"&amp;M$1&amp;"*"),_xlpm.perc,_xlpm.calc/_xlpm.denom,IFERROR(IF(_xlpm.calc&lt;1000,_xlfn.CONCAT(_xlpm.calc," (",TEXT(_xlpm.perc,"0.0%"),")"),_xlfn.CONCAT(TEXT(_xlpm.calc,"0,000")," (",TEXT(_xlpm.perc,"0.0%"),")")),"-"))</f>
        <v>-</v>
      </c>
      <c r="N15" s="53" t="s">
        <v>64</v>
      </c>
      <c r="O15" s="74"/>
      <c r="P15" s="42">
        <v>6</v>
      </c>
      <c r="Q15" s="75" t="str">
        <f t="shared" si="3"/>
        <v/>
      </c>
      <c r="R15" s="76" t="e">
        <f t="shared" si="4"/>
        <v>#VALUE!</v>
      </c>
      <c r="S15" s="64">
        <f t="shared" si="15"/>
        <v>1</v>
      </c>
      <c r="T15" s="42" t="str">
        <f t="shared" ca="1" si="5"/>
        <v>-</v>
      </c>
      <c r="U15" s="42" t="str">
        <f t="shared" si="6"/>
        <v>-</v>
      </c>
      <c r="V15" s="42" t="str">
        <f t="shared" si="7"/>
        <v>-</v>
      </c>
      <c r="W15" s="42" t="str">
        <f t="shared" si="8"/>
        <v>-</v>
      </c>
      <c r="X15" s="42" t="str">
        <f t="shared" si="9"/>
        <v>-</v>
      </c>
      <c r="Y15" s="42" t="str">
        <f t="shared" si="10"/>
        <v>-</v>
      </c>
      <c r="Z15" s="42" t="str">
        <f t="shared" si="11"/>
        <v>-</v>
      </c>
      <c r="AA15" s="42" t="str">
        <f t="shared" si="12"/>
        <v>-</v>
      </c>
      <c r="AB15" s="42" t="str">
        <f t="shared" si="13"/>
        <v>-</v>
      </c>
      <c r="AC15" s="42" t="str">
        <f t="shared" si="14"/>
        <v>-</v>
      </c>
    </row>
    <row r="16" spans="1:29" ht="28.8" outlineLevel="1" x14ac:dyDescent="0.25">
      <c r="A16" s="42" t="s">
        <v>13</v>
      </c>
      <c r="B16" s="315"/>
      <c r="C16" s="55" t="s">
        <v>67</v>
      </c>
      <c r="D16" s="195" t="str">
        <f t="shared" ca="1" si="21"/>
        <v>-</v>
      </c>
      <c r="E16" s="65" t="str" cm="1">
        <f t="array" ref="E16">_xlfn.LET(_xlpm.denom,E$9,_xlpm.calc,COUNTIFS(Date,"&gt;="&amp;E$4,Date,"&lt;="&amp;E$5,shift_hrs,"&gt;"&amp;$P16,Key_Gps,"*"&amp;E$1&amp;"*"),_xlpm.perc,_xlpm.calc/_xlpm.denom,IFERROR(IF(_xlpm.calc&lt;1000,_xlfn.CONCAT(_xlpm.calc," (",TEXT(_xlpm.perc,"0.0%"),")"),_xlfn.CONCAT(TEXT(_xlpm.calc,"0,000")," (",TEXT(_xlpm.perc,"0.0%"),")")),"-"))</f>
        <v>-</v>
      </c>
      <c r="F16" s="65" t="str" cm="1">
        <f t="array" ref="F16">_xlfn.LET(_xlpm.denom,F$9,_xlpm.calc,COUNTIFS(Date,"&gt;="&amp;F$4,Date,"&lt;="&amp;F$5,shift_hrs,"&gt;"&amp;$P16,Key_Gps,"*"&amp;F$1&amp;"*"),_xlpm.perc,_xlpm.calc/_xlpm.denom,IFERROR(IF(_xlpm.calc&lt;1000,_xlfn.CONCAT(_xlpm.calc," (",TEXT(_xlpm.perc,"0.0%"),")"),_xlfn.CONCAT(TEXT(_xlpm.calc,"0,000")," (",TEXT(_xlpm.perc,"0.0%"),")")),"-"))</f>
        <v>-</v>
      </c>
      <c r="G16" s="65" t="str" cm="1">
        <f t="array" ref="G16">_xlfn.LET(_xlpm.denom,G$9,_xlpm.calc,COUNTIFS(Date,"&gt;="&amp;G$4,Date,"&lt;="&amp;G$5,shift_hrs,"&gt;"&amp;$P16,Key_Gps,"*"&amp;G$1&amp;"*"),_xlpm.perc,_xlpm.calc/_xlpm.denom,IFERROR(IF(_xlpm.calc&lt;1000,_xlfn.CONCAT(_xlpm.calc," (",TEXT(_xlpm.perc,"0.0%"),")"),_xlfn.CONCAT(TEXT(_xlpm.calc,"0,000")," (",TEXT(_xlpm.perc,"0.0%"),")")),"-"))</f>
        <v>-</v>
      </c>
      <c r="H16" s="65" t="str" cm="1">
        <f t="array" ref="H16">_xlfn.LET(_xlpm.denom,H$9,_xlpm.calc,COUNTIFS(Date,"&gt;="&amp;H$4,Date,"&lt;="&amp;H$5,shift_hrs,"&gt;"&amp;$P16,Key_Gps,"*"&amp;H$1&amp;"*"),_xlpm.perc,_xlpm.calc/_xlpm.denom,IFERROR(IF(_xlpm.calc&lt;1000,_xlfn.CONCAT(_xlpm.calc," (",TEXT(_xlpm.perc,"0.0%"),")"),_xlfn.CONCAT(TEXT(_xlpm.calc,"0,000")," (",TEXT(_xlpm.perc,"0.0%"),")")),"-"))</f>
        <v>-</v>
      </c>
      <c r="I16" s="65" t="str" cm="1">
        <f t="array" ref="I16">_xlfn.LET(_xlpm.denom,I$9,_xlpm.calc,COUNTIFS(Date,"&gt;="&amp;I$4,Date,"&lt;="&amp;I$5,shift_hrs,"&gt;"&amp;$P16,Key_Gps,"*"&amp;I$1&amp;"*"),_xlpm.perc,_xlpm.calc/_xlpm.denom,IFERROR(IF(_xlpm.calc&lt;1000,_xlfn.CONCAT(_xlpm.calc," (",TEXT(_xlpm.perc,"0.0%"),")"),_xlfn.CONCAT(TEXT(_xlpm.calc,"0,000")," (",TEXT(_xlpm.perc,"0.0%"),")")),"-"))</f>
        <v>-</v>
      </c>
      <c r="J16" s="65" t="str" cm="1">
        <f t="array" ref="J16">_xlfn.LET(_xlpm.denom,J$9,_xlpm.calc,COUNTIFS(Date,"&gt;="&amp;J$4,Date,"&lt;="&amp;J$5,shift_hrs,"&gt;"&amp;$P16,Key_Gps,"*"&amp;J$1&amp;"*"),_xlpm.perc,_xlpm.calc/_xlpm.denom,IFERROR(IF(_xlpm.calc&lt;1000,_xlfn.CONCAT(_xlpm.calc," (",TEXT(_xlpm.perc,"0.0%"),")"),_xlfn.CONCAT(TEXT(_xlpm.calc,"0,000")," (",TEXT(_xlpm.perc,"0.0%"),")")),"-"))</f>
        <v>-</v>
      </c>
      <c r="K16" s="65" t="str" cm="1">
        <f t="array" ref="K16">_xlfn.LET(_xlpm.denom,K$9,_xlpm.calc,COUNTIFS(Date,"&gt;="&amp;K$4,Date,"&lt;="&amp;K$5,shift_hrs,"&gt;"&amp;$P16,Key_Gps,"*"&amp;K$1&amp;"*"),_xlpm.perc,_xlpm.calc/_xlpm.denom,IFERROR(IF(_xlpm.calc&lt;1000,_xlfn.CONCAT(_xlpm.calc," (",TEXT(_xlpm.perc,"0.0%"),")"),_xlfn.CONCAT(TEXT(_xlpm.calc,"0,000")," (",TEXT(_xlpm.perc,"0.0%"),")")),"-"))</f>
        <v>-</v>
      </c>
      <c r="L16" s="65" t="str" cm="1">
        <f t="array" ref="L16">_xlfn.LET(_xlpm.denom,L$9,_xlpm.calc,COUNTIFS(Date,"&gt;="&amp;L$4,Date,"&lt;="&amp;L$5,shift_hrs,"&gt;"&amp;$P16,Key_Gps,"*"&amp;L$1&amp;"*"),_xlpm.perc,_xlpm.calc/_xlpm.denom,IFERROR(IF(_xlpm.calc&lt;1000,_xlfn.CONCAT(_xlpm.calc," (",TEXT(_xlpm.perc,"0.0%"),")"),_xlfn.CONCAT(TEXT(_xlpm.calc,"0,000")," (",TEXT(_xlpm.perc,"0.0%"),")")),"-"))</f>
        <v>-</v>
      </c>
      <c r="M16" s="155" t="str" cm="1">
        <f t="array" ref="M16">_xlfn.LET(_xlpm.denom,M$9,_xlpm.calc,COUNTIFS(Date,"&gt;="&amp;M$4,Date,"&lt;="&amp;M$5,shift_hrs,"&gt;"&amp;$P16,Key_Gps,"*"&amp;M$1&amp;"*"),_xlpm.perc,_xlpm.calc/_xlpm.denom,IFERROR(IF(_xlpm.calc&lt;1000,_xlfn.CONCAT(_xlpm.calc," (",TEXT(_xlpm.perc,"0.0%"),")"),_xlfn.CONCAT(TEXT(_xlpm.calc,"0,000")," (",TEXT(_xlpm.perc,"0.0%"),")")),"-"))</f>
        <v>-</v>
      </c>
      <c r="N16" s="53" t="s">
        <v>64</v>
      </c>
      <c r="O16" s="74"/>
      <c r="P16" s="42">
        <v>6</v>
      </c>
      <c r="Q16" s="75" t="str">
        <f t="shared" si="3"/>
        <v/>
      </c>
      <c r="R16" s="76" t="e">
        <f t="shared" si="4"/>
        <v>#VALUE!</v>
      </c>
      <c r="S16" s="64">
        <f t="shared" si="15"/>
        <v>1</v>
      </c>
      <c r="T16" s="42" t="str">
        <f t="shared" ca="1" si="5"/>
        <v>-</v>
      </c>
      <c r="U16" s="42" t="str">
        <f t="shared" si="6"/>
        <v>-</v>
      </c>
      <c r="V16" s="42" t="str">
        <f t="shared" si="7"/>
        <v>-</v>
      </c>
      <c r="W16" s="42" t="str">
        <f t="shared" si="8"/>
        <v>-</v>
      </c>
      <c r="X16" s="42" t="str">
        <f t="shared" si="9"/>
        <v>-</v>
      </c>
      <c r="Y16" s="42" t="str">
        <f t="shared" si="10"/>
        <v>-</v>
      </c>
      <c r="Z16" s="42" t="str">
        <f t="shared" si="11"/>
        <v>-</v>
      </c>
      <c r="AA16" s="42" t="str">
        <f t="shared" si="12"/>
        <v>-</v>
      </c>
      <c r="AB16" s="42" t="str">
        <f t="shared" si="13"/>
        <v>-</v>
      </c>
      <c r="AC16" s="42" t="str">
        <f t="shared" si="14"/>
        <v>-</v>
      </c>
    </row>
    <row r="17" spans="1:29" ht="28.8" outlineLevel="1" x14ac:dyDescent="0.25">
      <c r="A17" s="42" t="s">
        <v>13</v>
      </c>
      <c r="B17" s="315"/>
      <c r="C17" s="55" t="s">
        <v>68</v>
      </c>
      <c r="D17" s="195" t="str">
        <f t="shared" ca="1" si="21"/>
        <v>-</v>
      </c>
      <c r="E17" s="65" t="str" cm="1">
        <f t="array" ref="E17">_xlfn.LET(_xlpm.denom,E$9,_xlpm.calc,COUNTIFS(Date,"&gt;="&amp;E$4,Date,"&lt;="&amp;E$5,shift_hrs,"&gt;"&amp;$P17,Key_Gps,"*"&amp;E$1&amp;"*"),_xlpm.perc,_xlpm.calc/_xlpm.denom,IFERROR(IF(_xlpm.calc&lt;1000,_xlfn.CONCAT(_xlpm.calc," (",TEXT(_xlpm.perc,"0.0%"),")"),_xlfn.CONCAT(TEXT(_xlpm.calc,"0,000")," (",TEXT(_xlpm.perc,"0.0%"),")")),"-"))</f>
        <v>-</v>
      </c>
      <c r="F17" s="65" t="str" cm="1">
        <f t="array" ref="F17">_xlfn.LET(_xlpm.denom,F$9,_xlpm.calc,COUNTIFS(Date,"&gt;="&amp;F$4,Date,"&lt;="&amp;F$5,shift_hrs,"&gt;"&amp;$P17,Key_Gps,"*"&amp;F$1&amp;"*"),_xlpm.perc,_xlpm.calc/_xlpm.denom,IFERROR(IF(_xlpm.calc&lt;1000,_xlfn.CONCAT(_xlpm.calc," (",TEXT(_xlpm.perc,"0.0%"),")"),_xlfn.CONCAT(TEXT(_xlpm.calc,"0,000")," (",TEXT(_xlpm.perc,"0.0%"),")")),"-"))</f>
        <v>-</v>
      </c>
      <c r="G17" s="65" t="str" cm="1">
        <f t="array" ref="G17">_xlfn.LET(_xlpm.denom,G$9,_xlpm.calc,COUNTIFS(Date,"&gt;="&amp;G$4,Date,"&lt;="&amp;G$5,shift_hrs,"&gt;"&amp;$P17,Key_Gps,"*"&amp;G$1&amp;"*"),_xlpm.perc,_xlpm.calc/_xlpm.denom,IFERROR(IF(_xlpm.calc&lt;1000,_xlfn.CONCAT(_xlpm.calc," (",TEXT(_xlpm.perc,"0.0%"),")"),_xlfn.CONCAT(TEXT(_xlpm.calc,"0,000")," (",TEXT(_xlpm.perc,"0.0%"),")")),"-"))</f>
        <v>-</v>
      </c>
      <c r="H17" s="65" t="str" cm="1">
        <f t="array" ref="H17">_xlfn.LET(_xlpm.denom,H$9,_xlpm.calc,COUNTIFS(Date,"&gt;="&amp;H$4,Date,"&lt;="&amp;H$5,shift_hrs,"&gt;"&amp;$P17,Key_Gps,"*"&amp;H$1&amp;"*"),_xlpm.perc,_xlpm.calc/_xlpm.denom,IFERROR(IF(_xlpm.calc&lt;1000,_xlfn.CONCAT(_xlpm.calc," (",TEXT(_xlpm.perc,"0.0%"),")"),_xlfn.CONCAT(TEXT(_xlpm.calc,"0,000")," (",TEXT(_xlpm.perc,"0.0%"),")")),"-"))</f>
        <v>-</v>
      </c>
      <c r="I17" s="65" t="str" cm="1">
        <f t="array" ref="I17">_xlfn.LET(_xlpm.denom,I$9,_xlpm.calc,COUNTIFS(Date,"&gt;="&amp;I$4,Date,"&lt;="&amp;I$5,shift_hrs,"&gt;"&amp;$P17,Key_Gps,"*"&amp;I$1&amp;"*"),_xlpm.perc,_xlpm.calc/_xlpm.denom,IFERROR(IF(_xlpm.calc&lt;1000,_xlfn.CONCAT(_xlpm.calc," (",TEXT(_xlpm.perc,"0.0%"),")"),_xlfn.CONCAT(TEXT(_xlpm.calc,"0,000")," (",TEXT(_xlpm.perc,"0.0%"),")")),"-"))</f>
        <v>-</v>
      </c>
      <c r="J17" s="65" t="str" cm="1">
        <f t="array" ref="J17">_xlfn.LET(_xlpm.denom,J$9,_xlpm.calc,COUNTIFS(Date,"&gt;="&amp;J$4,Date,"&lt;="&amp;J$5,shift_hrs,"&gt;"&amp;$P17,Key_Gps,"*"&amp;J$1&amp;"*"),_xlpm.perc,_xlpm.calc/_xlpm.denom,IFERROR(IF(_xlpm.calc&lt;1000,_xlfn.CONCAT(_xlpm.calc," (",TEXT(_xlpm.perc,"0.0%"),")"),_xlfn.CONCAT(TEXT(_xlpm.calc,"0,000")," (",TEXT(_xlpm.perc,"0.0%"),")")),"-"))</f>
        <v>-</v>
      </c>
      <c r="K17" s="65" t="str" cm="1">
        <f t="array" ref="K17">_xlfn.LET(_xlpm.denom,K$9,_xlpm.calc,COUNTIFS(Date,"&gt;="&amp;K$4,Date,"&lt;="&amp;K$5,shift_hrs,"&gt;"&amp;$P17,Key_Gps,"*"&amp;K$1&amp;"*"),_xlpm.perc,_xlpm.calc/_xlpm.denom,IFERROR(IF(_xlpm.calc&lt;1000,_xlfn.CONCAT(_xlpm.calc," (",TEXT(_xlpm.perc,"0.0%"),")"),_xlfn.CONCAT(TEXT(_xlpm.calc,"0,000")," (",TEXT(_xlpm.perc,"0.0%"),")")),"-"))</f>
        <v>-</v>
      </c>
      <c r="L17" s="65" t="str" cm="1">
        <f t="array" ref="L17">_xlfn.LET(_xlpm.denom,L$9,_xlpm.calc,COUNTIFS(Date,"&gt;="&amp;L$4,Date,"&lt;="&amp;L$5,shift_hrs,"&gt;"&amp;$P17,Key_Gps,"*"&amp;L$1&amp;"*"),_xlpm.perc,_xlpm.calc/_xlpm.denom,IFERROR(IF(_xlpm.calc&lt;1000,_xlfn.CONCAT(_xlpm.calc," (",TEXT(_xlpm.perc,"0.0%"),")"),_xlfn.CONCAT(TEXT(_xlpm.calc,"0,000")," (",TEXT(_xlpm.perc,"0.0%"),")")),"-"))</f>
        <v>-</v>
      </c>
      <c r="M17" s="155" t="str" cm="1">
        <f t="array" ref="M17">_xlfn.LET(_xlpm.denom,M$9,_xlpm.calc,COUNTIFS(Date,"&gt;="&amp;M$4,Date,"&lt;="&amp;M$5,shift_hrs,"&gt;"&amp;$P17,Key_Gps,"*"&amp;M$1&amp;"*"),_xlpm.perc,_xlpm.calc/_xlpm.denom,IFERROR(IF(_xlpm.calc&lt;1000,_xlfn.CONCAT(_xlpm.calc," (",TEXT(_xlpm.perc,"0.0%"),")"),_xlfn.CONCAT(TEXT(_xlpm.calc,"0,000")," (",TEXT(_xlpm.perc,"0.0%"),")")),"-"))</f>
        <v>-</v>
      </c>
      <c r="N17" s="53" t="s">
        <v>64</v>
      </c>
      <c r="O17" s="74"/>
      <c r="P17" s="42">
        <v>8</v>
      </c>
      <c r="Q17" s="75" t="str">
        <f t="shared" si="3"/>
        <v/>
      </c>
      <c r="R17" s="76" t="e">
        <f t="shared" si="4"/>
        <v>#VALUE!</v>
      </c>
      <c r="S17" s="64">
        <f t="shared" si="15"/>
        <v>1</v>
      </c>
      <c r="T17" s="42" t="str">
        <f t="shared" ca="1" si="5"/>
        <v>-</v>
      </c>
      <c r="U17" s="42" t="str">
        <f t="shared" si="6"/>
        <v>-</v>
      </c>
      <c r="V17" s="42" t="str">
        <f t="shared" si="7"/>
        <v>-</v>
      </c>
      <c r="W17" s="42" t="str">
        <f t="shared" si="8"/>
        <v>-</v>
      </c>
      <c r="X17" s="42" t="str">
        <f t="shared" si="9"/>
        <v>-</v>
      </c>
      <c r="Y17" s="42" t="str">
        <f t="shared" si="10"/>
        <v>-</v>
      </c>
      <c r="Z17" s="42" t="str">
        <f t="shared" si="11"/>
        <v>-</v>
      </c>
      <c r="AA17" s="42" t="str">
        <f t="shared" si="12"/>
        <v>-</v>
      </c>
      <c r="AB17" s="42" t="str">
        <f t="shared" si="13"/>
        <v>-</v>
      </c>
      <c r="AC17" s="42" t="str">
        <f t="shared" si="14"/>
        <v>-</v>
      </c>
    </row>
    <row r="18" spans="1:29" ht="28.8" outlineLevel="1" x14ac:dyDescent="0.25">
      <c r="A18" s="42" t="s">
        <v>13</v>
      </c>
      <c r="B18" s="315"/>
      <c r="C18" s="55" t="s">
        <v>69</v>
      </c>
      <c r="D18" s="195" t="str">
        <f t="shared" ca="1" si="21"/>
        <v>-</v>
      </c>
      <c r="E18" s="65" t="str" cm="1">
        <f t="array" ref="E18">_xlfn.LET(_xlpm.denom,E$9,_xlpm.calc,COUNTIFS(Date,"&gt;="&amp;E$4,Date,"&lt;="&amp;E$5,shift_hrs,"&gt;"&amp;$P18,Key_Gps,"*"&amp;E$1&amp;"*"),_xlpm.perc,_xlpm.calc/_xlpm.denom,IFERROR(IF(_xlpm.calc&lt;1000,_xlfn.CONCAT(_xlpm.calc," (",TEXT(_xlpm.perc,"0.0%"),")"),_xlfn.CONCAT(TEXT(_xlpm.calc,"0,000")," (",TEXT(_xlpm.perc,"0.0%"),")")),"-"))</f>
        <v>-</v>
      </c>
      <c r="F18" s="65" t="str" cm="1">
        <f t="array" ref="F18">_xlfn.LET(_xlpm.denom,F$9,_xlpm.calc,COUNTIFS(Date,"&gt;="&amp;F$4,Date,"&lt;="&amp;F$5,shift_hrs,"&gt;"&amp;$P18,Key_Gps,"*"&amp;F$1&amp;"*"),_xlpm.perc,_xlpm.calc/_xlpm.denom,IFERROR(IF(_xlpm.calc&lt;1000,_xlfn.CONCAT(_xlpm.calc," (",TEXT(_xlpm.perc,"0.0%"),")"),_xlfn.CONCAT(TEXT(_xlpm.calc,"0,000")," (",TEXT(_xlpm.perc,"0.0%"),")")),"-"))</f>
        <v>-</v>
      </c>
      <c r="G18" s="65" t="str" cm="1">
        <f t="array" ref="G18">_xlfn.LET(_xlpm.denom,G$9,_xlpm.calc,COUNTIFS(Date,"&gt;="&amp;G$4,Date,"&lt;="&amp;G$5,shift_hrs,"&gt;"&amp;$P18,Key_Gps,"*"&amp;G$1&amp;"*"),_xlpm.perc,_xlpm.calc/_xlpm.denom,IFERROR(IF(_xlpm.calc&lt;1000,_xlfn.CONCAT(_xlpm.calc," (",TEXT(_xlpm.perc,"0.0%"),")"),_xlfn.CONCAT(TEXT(_xlpm.calc,"0,000")," (",TEXT(_xlpm.perc,"0.0%"),")")),"-"))</f>
        <v>-</v>
      </c>
      <c r="H18" s="65" t="str" cm="1">
        <f t="array" ref="H18">_xlfn.LET(_xlpm.denom,H$9,_xlpm.calc,COUNTIFS(Date,"&gt;="&amp;H$4,Date,"&lt;="&amp;H$5,shift_hrs,"&gt;"&amp;$P18,Key_Gps,"*"&amp;H$1&amp;"*"),_xlpm.perc,_xlpm.calc/_xlpm.denom,IFERROR(IF(_xlpm.calc&lt;1000,_xlfn.CONCAT(_xlpm.calc," (",TEXT(_xlpm.perc,"0.0%"),")"),_xlfn.CONCAT(TEXT(_xlpm.calc,"0,000")," (",TEXT(_xlpm.perc,"0.0%"),")")),"-"))</f>
        <v>-</v>
      </c>
      <c r="I18" s="65" t="str" cm="1">
        <f t="array" ref="I18">_xlfn.LET(_xlpm.denom,I$9,_xlpm.calc,COUNTIFS(Date,"&gt;="&amp;I$4,Date,"&lt;="&amp;I$5,shift_hrs,"&gt;"&amp;$P18,Key_Gps,"*"&amp;I$1&amp;"*"),_xlpm.perc,_xlpm.calc/_xlpm.denom,IFERROR(IF(_xlpm.calc&lt;1000,_xlfn.CONCAT(_xlpm.calc," (",TEXT(_xlpm.perc,"0.0%"),")"),_xlfn.CONCAT(TEXT(_xlpm.calc,"0,000")," (",TEXT(_xlpm.perc,"0.0%"),")")),"-"))</f>
        <v>-</v>
      </c>
      <c r="J18" s="65" t="str" cm="1">
        <f t="array" ref="J18">_xlfn.LET(_xlpm.denom,J$9,_xlpm.calc,COUNTIFS(Date,"&gt;="&amp;J$4,Date,"&lt;="&amp;J$5,shift_hrs,"&gt;"&amp;$P18,Key_Gps,"*"&amp;J$1&amp;"*"),_xlpm.perc,_xlpm.calc/_xlpm.denom,IFERROR(IF(_xlpm.calc&lt;1000,_xlfn.CONCAT(_xlpm.calc," (",TEXT(_xlpm.perc,"0.0%"),")"),_xlfn.CONCAT(TEXT(_xlpm.calc,"0,000")," (",TEXT(_xlpm.perc,"0.0%"),")")),"-"))</f>
        <v>-</v>
      </c>
      <c r="K18" s="65" t="str" cm="1">
        <f t="array" ref="K18">_xlfn.LET(_xlpm.denom,K$9,_xlpm.calc,COUNTIFS(Date,"&gt;="&amp;K$4,Date,"&lt;="&amp;K$5,shift_hrs,"&gt;"&amp;$P18,Key_Gps,"*"&amp;K$1&amp;"*"),_xlpm.perc,_xlpm.calc/_xlpm.denom,IFERROR(IF(_xlpm.calc&lt;1000,_xlfn.CONCAT(_xlpm.calc," (",TEXT(_xlpm.perc,"0.0%"),")"),_xlfn.CONCAT(TEXT(_xlpm.calc,"0,000")," (",TEXT(_xlpm.perc,"0.0%"),")")),"-"))</f>
        <v>-</v>
      </c>
      <c r="L18" s="65" t="str" cm="1">
        <f t="array" ref="L18">_xlfn.LET(_xlpm.denom,L$9,_xlpm.calc,COUNTIFS(Date,"&gt;="&amp;L$4,Date,"&lt;="&amp;L$5,shift_hrs,"&gt;"&amp;$P18,Key_Gps,"*"&amp;L$1&amp;"*"),_xlpm.perc,_xlpm.calc/_xlpm.denom,IFERROR(IF(_xlpm.calc&lt;1000,_xlfn.CONCAT(_xlpm.calc," (",TEXT(_xlpm.perc,"0.0%"),")"),_xlfn.CONCAT(TEXT(_xlpm.calc,"0,000")," (",TEXT(_xlpm.perc,"0.0%"),")")),"-"))</f>
        <v>-</v>
      </c>
      <c r="M18" s="155" t="str" cm="1">
        <f t="array" ref="M18">_xlfn.LET(_xlpm.denom,M$9,_xlpm.calc,COUNTIFS(Date,"&gt;="&amp;M$4,Date,"&lt;="&amp;M$5,shift_hrs,"&gt;"&amp;$P18,Key_Gps,"*"&amp;M$1&amp;"*"),_xlpm.perc,_xlpm.calc/_xlpm.denom,IFERROR(IF(_xlpm.calc&lt;1000,_xlfn.CONCAT(_xlpm.calc," (",TEXT(_xlpm.perc,"0.0%"),")"),_xlfn.CONCAT(TEXT(_xlpm.calc,"0,000")," (",TEXT(_xlpm.perc,"0.0%"),")")),"-"))</f>
        <v>-</v>
      </c>
      <c r="N18" s="53" t="s">
        <v>64</v>
      </c>
      <c r="O18" s="74"/>
      <c r="P18" s="42">
        <v>10</v>
      </c>
      <c r="Q18" s="75" t="str">
        <f t="shared" si="3"/>
        <v/>
      </c>
      <c r="R18" s="76" t="e">
        <f t="shared" si="4"/>
        <v>#VALUE!</v>
      </c>
      <c r="S18" s="64">
        <f t="shared" si="15"/>
        <v>1</v>
      </c>
      <c r="T18" s="42" t="str">
        <f t="shared" ca="1" si="5"/>
        <v>-</v>
      </c>
      <c r="U18" s="42" t="str">
        <f t="shared" si="6"/>
        <v>-</v>
      </c>
      <c r="V18" s="42" t="str">
        <f t="shared" si="7"/>
        <v>-</v>
      </c>
      <c r="W18" s="42" t="str">
        <f t="shared" si="8"/>
        <v>-</v>
      </c>
      <c r="X18" s="42" t="str">
        <f t="shared" si="9"/>
        <v>-</v>
      </c>
      <c r="Y18" s="42" t="str">
        <f t="shared" si="10"/>
        <v>-</v>
      </c>
      <c r="Z18" s="42" t="str">
        <f t="shared" si="11"/>
        <v>-</v>
      </c>
      <c r="AA18" s="42" t="str">
        <f t="shared" si="12"/>
        <v>-</v>
      </c>
      <c r="AB18" s="42" t="str">
        <f t="shared" si="13"/>
        <v>-</v>
      </c>
      <c r="AC18" s="42" t="str">
        <f t="shared" si="14"/>
        <v>-</v>
      </c>
    </row>
    <row r="19" spans="1:29" ht="28.8" outlineLevel="1" x14ac:dyDescent="0.25">
      <c r="A19" s="42" t="s">
        <v>13</v>
      </c>
      <c r="B19" s="315"/>
      <c r="C19" s="55" t="s">
        <v>70</v>
      </c>
      <c r="D19" s="195" t="str">
        <f t="shared" ca="1" si="21"/>
        <v>-</v>
      </c>
      <c r="E19" s="65" t="str" cm="1">
        <f t="array" ref="E19">_xlfn.LET(_xlpm.denom,E$9,_xlpm.calc,COUNTIFS(Date,"&gt;="&amp;E$4,Date,"&lt;="&amp;E$5,shift_hrs,"&gt;"&amp;$P18,shift_hrs,"&lt;="&amp;$P19,Key_Gps,"*"&amp;E$1&amp;"*"),_xlpm.perc,_xlpm.calc/_xlpm.denom,IFERROR(IF(_xlpm.calc&lt;1000,_xlfn.CONCAT(_xlpm.calc," (",TEXT(_xlpm.perc,"0.0%"),")"),_xlfn.CONCAT(TEXT(_xlpm.calc,"0,000")," (",TEXT(_xlpm.perc,"0.0%"),")")),"-"))</f>
        <v>-</v>
      </c>
      <c r="F19" s="65" t="str" cm="1">
        <f t="array" ref="F19">_xlfn.LET(_xlpm.denom,F$9,_xlpm.calc,COUNTIFS(Date,"&gt;="&amp;F$4,Date,"&lt;="&amp;F$5,shift_hrs,"&gt;"&amp;$P18,shift_hrs,"&lt;="&amp;$P19,Key_Gps,"*"&amp;F$1&amp;"*"),_xlpm.perc,_xlpm.calc/_xlpm.denom,IFERROR(IF(_xlpm.calc&lt;1000,_xlfn.CONCAT(_xlpm.calc," (",TEXT(_xlpm.perc,"0.0%"),")"),_xlfn.CONCAT(TEXT(_xlpm.calc,"0,000")," (",TEXT(_xlpm.perc,"0.0%"),")")),"-"))</f>
        <v>-</v>
      </c>
      <c r="G19" s="65" t="str" cm="1">
        <f t="array" ref="G19">_xlfn.LET(_xlpm.denom,G$9,_xlpm.calc,COUNTIFS(Date,"&gt;="&amp;G$4,Date,"&lt;="&amp;G$5,shift_hrs,"&gt;"&amp;$P18,shift_hrs,"&lt;="&amp;$P19,Key_Gps,"*"&amp;G$1&amp;"*"),_xlpm.perc,_xlpm.calc/_xlpm.denom,IFERROR(IF(_xlpm.calc&lt;1000,_xlfn.CONCAT(_xlpm.calc," (",TEXT(_xlpm.perc,"0.0%"),")"),_xlfn.CONCAT(TEXT(_xlpm.calc,"0,000")," (",TEXT(_xlpm.perc,"0.0%"),")")),"-"))</f>
        <v>-</v>
      </c>
      <c r="H19" s="65" t="str" cm="1">
        <f t="array" ref="H19">_xlfn.LET(_xlpm.denom,H$9,_xlpm.calc,COUNTIFS(Date,"&gt;="&amp;H$4,Date,"&lt;="&amp;H$5,shift_hrs,"&gt;"&amp;$P18,shift_hrs,"&lt;="&amp;$P19,Key_Gps,"*"&amp;H$1&amp;"*"),_xlpm.perc,_xlpm.calc/_xlpm.denom,IFERROR(IF(_xlpm.calc&lt;1000,_xlfn.CONCAT(_xlpm.calc," (",TEXT(_xlpm.perc,"0.0%"),")"),_xlfn.CONCAT(TEXT(_xlpm.calc,"0,000")," (",TEXT(_xlpm.perc,"0.0%"),")")),"-"))</f>
        <v>-</v>
      </c>
      <c r="I19" s="65" t="str" cm="1">
        <f t="array" ref="I19">_xlfn.LET(_xlpm.denom,I$9,_xlpm.calc,COUNTIFS(Date,"&gt;="&amp;I$4,Date,"&lt;="&amp;I$5,shift_hrs,"&gt;"&amp;$P18,shift_hrs,"&lt;="&amp;$P19,Key_Gps,"*"&amp;I$1&amp;"*"),_xlpm.perc,_xlpm.calc/_xlpm.denom,IFERROR(IF(_xlpm.calc&lt;1000,_xlfn.CONCAT(_xlpm.calc," (",TEXT(_xlpm.perc,"0.0%"),")"),_xlfn.CONCAT(TEXT(_xlpm.calc,"0,000")," (",TEXT(_xlpm.perc,"0.0%"),")")),"-"))</f>
        <v>-</v>
      </c>
      <c r="J19" s="65" t="str" cm="1">
        <f t="array" ref="J19">_xlfn.LET(_xlpm.denom,J$9,_xlpm.calc,COUNTIFS(Date,"&gt;="&amp;J$4,Date,"&lt;="&amp;J$5,shift_hrs,"&gt;"&amp;$P18,shift_hrs,"&lt;="&amp;$P19,Key_Gps,"*"&amp;J$1&amp;"*"),_xlpm.perc,_xlpm.calc/_xlpm.denom,IFERROR(IF(_xlpm.calc&lt;1000,_xlfn.CONCAT(_xlpm.calc," (",TEXT(_xlpm.perc,"0.0%"),")"),_xlfn.CONCAT(TEXT(_xlpm.calc,"0,000")," (",TEXT(_xlpm.perc,"0.0%"),")")),"-"))</f>
        <v>-</v>
      </c>
      <c r="K19" s="65" t="str" cm="1">
        <f t="array" ref="K19">_xlfn.LET(_xlpm.denom,K$9,_xlpm.calc,COUNTIFS(Date,"&gt;="&amp;K$4,Date,"&lt;="&amp;K$5,shift_hrs,"&gt;"&amp;$P18,shift_hrs,"&lt;="&amp;$P19,Key_Gps,"*"&amp;K$1&amp;"*"),_xlpm.perc,_xlpm.calc/_xlpm.denom,IFERROR(IF(_xlpm.calc&lt;1000,_xlfn.CONCAT(_xlpm.calc," (",TEXT(_xlpm.perc,"0.0%"),")"),_xlfn.CONCAT(TEXT(_xlpm.calc,"0,000")," (",TEXT(_xlpm.perc,"0.0%"),")")),"-"))</f>
        <v>-</v>
      </c>
      <c r="L19" s="65" t="str" cm="1">
        <f t="array" ref="L19">_xlfn.LET(_xlpm.denom,L$9,_xlpm.calc,COUNTIFS(Date,"&gt;="&amp;L$4,Date,"&lt;="&amp;L$5,shift_hrs,"&gt;"&amp;$P18,shift_hrs,"&lt;="&amp;$P19,Key_Gps,"*"&amp;L$1&amp;"*"),_xlpm.perc,_xlpm.calc/_xlpm.denom,IFERROR(IF(_xlpm.calc&lt;1000,_xlfn.CONCAT(_xlpm.calc," (",TEXT(_xlpm.perc,"0.0%"),")"),_xlfn.CONCAT(TEXT(_xlpm.calc,"0,000")," (",TEXT(_xlpm.perc,"0.0%"),")")),"-"))</f>
        <v>-</v>
      </c>
      <c r="M19" s="155" t="str" cm="1">
        <f t="array" ref="M19">_xlfn.LET(_xlpm.denom,M$9,_xlpm.calc,COUNTIFS(Date,"&gt;="&amp;M$4,Date,"&lt;="&amp;M$5,shift_hrs,"&gt;"&amp;$P18,shift_hrs,"&lt;="&amp;$P19,Key_Gps,"*"&amp;M$1&amp;"*"),_xlpm.perc,_xlpm.calc/_xlpm.denom,IFERROR(IF(_xlpm.calc&lt;1000,_xlfn.CONCAT(_xlpm.calc," (",TEXT(_xlpm.perc,"0.0%"),")"),_xlfn.CONCAT(TEXT(_xlpm.calc,"0,000")," (",TEXT(_xlpm.perc,"0.0%"),")")),"-"))</f>
        <v>-</v>
      </c>
      <c r="N19" s="53" t="s">
        <v>64</v>
      </c>
      <c r="O19" s="74"/>
      <c r="P19" s="42">
        <v>12</v>
      </c>
      <c r="Q19" s="75" t="str">
        <f t="shared" si="3"/>
        <v/>
      </c>
      <c r="R19" s="76" t="e">
        <f t="shared" si="4"/>
        <v>#VALUE!</v>
      </c>
      <c r="S19" s="64">
        <f t="shared" si="15"/>
        <v>1</v>
      </c>
      <c r="T19" s="42" t="str">
        <f t="shared" ca="1" si="5"/>
        <v>-</v>
      </c>
      <c r="U19" s="42" t="str">
        <f t="shared" si="6"/>
        <v>-</v>
      </c>
      <c r="V19" s="42" t="str">
        <f t="shared" si="7"/>
        <v>-</v>
      </c>
      <c r="W19" s="42" t="str">
        <f t="shared" si="8"/>
        <v>-</v>
      </c>
      <c r="X19" s="42" t="str">
        <f t="shared" si="9"/>
        <v>-</v>
      </c>
      <c r="Y19" s="42" t="str">
        <f t="shared" si="10"/>
        <v>-</v>
      </c>
      <c r="Z19" s="42" t="str">
        <f t="shared" si="11"/>
        <v>-</v>
      </c>
      <c r="AA19" s="42" t="str">
        <f t="shared" si="12"/>
        <v>-</v>
      </c>
      <c r="AB19" s="42" t="str">
        <f t="shared" si="13"/>
        <v>-</v>
      </c>
      <c r="AC19" s="42" t="str">
        <f t="shared" si="14"/>
        <v>-</v>
      </c>
    </row>
    <row r="20" spans="1:29" ht="28.8" outlineLevel="1" x14ac:dyDescent="0.25">
      <c r="A20" s="42" t="s">
        <v>13</v>
      </c>
      <c r="B20" s="315"/>
      <c r="C20" s="55" t="s">
        <v>71</v>
      </c>
      <c r="D20" s="195" t="str">
        <f t="shared" ca="1" si="21"/>
        <v>-</v>
      </c>
      <c r="E20" s="65" t="str" cm="1">
        <f t="array" ref="E20">_xlfn.LET(_xlpm.denom,E$9,_xlpm.calc,COUNTIFS(Date,"&gt;="&amp;E$4,Date,"&lt;="&amp;E$5,shift_hrs,"&gt;"&amp;$P20,Key_Gps,"*"&amp;E$1&amp;"*"),_xlpm.perc,_xlpm.calc/_xlpm.denom,IFERROR(IF(_xlpm.calc&lt;1000,_xlfn.CONCAT(_xlpm.calc," (",TEXT(_xlpm.perc,"0.0%"),")"),_xlfn.CONCAT(TEXT(_xlpm.calc,"0,000")," (",TEXT(_xlpm.perc,"0.0%"),")")),"-"))</f>
        <v>-</v>
      </c>
      <c r="F20" s="65" t="str" cm="1">
        <f t="array" ref="F20">_xlfn.LET(_xlpm.denom,F$9,_xlpm.calc,COUNTIFS(Date,"&gt;="&amp;F$4,Date,"&lt;="&amp;F$5,shift_hrs,"&gt;"&amp;$P20,Key_Gps,"*"&amp;F$1&amp;"*"),_xlpm.perc,_xlpm.calc/_xlpm.denom,IFERROR(IF(_xlpm.calc&lt;1000,_xlfn.CONCAT(_xlpm.calc," (",TEXT(_xlpm.perc,"0.0%"),")"),_xlfn.CONCAT(TEXT(_xlpm.calc,"0,000")," (",TEXT(_xlpm.perc,"0.0%"),")")),"-"))</f>
        <v>-</v>
      </c>
      <c r="G20" s="65" t="str" cm="1">
        <f t="array" ref="G20">_xlfn.LET(_xlpm.denom,G$9,_xlpm.calc,COUNTIFS(Date,"&gt;="&amp;G$4,Date,"&lt;="&amp;G$5,shift_hrs,"&gt;"&amp;$P20,Key_Gps,"*"&amp;G$1&amp;"*"),_xlpm.perc,_xlpm.calc/_xlpm.denom,IFERROR(IF(_xlpm.calc&lt;1000,_xlfn.CONCAT(_xlpm.calc," (",TEXT(_xlpm.perc,"0.0%"),")"),_xlfn.CONCAT(TEXT(_xlpm.calc,"0,000")," (",TEXT(_xlpm.perc,"0.0%"),")")),"-"))</f>
        <v>-</v>
      </c>
      <c r="H20" s="65" t="str" cm="1">
        <f t="array" ref="H20">_xlfn.LET(_xlpm.denom,H$9,_xlpm.calc,COUNTIFS(Date,"&gt;="&amp;H$4,Date,"&lt;="&amp;H$5,shift_hrs,"&gt;"&amp;$P20,Key_Gps,"*"&amp;H$1&amp;"*"),_xlpm.perc,_xlpm.calc/_xlpm.denom,IFERROR(IF(_xlpm.calc&lt;1000,_xlfn.CONCAT(_xlpm.calc," (",TEXT(_xlpm.perc,"0.0%"),")"),_xlfn.CONCAT(TEXT(_xlpm.calc,"0,000")," (",TEXT(_xlpm.perc,"0.0%"),")")),"-"))</f>
        <v>-</v>
      </c>
      <c r="I20" s="65" t="str" cm="1">
        <f t="array" ref="I20">_xlfn.LET(_xlpm.denom,I$9,_xlpm.calc,COUNTIFS(Date,"&gt;="&amp;I$4,Date,"&lt;="&amp;I$5,shift_hrs,"&gt;"&amp;$P20,Key_Gps,"*"&amp;I$1&amp;"*"),_xlpm.perc,_xlpm.calc/_xlpm.denom,IFERROR(IF(_xlpm.calc&lt;1000,_xlfn.CONCAT(_xlpm.calc," (",TEXT(_xlpm.perc,"0.0%"),")"),_xlfn.CONCAT(TEXT(_xlpm.calc,"0,000")," (",TEXT(_xlpm.perc,"0.0%"),")")),"-"))</f>
        <v>-</v>
      </c>
      <c r="J20" s="65" t="str" cm="1">
        <f t="array" ref="J20">_xlfn.LET(_xlpm.denom,J$9,_xlpm.calc,COUNTIFS(Date,"&gt;="&amp;J$4,Date,"&lt;="&amp;J$5,shift_hrs,"&gt;"&amp;$P20,Key_Gps,"*"&amp;J$1&amp;"*"),_xlpm.perc,_xlpm.calc/_xlpm.denom,IFERROR(IF(_xlpm.calc&lt;1000,_xlfn.CONCAT(_xlpm.calc," (",TEXT(_xlpm.perc,"0.0%"),")"),_xlfn.CONCAT(TEXT(_xlpm.calc,"0,000")," (",TEXT(_xlpm.perc,"0.0%"),")")),"-"))</f>
        <v>-</v>
      </c>
      <c r="K20" s="65" t="str" cm="1">
        <f t="array" ref="K20">_xlfn.LET(_xlpm.denom,K$9,_xlpm.calc,COUNTIFS(Date,"&gt;="&amp;K$4,Date,"&lt;="&amp;K$5,shift_hrs,"&gt;"&amp;$P20,Key_Gps,"*"&amp;K$1&amp;"*"),_xlpm.perc,_xlpm.calc/_xlpm.denom,IFERROR(IF(_xlpm.calc&lt;1000,_xlfn.CONCAT(_xlpm.calc," (",TEXT(_xlpm.perc,"0.0%"),")"),_xlfn.CONCAT(TEXT(_xlpm.calc,"0,000")," (",TEXT(_xlpm.perc,"0.0%"),")")),"-"))</f>
        <v>-</v>
      </c>
      <c r="L20" s="65" t="str" cm="1">
        <f t="array" ref="L20">_xlfn.LET(_xlpm.denom,L$9,_xlpm.calc,COUNTIFS(Date,"&gt;="&amp;L$4,Date,"&lt;="&amp;L$5,shift_hrs,"&gt;"&amp;$P20,Key_Gps,"*"&amp;L$1&amp;"*"),_xlpm.perc,_xlpm.calc/_xlpm.denom,IFERROR(IF(_xlpm.calc&lt;1000,_xlfn.CONCAT(_xlpm.calc," (",TEXT(_xlpm.perc,"0.0%"),")"),_xlfn.CONCAT(TEXT(_xlpm.calc,"0,000")," (",TEXT(_xlpm.perc,"0.0%"),")")),"-"))</f>
        <v>-</v>
      </c>
      <c r="M20" s="155" t="str" cm="1">
        <f t="array" ref="M20">_xlfn.LET(_xlpm.denom,M$9,_xlpm.calc,COUNTIFS(Date,"&gt;="&amp;M$4,Date,"&lt;="&amp;M$5,shift_hrs,"&gt;"&amp;$P20,Key_Gps,"*"&amp;M$1&amp;"*"),_xlpm.perc,_xlpm.calc/_xlpm.denom,IFERROR(IF(_xlpm.calc&lt;1000,_xlfn.CONCAT(_xlpm.calc," (",TEXT(_xlpm.perc,"0.0%"),")"),_xlfn.CONCAT(TEXT(_xlpm.calc,"0,000")," (",TEXT(_xlpm.perc,"0.0%"),")")),"-"))</f>
        <v>-</v>
      </c>
      <c r="N20" s="53" t="s">
        <v>64</v>
      </c>
      <c r="O20" s="74"/>
      <c r="P20" s="42">
        <v>12</v>
      </c>
      <c r="Q20" s="75" t="str">
        <f t="shared" si="3"/>
        <v/>
      </c>
      <c r="R20" s="76" t="e">
        <f t="shared" si="4"/>
        <v>#VALUE!</v>
      </c>
      <c r="S20" s="64">
        <f t="shared" si="15"/>
        <v>1</v>
      </c>
      <c r="T20" s="42" t="str">
        <f t="shared" ca="1" si="5"/>
        <v>-</v>
      </c>
      <c r="U20" s="42" t="str">
        <f t="shared" si="6"/>
        <v>-</v>
      </c>
      <c r="V20" s="42" t="str">
        <f t="shared" si="7"/>
        <v>-</v>
      </c>
      <c r="W20" s="42" t="str">
        <f t="shared" si="8"/>
        <v>-</v>
      </c>
      <c r="X20" s="42" t="str">
        <f t="shared" si="9"/>
        <v>-</v>
      </c>
      <c r="Y20" s="42" t="str">
        <f t="shared" si="10"/>
        <v>-</v>
      </c>
      <c r="Z20" s="42" t="str">
        <f t="shared" si="11"/>
        <v>-</v>
      </c>
      <c r="AA20" s="42" t="str">
        <f t="shared" si="12"/>
        <v>-</v>
      </c>
      <c r="AB20" s="42" t="str">
        <f t="shared" si="13"/>
        <v>-</v>
      </c>
      <c r="AC20" s="42" t="str">
        <f t="shared" si="14"/>
        <v>-</v>
      </c>
    </row>
    <row r="21" spans="1:29" x14ac:dyDescent="0.25">
      <c r="A21" s="42">
        <v>1</v>
      </c>
      <c r="B21" s="180"/>
      <c r="C21" s="79"/>
      <c r="D21" s="198"/>
      <c r="E21" s="80"/>
      <c r="F21" s="80"/>
      <c r="G21" s="80"/>
      <c r="H21" s="80"/>
      <c r="I21" s="80"/>
      <c r="J21" s="80"/>
      <c r="K21" s="80"/>
      <c r="L21" s="80"/>
      <c r="M21" s="165"/>
      <c r="N21" s="42"/>
      <c r="O21" s="74"/>
      <c r="Q21" s="75" t="str">
        <f t="shared" si="3"/>
        <v/>
      </c>
      <c r="R21" s="76" t="str">
        <f t="shared" si="4"/>
        <v/>
      </c>
      <c r="S21" s="64" t="str">
        <f t="shared" si="15"/>
        <v/>
      </c>
      <c r="T21" s="42" t="str">
        <f t="shared" si="5"/>
        <v/>
      </c>
      <c r="U21" s="42" t="str">
        <f t="shared" si="6"/>
        <v/>
      </c>
      <c r="V21" s="42" t="str">
        <f t="shared" si="7"/>
        <v/>
      </c>
      <c r="W21" s="42" t="str">
        <f t="shared" si="8"/>
        <v/>
      </c>
      <c r="X21" s="42" t="str">
        <f t="shared" si="9"/>
        <v/>
      </c>
      <c r="Y21" s="42" t="str">
        <f t="shared" si="10"/>
        <v/>
      </c>
      <c r="Z21" s="42" t="str">
        <f t="shared" si="11"/>
        <v/>
      </c>
      <c r="AA21" s="42" t="str">
        <f t="shared" si="12"/>
        <v/>
      </c>
      <c r="AB21" s="42" t="str">
        <f t="shared" si="13"/>
        <v/>
      </c>
      <c r="AC21" s="42" t="str">
        <f t="shared" si="14"/>
        <v/>
      </c>
    </row>
    <row r="22" spans="1:29" ht="28.8" outlineLevel="1" x14ac:dyDescent="0.25">
      <c r="A22" s="42" t="s">
        <v>13</v>
      </c>
      <c r="B22" s="314" t="s">
        <v>72</v>
      </c>
      <c r="C22" s="51" t="s">
        <v>73</v>
      </c>
      <c r="D22" s="193">
        <f>D$4</f>
        <v>43466</v>
      </c>
      <c r="E22" s="52" t="e" cm="1">
        <f t="array" ref="E22">_xlfn.LET(_xlpm.calc,_xlfn.MINIFS(Pay_Period_End,Pay_Key_Gps,"*"&amp;E$1&amp;"*"),IF(ISNUMBER(E$3),IF(DATE(E$3,12,31) &lt; MIN(Pay_Period_End), "-", MAX(DATE(E$3,1,1),_xlpm.calc)),_xlpm.calc))</f>
        <v>#NAME?</v>
      </c>
      <c r="F22" s="52" t="e" cm="1">
        <f t="array" ref="F22">_xlfn.LET(_xlpm.calc,_xlfn.MINIFS(Pay_Period_End,Pay_Key_Gps,"*"&amp;F$1&amp;"*"),IF(ISNUMBER(F$3),IF(DATE(F$3,12,31) &lt; MIN(Pay_Period_End), "-", MAX(DATE(F$3,1,1),_xlpm.calc)),_xlpm.calc))</f>
        <v>#NAME?</v>
      </c>
      <c r="G22" s="52" t="e" cm="1">
        <f t="array" ref="G22">_xlfn.LET(_xlpm.calc,_xlfn.MINIFS(Pay_Period_End,Pay_Key_Gps,"*"&amp;G$1&amp;"*"),IF(ISNUMBER(G$3),IF(DATE(G$3,12,31) &lt; MIN(Pay_Period_End), "-", MAX(DATE(G$3,1,1),_xlpm.calc)),_xlpm.calc))</f>
        <v>#NAME?</v>
      </c>
      <c r="H22" s="52" t="e" cm="1">
        <f t="array" ref="H22">_xlfn.LET(_xlpm.calc,_xlfn.MINIFS(Pay_Period_End,Pay_Key_Gps,"*"&amp;H$1&amp;"*"),IF(ISNUMBER(H$3),IF(DATE(H$3,12,31) &lt; MIN(Pay_Period_End), "-", MAX(DATE(H$3,1,1),_xlpm.calc)),_xlpm.calc))</f>
        <v>#NAME?</v>
      </c>
      <c r="I22" s="52" t="e" cm="1">
        <f t="array" ref="I22">_xlfn.LET(_xlpm.calc,_xlfn.MINIFS(Pay_Period_End,Pay_Key_Gps,"*"&amp;I$1&amp;"*"),IF(ISNUMBER(I$3),IF(DATE(I$3,12,31) &lt; MIN(Pay_Period_End), "-", MAX(DATE(I$3,1,1),_xlpm.calc)),_xlpm.calc))</f>
        <v>#NAME?</v>
      </c>
      <c r="J22" s="52" t="e" cm="1">
        <f t="array" ref="J22">_xlfn.LET(_xlpm.calc,_xlfn.MINIFS(Pay_Period_End,Pay_Key_Gps,"*"&amp;J$1&amp;"*"),IF(ISNUMBER(J$3),IF(DATE(J$3,12,31) &lt; MIN(Pay_Period_End), "-", MAX(DATE(J$3,1,1),_xlpm.calc)),_xlpm.calc))</f>
        <v>#NAME?</v>
      </c>
      <c r="K22" s="52" t="e" cm="1">
        <f t="array" ref="K22">_xlfn.LET(_xlpm.calc,_xlfn.MINIFS(Pay_Period_End,Pay_Key_Gps,"*"&amp;K$1&amp;"*"),IF(ISNUMBER(K$3),IF(DATE(K$3,12,31) &lt; MIN(Pay_Period_End), "-", MAX(DATE(K$3,1,1),_xlpm.calc)),_xlpm.calc))</f>
        <v>#NAME?</v>
      </c>
      <c r="L22" s="52" t="e" cm="1">
        <f t="array" ref="L22">_xlfn.LET(_xlpm.calc,_xlfn.MINIFS(Pay_Period_End,Pay_Key_Gps,"*"&amp;L$1&amp;"*"),IF(ISNUMBER(L$3),IF(DATE(L$3,12,31) &lt; MIN(Pay_Period_End), "-", MAX(DATE(L$3,1,1),_xlpm.calc)),_xlpm.calc))</f>
        <v>#NAME?</v>
      </c>
      <c r="M22" s="154" t="e" cm="1">
        <f t="array" ref="M22">_xlfn.LET(_xlpm.calc,_xlfn.MINIFS(Pay_Period_End,Pay_Key_Gps,"*"&amp;M$1&amp;"*"),IF(ISNUMBER(M$3),IF(DATE(M$3,12,31) &lt; MIN(Pay_Period_End), "-", MAX(DATE(M$3,1,1),_xlpm.calc)),_xlpm.calc))</f>
        <v>#NAME?</v>
      </c>
      <c r="N22" s="53"/>
      <c r="O22" s="74"/>
      <c r="Q22" s="75" t="str">
        <f t="shared" si="3"/>
        <v/>
      </c>
      <c r="R22" s="76" t="str">
        <f t="shared" si="4"/>
        <v/>
      </c>
      <c r="S22" s="64" t="str">
        <f t="shared" si="15"/>
        <v/>
      </c>
      <c r="T22" s="42" t="str">
        <f t="shared" si="5"/>
        <v/>
      </c>
      <c r="U22" s="42" t="str">
        <f t="shared" si="6"/>
        <v/>
      </c>
      <c r="V22" s="42" t="str">
        <f t="shared" si="7"/>
        <v/>
      </c>
      <c r="W22" s="42" t="str">
        <f t="shared" si="8"/>
        <v/>
      </c>
      <c r="X22" s="42" t="str">
        <f t="shared" si="9"/>
        <v/>
      </c>
      <c r="Y22" s="42" t="str">
        <f t="shared" si="10"/>
        <v/>
      </c>
      <c r="Z22" s="42" t="str">
        <f t="shared" si="11"/>
        <v/>
      </c>
      <c r="AA22" s="42" t="str">
        <f t="shared" si="12"/>
        <v/>
      </c>
      <c r="AB22" s="42" t="str">
        <f t="shared" si="13"/>
        <v/>
      </c>
      <c r="AC22" s="42" t="str">
        <f t="shared" si="14"/>
        <v/>
      </c>
    </row>
    <row r="23" spans="1:29" ht="28.8" outlineLevel="1" x14ac:dyDescent="0.25">
      <c r="A23" s="42" t="s">
        <v>13</v>
      </c>
      <c r="B23" s="314"/>
      <c r="C23" s="51" t="s">
        <v>74</v>
      </c>
      <c r="D23" s="193">
        <f ca="1">D$5</f>
        <v>46083</v>
      </c>
      <c r="E23" s="52" t="e" cm="1">
        <f t="array" ref="E23">_xlfn.LET(_xlpm.calc,_xlfn.MAXIFS(Pay_Period_End,Pay_Key_Gps,"*"&amp;E$1&amp;"*"),IF(ISNUMBER(E$3),IF(OR(DATE(E$3,12,31) &lt; MIN(Pay_Period_End),DATE(E$3,1,1)&gt;MAX(Pay_Period_End)), "-", MIN(DATE(E$3,12,31),_xlpm.calc)),_xlpm.calc))</f>
        <v>#NAME?</v>
      </c>
      <c r="F23" s="52" t="e" cm="1">
        <f t="array" ref="F23">_xlfn.LET(_xlpm.calc,_xlfn.MAXIFS(Pay_Period_End,Pay_Key_Gps,"*"&amp;F$1&amp;"*"),IF(ISNUMBER(F$3),IF(OR(DATE(F$3,12,31) &lt; MIN(Pay_Period_End),DATE(F$3,1,1)&gt;MAX(Pay_Period_End)), "-", MIN(DATE(F$3,12,31),_xlpm.calc)),_xlpm.calc))</f>
        <v>#NAME?</v>
      </c>
      <c r="G23" s="52" t="e" cm="1">
        <f t="array" ref="G23">_xlfn.LET(_xlpm.calc,_xlfn.MAXIFS(Pay_Period_End,Pay_Key_Gps,"*"&amp;G$1&amp;"*"),IF(ISNUMBER(G$3),IF(OR(DATE(G$3,12,31) &lt; MIN(Pay_Period_End),DATE(G$3,1,1)&gt;MAX(Pay_Period_End)), "-", MIN(DATE(G$3,12,31),_xlpm.calc)),_xlpm.calc))</f>
        <v>#NAME?</v>
      </c>
      <c r="H23" s="52" t="e" cm="1">
        <f t="array" ref="H23">_xlfn.LET(_xlpm.calc,_xlfn.MAXIFS(Pay_Period_End,Pay_Key_Gps,"*"&amp;H$1&amp;"*"),IF(ISNUMBER(H$3),IF(OR(DATE(H$3,12,31) &lt; MIN(Pay_Period_End),DATE(H$3,1,1)&gt;MAX(Pay_Period_End)), "-", MIN(DATE(H$3,12,31),_xlpm.calc)),_xlpm.calc))</f>
        <v>#NAME?</v>
      </c>
      <c r="I23" s="52" t="e" cm="1">
        <f t="array" ref="I23">_xlfn.LET(_xlpm.calc,_xlfn.MAXIFS(Pay_Period_End,Pay_Key_Gps,"*"&amp;I$1&amp;"*"),IF(ISNUMBER(I$3),IF(OR(DATE(I$3,12,31) &lt; MIN(Pay_Period_End),DATE(I$3,1,1)&gt;MAX(Pay_Period_End)), "-", MIN(DATE(I$3,12,31),_xlpm.calc)),_xlpm.calc))</f>
        <v>#NAME?</v>
      </c>
      <c r="J23" s="52" t="e" cm="1">
        <f t="array" ref="J23">_xlfn.LET(_xlpm.calc,_xlfn.MAXIFS(Pay_Period_End,Pay_Key_Gps,"*"&amp;J$1&amp;"*"),IF(ISNUMBER(J$3),IF(OR(DATE(J$3,12,31) &lt; MIN(Pay_Period_End),DATE(J$3,1,1)&gt;MAX(Pay_Period_End)), "-", MIN(DATE(J$3,12,31),_xlpm.calc)),_xlpm.calc))</f>
        <v>#NAME?</v>
      </c>
      <c r="K23" s="52" t="e" cm="1">
        <f t="array" ref="K23">_xlfn.LET(_xlpm.calc,_xlfn.MAXIFS(Pay_Period_End,Pay_Key_Gps,"*"&amp;K$1&amp;"*"),IF(ISNUMBER(K$3),IF(OR(DATE(K$3,12,31) &lt; MIN(Pay_Period_End),DATE(K$3,1,1)&gt;MAX(Pay_Period_End)), "-", MIN(DATE(K$3,12,31),_xlpm.calc)),_xlpm.calc))</f>
        <v>#NAME?</v>
      </c>
      <c r="L23" s="52" t="e" cm="1">
        <f t="array" ref="L23">_xlfn.LET(_xlpm.calc,_xlfn.MAXIFS(Pay_Period_End,Pay_Key_Gps,"*"&amp;L$1&amp;"*"),IF(ISNUMBER(L$3),IF(OR(DATE(L$3,12,31) &lt; MIN(Pay_Period_End),DATE(L$3,1,1)&gt;MAX(Pay_Period_End)), "-", MIN(DATE(L$3,12,31),_xlpm.calc)),_xlpm.calc))</f>
        <v>#NAME?</v>
      </c>
      <c r="M23" s="154" t="e" cm="1">
        <f t="array" ref="M23">_xlfn.LET(_xlpm.calc,_xlfn.MAXIFS(Pay_Period_End,Pay_Key_Gps,"*"&amp;M$1&amp;"*"),IF(ISNUMBER(M$3),IF(OR(DATE(M$3,12,31) &lt; MIN(Pay_Period_End),DATE(M$3,1,1)&gt;MAX(Pay_Period_End)), "-", MIN(DATE(M$3,12,31),_xlpm.calc)),_xlpm.calc))</f>
        <v>#NAME?</v>
      </c>
      <c r="N23" s="53"/>
      <c r="O23" s="74"/>
      <c r="Q23" s="75" t="str">
        <f t="shared" si="3"/>
        <v/>
      </c>
      <c r="R23" s="76" t="str">
        <f t="shared" si="4"/>
        <v/>
      </c>
      <c r="S23" s="64" t="str">
        <f t="shared" si="15"/>
        <v/>
      </c>
      <c r="T23" s="42" t="str">
        <f t="shared" si="5"/>
        <v/>
      </c>
      <c r="U23" s="42" t="str">
        <f t="shared" si="6"/>
        <v/>
      </c>
      <c r="V23" s="42" t="str">
        <f t="shared" si="7"/>
        <v/>
      </c>
      <c r="W23" s="42" t="str">
        <f t="shared" si="8"/>
        <v/>
      </c>
      <c r="X23" s="42" t="str">
        <f t="shared" si="9"/>
        <v/>
      </c>
      <c r="Y23" s="42" t="str">
        <f t="shared" si="10"/>
        <v/>
      </c>
      <c r="Z23" s="42" t="str">
        <f t="shared" si="11"/>
        <v/>
      </c>
      <c r="AA23" s="42" t="str">
        <f t="shared" si="12"/>
        <v/>
      </c>
      <c r="AB23" s="42" t="str">
        <f t="shared" si="13"/>
        <v/>
      </c>
      <c r="AC23" s="42" t="str">
        <f t="shared" si="14"/>
        <v/>
      </c>
    </row>
    <row r="24" spans="1:29" ht="28.8" outlineLevel="1" x14ac:dyDescent="0.25">
      <c r="A24" s="42" t="s">
        <v>13</v>
      </c>
      <c r="B24" s="314"/>
      <c r="C24" s="55" t="s">
        <v>75</v>
      </c>
      <c r="D24" s="195">
        <f>D$6</f>
        <v>0</v>
      </c>
      <c r="E24" s="56" cm="1">
        <f t="array" ref="E24">IFERROR(ROWS(_xlfn.UNIQUE(_xlfn._xlws.FILTER(Pay_ID,(Pay_Period_End &gt;= E$22) * (Pay_Period_End &lt;= E$23) * (IFERROR(SEARCH(E$1,Pay_Key_Gps),0)&gt;0)))),0)</f>
        <v>0</v>
      </c>
      <c r="F24" s="56" cm="1">
        <f t="array" ref="F24">IFERROR(ROWS(_xlfn.UNIQUE(_xlfn._xlws.FILTER(Pay_ID,(Pay_Period_End &gt;= F$22) * (Pay_Period_End &lt;= F$23) * (IFERROR(SEARCH(F$1,Pay_Key_Gps),0)&gt;0)))),0)</f>
        <v>0</v>
      </c>
      <c r="G24" s="56" cm="1">
        <f t="array" ref="G24">IFERROR(ROWS(_xlfn.UNIQUE(_xlfn._xlws.FILTER(Pay_ID,(Pay_Period_End &gt;= G$22) * (Pay_Period_End &lt;= G$23) * (IFERROR(SEARCH(G$1,Pay_Key_Gps),0)&gt;0)))),0)</f>
        <v>0</v>
      </c>
      <c r="H24" s="56" cm="1">
        <f t="array" ref="H24">IFERROR(ROWS(_xlfn.UNIQUE(_xlfn._xlws.FILTER(Pay_ID,(Pay_Period_End &gt;= H$22) * (Pay_Period_End &lt;= H$23) * (IFERROR(SEARCH(H$1,Pay_Key_Gps),0)&gt;0)))),0)</f>
        <v>0</v>
      </c>
      <c r="I24" s="56" cm="1">
        <f t="array" ref="I24">IFERROR(ROWS(_xlfn.UNIQUE(_xlfn._xlws.FILTER(Pay_ID,(Pay_Period_End &gt;= I$22) * (Pay_Period_End &lt;= I$23) * (IFERROR(SEARCH(I$1,Pay_Key_Gps),0)&gt;0)))),0)</f>
        <v>0</v>
      </c>
      <c r="J24" s="56" cm="1">
        <f t="array" ref="J24">IFERROR(ROWS(_xlfn.UNIQUE(_xlfn._xlws.FILTER(Pay_ID,(Pay_Period_End &gt;= J$22) * (Pay_Period_End &lt;= J$23) * (IFERROR(SEARCH(J$1,Pay_Key_Gps),0)&gt;0)))),0)</f>
        <v>0</v>
      </c>
      <c r="K24" s="56" cm="1">
        <f t="array" ref="K24">IFERROR(ROWS(_xlfn.UNIQUE(_xlfn._xlws.FILTER(Pay_ID,(Pay_Period_End &gt;= K$22) * (Pay_Period_End &lt;= K$23) * (IFERROR(SEARCH(K$1,Pay_Key_Gps),0)&gt;0)))),0)</f>
        <v>0</v>
      </c>
      <c r="L24" s="56" cm="1">
        <f t="array" ref="L24">IFERROR(ROWS(_xlfn.UNIQUE(_xlfn._xlws.FILTER(Pay_ID,(Pay_Period_End &gt;= L$22) * (Pay_Period_End &lt;= L$23) * (IFERROR(SEARCH(L$1,Pay_Key_Gps),0)&gt;0)))),0)</f>
        <v>0</v>
      </c>
      <c r="M24" s="155" cm="1">
        <f t="array" ref="M24">IFERROR(ROWS(_xlfn.UNIQUE(_xlfn._xlws.FILTER(Pay_ID,(Pay_Period_End &gt;= M$22) * (Pay_Period_End &lt;= M$23) * (IFERROR(SEARCH(M$1,Pay_Key_Gps),0)&gt;0)))),0)</f>
        <v>0</v>
      </c>
      <c r="N24" s="53"/>
      <c r="O24" s="74"/>
      <c r="Q24" s="75" t="str">
        <f t="shared" si="3"/>
        <v/>
      </c>
      <c r="R24" s="76" t="str">
        <f t="shared" si="4"/>
        <v/>
      </c>
      <c r="S24" s="64" t="str">
        <f t="shared" si="15"/>
        <v/>
      </c>
      <c r="T24" s="42" t="str">
        <f t="shared" si="5"/>
        <v/>
      </c>
      <c r="U24" s="42" t="str">
        <f t="shared" si="6"/>
        <v/>
      </c>
      <c r="V24" s="42" t="str">
        <f t="shared" si="7"/>
        <v/>
      </c>
      <c r="W24" s="42" t="str">
        <f t="shared" si="8"/>
        <v/>
      </c>
      <c r="X24" s="42" t="str">
        <f t="shared" si="9"/>
        <v/>
      </c>
      <c r="Y24" s="42" t="str">
        <f t="shared" si="10"/>
        <v/>
      </c>
      <c r="Z24" s="42" t="str">
        <f t="shared" si="11"/>
        <v/>
      </c>
      <c r="AA24" s="42" t="str">
        <f t="shared" si="12"/>
        <v/>
      </c>
      <c r="AB24" s="42" t="str">
        <f t="shared" si="13"/>
        <v/>
      </c>
      <c r="AC24" s="42" t="str">
        <f t="shared" si="14"/>
        <v/>
      </c>
    </row>
    <row r="25" spans="1:29" ht="28.8" outlineLevel="1" x14ac:dyDescent="0.25">
      <c r="A25" s="42" t="s">
        <v>13</v>
      </c>
      <c r="B25" s="314"/>
      <c r="C25" s="55" t="s">
        <v>76</v>
      </c>
      <c r="D25" s="199" t="str">
        <f>E25</f>
        <v>-</v>
      </c>
      <c r="E25" s="81" t="str" cm="1">
        <f t="array" ref="E25">IFERROR(AVERAGEIFS(Base_Rate1,Pay_Period_End,"&gt;="&amp;E$22,Pay_Period_End,"&lt;="&amp;E$23,Pay_Key_Gps,"*"&amp;E$1&amp;"*",Base_Rate1,"&gt;5"),"-")</f>
        <v>-</v>
      </c>
      <c r="F25" s="81" t="str" cm="1">
        <f t="array" ref="F25">IFERROR(AVERAGEIFS(Base_Rate1,Pay_Period_End,"&gt;="&amp;F$22,Pay_Period_End,"&lt;="&amp;F$23,Pay_Key_Gps,"*"&amp;F$1&amp;"*",Base_Rate1,"&gt;5"),"-")</f>
        <v>-</v>
      </c>
      <c r="G25" s="81" t="str" cm="1">
        <f t="array" ref="G25">IFERROR(AVERAGEIFS(Base_Rate1,Pay_Period_End,"&gt;="&amp;G$22,Pay_Period_End,"&lt;="&amp;G$23,Pay_Key_Gps,"*"&amp;G$1&amp;"*",Base_Rate1,"&gt;5"),"-")</f>
        <v>-</v>
      </c>
      <c r="H25" s="81" t="str" cm="1">
        <f t="array" ref="H25">IFERROR(AVERAGEIFS(Base_Rate1,Pay_Period_End,"&gt;="&amp;H$22,Pay_Period_End,"&lt;="&amp;H$23,Pay_Key_Gps,"*"&amp;H$1&amp;"*",Base_Rate1,"&gt;5"),"-")</f>
        <v>-</v>
      </c>
      <c r="I25" s="81" t="str" cm="1">
        <f t="array" ref="I25">IFERROR(AVERAGEIFS(Base_Rate1,Pay_Period_End,"&gt;="&amp;I$22,Pay_Period_End,"&lt;="&amp;I$23,Pay_Key_Gps,"*"&amp;I$1&amp;"*",Base_Rate1,"&gt;5"),"-")</f>
        <v>-</v>
      </c>
      <c r="J25" s="81" t="str" cm="1">
        <f t="array" ref="J25">IFERROR(AVERAGEIFS(Base_Rate1,Pay_Period_End,"&gt;="&amp;J$22,Pay_Period_End,"&lt;="&amp;J$23,Pay_Key_Gps,"*"&amp;J$1&amp;"*",Base_Rate1,"&gt;5"),"-")</f>
        <v>-</v>
      </c>
      <c r="K25" s="81" t="str" cm="1">
        <f t="array" ref="K25">IFERROR(AVERAGEIFS(Base_Rate1,Pay_Period_End,"&gt;="&amp;K$22,Pay_Period_End,"&lt;="&amp;K$23,Pay_Key_Gps,"*"&amp;K$1&amp;"*",Base_Rate1,"&gt;5"),"-")</f>
        <v>-</v>
      </c>
      <c r="L25" s="81" t="str" cm="1">
        <f t="array" ref="L25">IFERROR(AVERAGEIFS(Base_Rate1,Pay_Period_End,"&gt;="&amp;L$22,Pay_Period_End,"&lt;="&amp;L$23,Pay_Key_Gps,"*"&amp;L$1&amp;"*",Base_Rate1,"&gt;5"),"-")</f>
        <v>-</v>
      </c>
      <c r="M25" s="166" t="str" cm="1">
        <f t="array" ref="M25">IFERROR(AVERAGEIFS(Base_Rate1,Pay_Period_End,"&gt;="&amp;M$22,Pay_Period_End,"&lt;="&amp;M$23,Pay_Key_Gps,"*"&amp;M$1&amp;"*",Base_Rate1,"&gt;5"),"-")</f>
        <v>-</v>
      </c>
      <c r="N25" s="53"/>
      <c r="O25" s="74"/>
      <c r="Q25" s="75" t="str">
        <f t="shared" si="3"/>
        <v/>
      </c>
      <c r="R25" s="76" t="str">
        <f t="shared" si="4"/>
        <v/>
      </c>
      <c r="S25" s="64" t="str">
        <f t="shared" si="15"/>
        <v/>
      </c>
      <c r="T25" s="42" t="str">
        <f t="shared" si="5"/>
        <v/>
      </c>
      <c r="U25" s="42" t="str">
        <f t="shared" si="6"/>
        <v/>
      </c>
      <c r="V25" s="42" t="str">
        <f t="shared" si="7"/>
        <v/>
      </c>
      <c r="W25" s="42" t="str">
        <f t="shared" si="8"/>
        <v/>
      </c>
      <c r="X25" s="42" t="str">
        <f t="shared" si="9"/>
        <v/>
      </c>
      <c r="Y25" s="42" t="str">
        <f t="shared" si="10"/>
        <v/>
      </c>
      <c r="Z25" s="42" t="str">
        <f t="shared" si="11"/>
        <v/>
      </c>
      <c r="AA25" s="42" t="str">
        <f t="shared" si="12"/>
        <v/>
      </c>
      <c r="AB25" s="42" t="str">
        <f t="shared" si="13"/>
        <v/>
      </c>
      <c r="AC25" s="42" t="str">
        <f t="shared" si="14"/>
        <v/>
      </c>
    </row>
    <row r="26" spans="1:29" ht="28.8" outlineLevel="1" x14ac:dyDescent="0.25">
      <c r="A26" s="42" t="s">
        <v>13</v>
      </c>
      <c r="B26" s="314"/>
      <c r="C26" s="55" t="s">
        <v>77</v>
      </c>
      <c r="D26" s="195" t="e">
        <f ca="1">D$7</f>
        <v>#NAME?</v>
      </c>
      <c r="E26" s="56" cm="1">
        <f t="array" ref="E26">IFERROR(ROWS(_xlfn.UNIQUE(_xlfn._xlws.FILTER(Pay_ID_Period_End,(Pay_Period_End &gt;= E$22) * (Pay_Period_End &lt;= E$23) * (IFERROR(SEARCH(E$1,Pay_Key_Gps),0)&gt;0)))),0)</f>
        <v>0</v>
      </c>
      <c r="F26" s="56" cm="1">
        <f t="array" ref="F26">IFERROR(ROWS(_xlfn.UNIQUE(_xlfn._xlws.FILTER(Pay_ID_Period_End,(Pay_Period_End &gt;= F$22) * (Pay_Period_End &lt;= F$23) * (IFERROR(SEARCH(F$1,Pay_Key_Gps),0)&gt;0)))),0)</f>
        <v>0</v>
      </c>
      <c r="G26" s="56" cm="1">
        <f t="array" ref="G26">IFERROR(ROWS(_xlfn.UNIQUE(_xlfn._xlws.FILTER(Pay_ID_Period_End,(Pay_Period_End &gt;= G$22) * (Pay_Period_End &lt;= G$23) * (IFERROR(SEARCH(G$1,Pay_Key_Gps),0)&gt;0)))),0)</f>
        <v>0</v>
      </c>
      <c r="H26" s="56" cm="1">
        <f t="array" ref="H26">IFERROR(ROWS(_xlfn.UNIQUE(_xlfn._xlws.FILTER(Pay_ID_Period_End,(Pay_Period_End &gt;= H$22) * (Pay_Period_End &lt;= H$23) * (IFERROR(SEARCH(H$1,Pay_Key_Gps),0)&gt;0)))),0)</f>
        <v>0</v>
      </c>
      <c r="I26" s="56" cm="1">
        <f t="array" ref="I26">IFERROR(ROWS(_xlfn.UNIQUE(_xlfn._xlws.FILTER(Pay_ID_Period_End,(Pay_Period_End &gt;= I$22) * (Pay_Period_End &lt;= I$23) * (IFERROR(SEARCH(I$1,Pay_Key_Gps),0)&gt;0)))),0)</f>
        <v>0</v>
      </c>
      <c r="J26" s="56" cm="1">
        <f t="array" ref="J26">IFERROR(ROWS(_xlfn.UNIQUE(_xlfn._xlws.FILTER(Pay_ID_Period_End,(Pay_Period_End &gt;= J$22) * (Pay_Period_End &lt;= J$23) * (IFERROR(SEARCH(J$1,Pay_Key_Gps),0)&gt;0)))),0)</f>
        <v>0</v>
      </c>
      <c r="K26" s="56" cm="1">
        <f t="array" ref="K26">IFERROR(ROWS(_xlfn.UNIQUE(_xlfn._xlws.FILTER(Pay_ID_Period_End,(Pay_Period_End &gt;= K$22) * (Pay_Period_End &lt;= K$23) * (IFERROR(SEARCH(K$1,Pay_Key_Gps),0)&gt;0)))),0)</f>
        <v>0</v>
      </c>
      <c r="L26" s="56" cm="1">
        <f t="array" ref="L26">IFERROR(ROWS(_xlfn.UNIQUE(_xlfn._xlws.FILTER(Pay_ID_Period_End,(Pay_Period_End &gt;= L$22) * (Pay_Period_End &lt;= L$23) * (IFERROR(SEARCH(L$1,Pay_Key_Gps),0)&gt;0)))),0)</f>
        <v>0</v>
      </c>
      <c r="M26" s="155" cm="1">
        <f t="array" ref="M26">IFERROR(ROWS(_xlfn.UNIQUE(_xlfn._xlws.FILTER(Pay_ID_Period_End,(Pay_Period_End &gt;= M$22) * (Pay_Period_End &lt;= M$23) * (IFERROR(SEARCH(M$1,Pay_Key_Gps),0)&gt;0)))),0)</f>
        <v>0</v>
      </c>
      <c r="N26" s="53"/>
      <c r="O26" s="74"/>
      <c r="Q26" s="75" t="str">
        <f t="shared" si="3"/>
        <v/>
      </c>
      <c r="R26" s="76">
        <f t="shared" si="4"/>
        <v>0</v>
      </c>
      <c r="S26" s="64">
        <f t="shared" si="15"/>
        <v>1</v>
      </c>
      <c r="T26" s="42" t="e">
        <f t="shared" ca="1" si="5"/>
        <v>#NAME?</v>
      </c>
      <c r="U26" s="42">
        <f t="shared" si="6"/>
        <v>0</v>
      </c>
      <c r="V26" s="42">
        <f t="shared" si="7"/>
        <v>0</v>
      </c>
      <c r="W26" s="42">
        <f t="shared" si="8"/>
        <v>0</v>
      </c>
      <c r="X26" s="42">
        <f t="shared" si="9"/>
        <v>0</v>
      </c>
      <c r="Y26" s="42">
        <f t="shared" si="10"/>
        <v>0</v>
      </c>
      <c r="Z26" s="42">
        <f t="shared" si="11"/>
        <v>0</v>
      </c>
      <c r="AA26" s="42">
        <f t="shared" si="12"/>
        <v>0</v>
      </c>
      <c r="AB26" s="42">
        <f t="shared" si="13"/>
        <v>0</v>
      </c>
      <c r="AC26" s="42">
        <f t="shared" si="14"/>
        <v>0</v>
      </c>
    </row>
    <row r="27" spans="1:29" ht="28.8" outlineLevel="1" x14ac:dyDescent="0.25">
      <c r="A27" s="42" t="s">
        <v>13</v>
      </c>
      <c r="B27" s="314"/>
      <c r="C27" s="55" t="s">
        <v>78</v>
      </c>
      <c r="D27" s="195" t="e">
        <f ca="1">ROUND(E27/E26*D26,0)</f>
        <v>#DIV/0!</v>
      </c>
      <c r="E27" s="56" cm="1">
        <f t="array" ref="E27">IFERROR(ROWS(_xlfn.UNIQUE(_xlfn._xlws.FILTER(Pay_ID_Period_End,(Pay_Period_End &gt;= E$22) * (Pay_Period_End &lt;= E$23) * (IFERROR(SEARCH(E$1,Pay_Key_Gps) * (pp_Hrs_Wkd_Pay_Code = 1),0)&gt;0)))),0)</f>
        <v>0</v>
      </c>
      <c r="F27" s="56" cm="1">
        <f t="array" ref="F27">IFERROR(ROWS(_xlfn.UNIQUE(_xlfn._xlws.FILTER(Pay_ID_Period_End,(Pay_Period_End &gt;= F$22) * (Pay_Period_End &lt;= F$23) * (IFERROR(SEARCH(F$1,Pay_Key_Gps) * (pp_Hrs_Wkd_Pay_Code = 1),0)&gt;0)))),0)</f>
        <v>0</v>
      </c>
      <c r="G27" s="56" cm="1">
        <f t="array" ref="G27">IFERROR(ROWS(_xlfn.UNIQUE(_xlfn._xlws.FILTER(Pay_ID_Period_End,(Pay_Period_End &gt;= G$22) * (Pay_Period_End &lt;= G$23) * (IFERROR(SEARCH(G$1,Pay_Key_Gps) * (pp_Hrs_Wkd_Pay_Code = 1),0)&gt;0)))),0)</f>
        <v>0</v>
      </c>
      <c r="H27" s="56" cm="1">
        <f t="array" ref="H27">IFERROR(ROWS(_xlfn.UNIQUE(_xlfn._xlws.FILTER(Pay_ID_Period_End,(Pay_Period_End &gt;= H$22) * (Pay_Period_End &lt;= H$23) * (IFERROR(SEARCH(H$1,Pay_Key_Gps) * (pp_Hrs_Wkd_Pay_Code = 1),0)&gt;0)))),0)</f>
        <v>0</v>
      </c>
      <c r="I27" s="56" cm="1">
        <f t="array" ref="I27">IFERROR(ROWS(_xlfn.UNIQUE(_xlfn._xlws.FILTER(Pay_ID_Period_End,(Pay_Period_End &gt;= I$22) * (Pay_Period_End &lt;= I$23) * (IFERROR(SEARCH(I$1,Pay_Key_Gps) * (pp_Hrs_Wkd_Pay_Code = 1),0)&gt;0)))),0)</f>
        <v>0</v>
      </c>
      <c r="J27" s="56" cm="1">
        <f t="array" ref="J27">IFERROR(ROWS(_xlfn.UNIQUE(_xlfn._xlws.FILTER(Pay_ID_Period_End,(Pay_Period_End &gt;= J$22) * (Pay_Period_End &lt;= J$23) * (IFERROR(SEARCH(J$1,Pay_Key_Gps) * (pp_Hrs_Wkd_Pay_Code = 1),0)&gt;0)))),0)</f>
        <v>0</v>
      </c>
      <c r="K27" s="56" cm="1">
        <f t="array" ref="K27">IFERROR(ROWS(_xlfn.UNIQUE(_xlfn._xlws.FILTER(Pay_ID_Period_End,(Pay_Period_End &gt;= K$22) * (Pay_Period_End &lt;= K$23) * (IFERROR(SEARCH(K$1,Pay_Key_Gps) * (pp_Hrs_Wkd_Pay_Code = 1),0)&gt;0)))),0)</f>
        <v>0</v>
      </c>
      <c r="L27" s="56" cm="1">
        <f t="array" ref="L27">IFERROR(ROWS(_xlfn.UNIQUE(_xlfn._xlws.FILTER(Pay_ID_Period_End,(Pay_Period_End &gt;= L$22) * (Pay_Period_End &lt;= L$23) * (IFERROR(SEARCH(L$1,Pay_Key_Gps) * (pp_Hrs_Wkd_Pay_Code = 1),0)&gt;0)))),0)</f>
        <v>0</v>
      </c>
      <c r="M27" s="155" cm="1">
        <f t="array" ref="M27">IFERROR(ROWS(_xlfn.UNIQUE(_xlfn._xlws.FILTER(Pay_ID_Period_End,(Pay_Period_End &gt;= M$22) * (Pay_Period_End &lt;= M$23) * (IFERROR(SEARCH(M$1,Pay_Key_Gps) * (pp_Hrs_Wkd_Pay_Code = 1),0)&gt;0)))),0)</f>
        <v>0</v>
      </c>
      <c r="N27" s="53"/>
      <c r="O27" s="74"/>
      <c r="Q27" s="75" t="str">
        <f t="shared" si="3"/>
        <v/>
      </c>
      <c r="R27" s="76">
        <f t="shared" si="4"/>
        <v>0</v>
      </c>
      <c r="S27" s="64">
        <f t="shared" si="15"/>
        <v>1</v>
      </c>
      <c r="T27" s="42" t="e">
        <f t="shared" ca="1" si="5"/>
        <v>#DIV/0!</v>
      </c>
      <c r="U27" s="42">
        <f t="shared" si="6"/>
        <v>0</v>
      </c>
      <c r="V27" s="42">
        <f t="shared" si="7"/>
        <v>0</v>
      </c>
      <c r="W27" s="42">
        <f t="shared" si="8"/>
        <v>0</v>
      </c>
      <c r="X27" s="42">
        <f t="shared" si="9"/>
        <v>0</v>
      </c>
      <c r="Y27" s="42">
        <f t="shared" si="10"/>
        <v>0</v>
      </c>
      <c r="Z27" s="42">
        <f t="shared" si="11"/>
        <v>0</v>
      </c>
      <c r="AA27" s="42">
        <f t="shared" si="12"/>
        <v>0</v>
      </c>
      <c r="AB27" s="42">
        <f t="shared" si="13"/>
        <v>0</v>
      </c>
      <c r="AC27" s="42">
        <f t="shared" si="14"/>
        <v>0</v>
      </c>
    </row>
    <row r="28" spans="1:29" ht="28.8" outlineLevel="1" x14ac:dyDescent="0.25">
      <c r="A28" s="42" t="s">
        <v>13</v>
      </c>
      <c r="B28" s="314"/>
      <c r="C28" s="55" t="s">
        <v>545</v>
      </c>
      <c r="D28" s="195" t="str">
        <f>_xlfn.LET(_xlpm.denom,D$24,_xlpm.calc,ROUND($Q28*_xlpm.denom,0),_xlpm.perc,_xlpm.calc/_xlpm.denom,IFERROR(IF(_xlpm.calc&lt;1000,_xlfn.CONCAT(_xlpm.calc," (",TEXT(_xlpm.perc,"0.0%"),")"),_xlfn.CONCAT(TEXT(_xlpm.calc,"0,000")," (",TEXT(_xlpm.perc,"0.0%"),")")),"-"))</f>
        <v>-</v>
      </c>
      <c r="E28" s="56" t="str" cm="1">
        <f t="array" ref="E28">_xlfn.LET(_xlpm.denom,E$24,_xlpm.calc,IFERROR(ROWS(_xlfn.UNIQUE(_xlfn._xlws.FILTER(Pay_ID,(Pay_Period_End &gt;= E$22) * (Pay_Period_End &lt;= E$23) * (IFERROR(SEARCH(E$1,Pay_Key_Gps),0)&gt;0) * (pp_OT_Pay_Code = 1)))),0),_xlpm.perc,_xlpm.calc/_xlpm.denom,IFERROR(IF(_xlpm.calc&lt;1000,_xlfn.CONCAT(_xlpm.calc," (",TEXT(_xlpm.perc,"0.0%"),")"),_xlfn.CONCAT(TEXT(_xlpm.calc,"0,000")," (",TEXT(_xlpm.perc,"0.0%"),")")),"-"))</f>
        <v>-</v>
      </c>
      <c r="F28" s="56" t="str" cm="1">
        <f t="array" ref="F28">_xlfn.LET(_xlpm.denom,F$24,_xlpm.calc,IFERROR(ROWS(_xlfn.UNIQUE(_xlfn._xlws.FILTER(Pay_ID,(Pay_Period_End &gt;= F$22) * (Pay_Period_End &lt;= F$23) * (IFERROR(SEARCH(F$1,Pay_Key_Gps),0)&gt;0) * (pp_OT_Pay_Code = 1)))),0),_xlpm.perc,_xlpm.calc/_xlpm.denom,IFERROR(IF(_xlpm.calc&lt;1000,_xlfn.CONCAT(_xlpm.calc," (",TEXT(_xlpm.perc,"0.0%"),")"),_xlfn.CONCAT(TEXT(_xlpm.calc,"0,000")," (",TEXT(_xlpm.perc,"0.0%"),")")),"-"))</f>
        <v>-</v>
      </c>
      <c r="G28" s="56" t="str" cm="1">
        <f t="array" ref="G28">_xlfn.LET(_xlpm.denom,G$24,_xlpm.calc,IFERROR(ROWS(_xlfn.UNIQUE(_xlfn._xlws.FILTER(Pay_ID,(Pay_Period_End &gt;= G$22) * (Pay_Period_End &lt;= G$23) * (IFERROR(SEARCH(G$1,Pay_Key_Gps),0)&gt;0) * (pp_OT_Pay_Code = 1)))),0),_xlpm.perc,_xlpm.calc/_xlpm.denom,IFERROR(IF(_xlpm.calc&lt;1000,_xlfn.CONCAT(_xlpm.calc," (",TEXT(_xlpm.perc,"0.0%"),")"),_xlfn.CONCAT(TEXT(_xlpm.calc,"0,000")," (",TEXT(_xlpm.perc,"0.0%"),")")),"-"))</f>
        <v>-</v>
      </c>
      <c r="H28" s="56" t="str" cm="1">
        <f t="array" ref="H28">_xlfn.LET(_xlpm.denom,H$24,_xlpm.calc,IFERROR(ROWS(_xlfn.UNIQUE(_xlfn._xlws.FILTER(Pay_ID,(Pay_Period_End &gt;= H$22) * (Pay_Period_End &lt;= H$23) * (IFERROR(SEARCH(H$1,Pay_Key_Gps),0)&gt;0) * (pp_OT_Pay_Code = 1)))),0),_xlpm.perc,_xlpm.calc/_xlpm.denom,IFERROR(IF(_xlpm.calc&lt;1000,_xlfn.CONCAT(_xlpm.calc," (",TEXT(_xlpm.perc,"0.0%"),")"),_xlfn.CONCAT(TEXT(_xlpm.calc,"0,000")," (",TEXT(_xlpm.perc,"0.0%"),")")),"-"))</f>
        <v>-</v>
      </c>
      <c r="I28" s="56" t="str" cm="1">
        <f t="array" ref="I28">_xlfn.LET(_xlpm.denom,I$24,_xlpm.calc,IFERROR(ROWS(_xlfn.UNIQUE(_xlfn._xlws.FILTER(Pay_ID,(Pay_Period_End &gt;= I$22) * (Pay_Period_End &lt;= I$23) * (IFERROR(SEARCH(I$1,Pay_Key_Gps),0)&gt;0) * (pp_OT_Pay_Code = 1)))),0),_xlpm.perc,_xlpm.calc/_xlpm.denom,IFERROR(IF(_xlpm.calc&lt;1000,_xlfn.CONCAT(_xlpm.calc," (",TEXT(_xlpm.perc,"0.0%"),")"),_xlfn.CONCAT(TEXT(_xlpm.calc,"0,000")," (",TEXT(_xlpm.perc,"0.0%"),")")),"-"))</f>
        <v>-</v>
      </c>
      <c r="J28" s="56" t="str" cm="1">
        <f t="array" ref="J28">_xlfn.LET(_xlpm.denom,J$24,_xlpm.calc,IFERROR(ROWS(_xlfn.UNIQUE(_xlfn._xlws.FILTER(Pay_ID,(Pay_Period_End &gt;= J$22) * (Pay_Period_End &lt;= J$23) * (IFERROR(SEARCH(J$1,Pay_Key_Gps),0)&gt;0) * (pp_OT_Pay_Code = 1)))),0),_xlpm.perc,_xlpm.calc/_xlpm.denom,IFERROR(IF(_xlpm.calc&lt;1000,_xlfn.CONCAT(_xlpm.calc," (",TEXT(_xlpm.perc,"0.0%"),")"),_xlfn.CONCAT(TEXT(_xlpm.calc,"0,000")," (",TEXT(_xlpm.perc,"0.0%"),")")),"-"))</f>
        <v>-</v>
      </c>
      <c r="K28" s="56" t="str" cm="1">
        <f t="array" ref="K28">_xlfn.LET(_xlpm.denom,K$24,_xlpm.calc,IFERROR(ROWS(_xlfn.UNIQUE(_xlfn._xlws.FILTER(Pay_ID,(Pay_Period_End &gt;= K$22) * (Pay_Period_End &lt;= K$23) * (IFERROR(SEARCH(K$1,Pay_Key_Gps),0)&gt;0) * (pp_OT_Pay_Code = 1)))),0),_xlpm.perc,_xlpm.calc/_xlpm.denom,IFERROR(IF(_xlpm.calc&lt;1000,_xlfn.CONCAT(_xlpm.calc," (",TEXT(_xlpm.perc,"0.0%"),")"),_xlfn.CONCAT(TEXT(_xlpm.calc,"0,000")," (",TEXT(_xlpm.perc,"0.0%"),")")),"-"))</f>
        <v>-</v>
      </c>
      <c r="L28" s="56" t="str" cm="1">
        <f t="array" ref="L28">_xlfn.LET(_xlpm.denom,L$24,_xlpm.calc,IFERROR(ROWS(_xlfn.UNIQUE(_xlfn._xlws.FILTER(Pay_ID,(Pay_Period_End &gt;= L$22) * (Pay_Period_End &lt;= L$23) * (IFERROR(SEARCH(L$1,Pay_Key_Gps),0)&gt;0) * (pp_OT_Pay_Code = 1)))),0),_xlpm.perc,_xlpm.calc/_xlpm.denom,IFERROR(IF(_xlpm.calc&lt;1000,_xlfn.CONCAT(_xlpm.calc," (",TEXT(_xlpm.perc,"0.0%"),")"),_xlfn.CONCAT(TEXT(_xlpm.calc,"0,000")," (",TEXT(_xlpm.perc,"0.0%"),")")),"-"))</f>
        <v>-</v>
      </c>
      <c r="M28" s="155" t="str" cm="1">
        <f t="array" ref="M28">_xlfn.LET(_xlpm.denom,M$24,_xlpm.calc,IFERROR(ROWS(_xlfn.UNIQUE(_xlfn._xlws.FILTER(Pay_ID,(Pay_Period_End &gt;= M$22) * (Pay_Period_End &lt;= M$23) * (IFERROR(SEARCH(M$1,Pay_Key_Gps),0)&gt;0) * (pp_OT_Pay_Code = 1)))),0),_xlpm.perc,_xlpm.calc/_xlpm.denom,IFERROR(IF(_xlpm.calc&lt;1000,_xlfn.CONCAT(_xlpm.calc," (",TEXT(_xlpm.perc,"0.0%"),")"),_xlfn.CONCAT(TEXT(_xlpm.calc,"0,000")," (",TEXT(_xlpm.perc,"0.0%"),")")),"-"))</f>
        <v>-</v>
      </c>
      <c r="N28" s="53" t="s">
        <v>128</v>
      </c>
      <c r="O28" s="74"/>
      <c r="Q28" s="75" t="str">
        <f t="shared" si="3"/>
        <v/>
      </c>
      <c r="R28" s="76" t="str">
        <f t="shared" si="4"/>
        <v/>
      </c>
      <c r="S28" s="64" t="str">
        <f t="shared" si="15"/>
        <v/>
      </c>
      <c r="T28" s="42" t="str">
        <f t="shared" si="5"/>
        <v/>
      </c>
      <c r="U28" s="42" t="str">
        <f t="shared" si="6"/>
        <v/>
      </c>
      <c r="V28" s="42" t="str">
        <f t="shared" si="7"/>
        <v/>
      </c>
      <c r="W28" s="42" t="str">
        <f t="shared" si="8"/>
        <v/>
      </c>
      <c r="X28" s="42" t="str">
        <f t="shared" si="9"/>
        <v/>
      </c>
      <c r="Y28" s="42" t="str">
        <f t="shared" si="10"/>
        <v/>
      </c>
      <c r="Z28" s="42" t="str">
        <f t="shared" si="11"/>
        <v/>
      </c>
      <c r="AA28" s="42" t="str">
        <f t="shared" si="12"/>
        <v/>
      </c>
      <c r="AB28" s="42" t="str">
        <f t="shared" si="13"/>
        <v/>
      </c>
      <c r="AC28" s="42" t="str">
        <f t="shared" si="14"/>
        <v/>
      </c>
    </row>
    <row r="29" spans="1:29" ht="28.8" outlineLevel="1" x14ac:dyDescent="0.25">
      <c r="A29" s="42" t="s">
        <v>13</v>
      </c>
      <c r="B29" s="314"/>
      <c r="C29" s="55" t="s">
        <v>546</v>
      </c>
      <c r="D29" s="195" t="str">
        <f ca="1">_xlfn.LET(_xlpm.denom,D$27,_xlpm.calc,ROUND($Q29*_xlpm.denom,0),_xlpm.perc,_xlpm.calc/_xlpm.denom,IFERROR(IF(_xlpm.calc&lt;1000,_xlfn.CONCAT(_xlpm.calc," (",TEXT(_xlpm.perc,"0.0%"),")"),_xlfn.CONCAT(TEXT(_xlpm.calc,"0,000")," (",TEXT(_xlpm.perc,"0.0%"),")")),"-"))</f>
        <v>-</v>
      </c>
      <c r="E29" s="56" t="str" cm="1">
        <f t="array" ref="E29">_xlfn.LET(_xlpm.denom,E$27,_xlpm.calc,IFERROR(ROWS(_xlfn.UNIQUE(_xlfn._xlws.FILTER(Pay_ID_Period_End,(Pay_Period_End &gt;= E$22) * (Pay_Period_End &lt;= E$23) * (IFERROR(SEARCH(E$1,Pay_Key_Gps),0)&gt;0) * (pp_OT_Pay_Code = 1)))),0),_xlpm.perc,_xlpm.calc/_xlpm.denom,IFERROR(IF(_xlpm.calc&lt;1000,_xlfn.CONCAT(_xlpm.calc," (",TEXT(_xlpm.perc,"0.0%"),")"),_xlfn.CONCAT(TEXT(_xlpm.calc,"0,000")," (",TEXT(_xlpm.perc,"0.0%"),")")),"-"))</f>
        <v>-</v>
      </c>
      <c r="F29" s="56" t="str" cm="1">
        <f t="array" ref="F29">_xlfn.LET(_xlpm.denom,F$27,_xlpm.calc,IFERROR(ROWS(_xlfn.UNIQUE(_xlfn._xlws.FILTER(Pay_ID_Period_End,(Pay_Period_End &gt;= F$22) * (Pay_Period_End &lt;= F$23) * (IFERROR(SEARCH(F$1,Pay_Key_Gps),0)&gt;0) * (pp_OT_Pay_Code = 1)))),0),_xlpm.perc,_xlpm.calc/_xlpm.denom,IFERROR(IF(_xlpm.calc&lt;1000,_xlfn.CONCAT(_xlpm.calc," (",TEXT(_xlpm.perc,"0.0%"),")"),_xlfn.CONCAT(TEXT(_xlpm.calc,"0,000")," (",TEXT(_xlpm.perc,"0.0%"),")")),"-"))</f>
        <v>-</v>
      </c>
      <c r="G29" s="56" t="str" cm="1">
        <f t="array" ref="G29">_xlfn.LET(_xlpm.denom,G$27,_xlpm.calc,IFERROR(ROWS(_xlfn.UNIQUE(_xlfn._xlws.FILTER(Pay_ID_Period_End,(Pay_Period_End &gt;= G$22) * (Pay_Period_End &lt;= G$23) * (IFERROR(SEARCH(G$1,Pay_Key_Gps),0)&gt;0) * (pp_OT_Pay_Code = 1)))),0),_xlpm.perc,_xlpm.calc/_xlpm.denom,IFERROR(IF(_xlpm.calc&lt;1000,_xlfn.CONCAT(_xlpm.calc," (",TEXT(_xlpm.perc,"0.0%"),")"),_xlfn.CONCAT(TEXT(_xlpm.calc,"0,000")," (",TEXT(_xlpm.perc,"0.0%"),")")),"-"))</f>
        <v>-</v>
      </c>
      <c r="H29" s="56" t="str" cm="1">
        <f t="array" ref="H29">_xlfn.LET(_xlpm.denom,H$27,_xlpm.calc,IFERROR(ROWS(_xlfn.UNIQUE(_xlfn._xlws.FILTER(Pay_ID_Period_End,(Pay_Period_End &gt;= H$22) * (Pay_Period_End &lt;= H$23) * (IFERROR(SEARCH(H$1,Pay_Key_Gps),0)&gt;0) * (pp_OT_Pay_Code = 1)))),0),_xlpm.perc,_xlpm.calc/_xlpm.denom,IFERROR(IF(_xlpm.calc&lt;1000,_xlfn.CONCAT(_xlpm.calc," (",TEXT(_xlpm.perc,"0.0%"),")"),_xlfn.CONCAT(TEXT(_xlpm.calc,"0,000")," (",TEXT(_xlpm.perc,"0.0%"),")")),"-"))</f>
        <v>-</v>
      </c>
      <c r="I29" s="56" t="str" cm="1">
        <f t="array" ref="I29">_xlfn.LET(_xlpm.denom,I$27,_xlpm.calc,IFERROR(ROWS(_xlfn.UNIQUE(_xlfn._xlws.FILTER(Pay_ID_Period_End,(Pay_Period_End &gt;= I$22) * (Pay_Period_End &lt;= I$23) * (IFERROR(SEARCH(I$1,Pay_Key_Gps),0)&gt;0) * (pp_OT_Pay_Code = 1)))),0),_xlpm.perc,_xlpm.calc/_xlpm.denom,IFERROR(IF(_xlpm.calc&lt;1000,_xlfn.CONCAT(_xlpm.calc," (",TEXT(_xlpm.perc,"0.0%"),")"),_xlfn.CONCAT(TEXT(_xlpm.calc,"0,000")," (",TEXT(_xlpm.perc,"0.0%"),")")),"-"))</f>
        <v>-</v>
      </c>
      <c r="J29" s="56" t="str" cm="1">
        <f t="array" ref="J29">_xlfn.LET(_xlpm.denom,J$27,_xlpm.calc,IFERROR(ROWS(_xlfn.UNIQUE(_xlfn._xlws.FILTER(Pay_ID_Period_End,(Pay_Period_End &gt;= J$22) * (Pay_Period_End &lt;= J$23) * (IFERROR(SEARCH(J$1,Pay_Key_Gps),0)&gt;0) * (pp_OT_Pay_Code = 1)))),0),_xlpm.perc,_xlpm.calc/_xlpm.denom,IFERROR(IF(_xlpm.calc&lt;1000,_xlfn.CONCAT(_xlpm.calc," (",TEXT(_xlpm.perc,"0.0%"),")"),_xlfn.CONCAT(TEXT(_xlpm.calc,"0,000")," (",TEXT(_xlpm.perc,"0.0%"),")")),"-"))</f>
        <v>-</v>
      </c>
      <c r="K29" s="56" t="str" cm="1">
        <f t="array" ref="K29">_xlfn.LET(_xlpm.denom,K$27,_xlpm.calc,IFERROR(ROWS(_xlfn.UNIQUE(_xlfn._xlws.FILTER(Pay_ID_Period_End,(Pay_Period_End &gt;= K$22) * (Pay_Period_End &lt;= K$23) * (IFERROR(SEARCH(K$1,Pay_Key_Gps),0)&gt;0) * (pp_OT_Pay_Code = 1)))),0),_xlpm.perc,_xlpm.calc/_xlpm.denom,IFERROR(IF(_xlpm.calc&lt;1000,_xlfn.CONCAT(_xlpm.calc," (",TEXT(_xlpm.perc,"0.0%"),")"),_xlfn.CONCAT(TEXT(_xlpm.calc,"0,000")," (",TEXT(_xlpm.perc,"0.0%"),")")),"-"))</f>
        <v>-</v>
      </c>
      <c r="L29" s="56" t="str" cm="1">
        <f t="array" ref="L29">_xlfn.LET(_xlpm.denom,L$27,_xlpm.calc,IFERROR(ROWS(_xlfn.UNIQUE(_xlfn._xlws.FILTER(Pay_ID_Period_End,(Pay_Period_End &gt;= L$22) * (Pay_Period_End &lt;= L$23) * (IFERROR(SEARCH(L$1,Pay_Key_Gps),0)&gt;0) * (pp_OT_Pay_Code = 1)))),0),_xlpm.perc,_xlpm.calc/_xlpm.denom,IFERROR(IF(_xlpm.calc&lt;1000,_xlfn.CONCAT(_xlpm.calc," (",TEXT(_xlpm.perc,"0.0%"),")"),_xlfn.CONCAT(TEXT(_xlpm.calc,"0,000")," (",TEXT(_xlpm.perc,"0.0%"),")")),"-"))</f>
        <v>-</v>
      </c>
      <c r="M29" s="155" t="str" cm="1">
        <f t="array" ref="M29">_xlfn.LET(_xlpm.denom,M$27,_xlpm.calc,IFERROR(ROWS(_xlfn.UNIQUE(_xlfn._xlws.FILTER(Pay_ID_Period_End,(Pay_Period_End &gt;= M$22) * (Pay_Period_End &lt;= M$23) * (IFERROR(SEARCH(M$1,Pay_Key_Gps),0)&gt;0) * (pp_OT_Pay_Code = 1)))),0),_xlpm.perc,_xlpm.calc/_xlpm.denom,IFERROR(IF(_xlpm.calc&lt;1000,_xlfn.CONCAT(_xlpm.calc," (",TEXT(_xlpm.perc,"0.0%"),")"),_xlfn.CONCAT(TEXT(_xlpm.calc,"0,000")," (",TEXT(_xlpm.perc,"0.0%"),")")),"-"))</f>
        <v>-</v>
      </c>
      <c r="N29" s="53" t="s">
        <v>86</v>
      </c>
      <c r="O29" s="74"/>
      <c r="Q29" s="75" t="str">
        <f t="shared" si="3"/>
        <v/>
      </c>
      <c r="R29" s="76" t="e">
        <f t="shared" si="4"/>
        <v>#VALUE!</v>
      </c>
      <c r="S29" s="64">
        <f t="shared" si="15"/>
        <v>1</v>
      </c>
      <c r="T29" s="42" t="str">
        <f t="shared" ca="1" si="5"/>
        <v>-</v>
      </c>
      <c r="U29" s="42" t="str">
        <f t="shared" si="6"/>
        <v>-</v>
      </c>
      <c r="V29" s="42" t="str">
        <f t="shared" si="7"/>
        <v>-</v>
      </c>
      <c r="W29" s="42" t="str">
        <f t="shared" si="8"/>
        <v>-</v>
      </c>
      <c r="X29" s="42" t="str">
        <f t="shared" si="9"/>
        <v>-</v>
      </c>
      <c r="Y29" s="42" t="str">
        <f t="shared" si="10"/>
        <v>-</v>
      </c>
      <c r="Z29" s="42" t="str">
        <f t="shared" si="11"/>
        <v>-</v>
      </c>
      <c r="AA29" s="42" t="str">
        <f t="shared" si="12"/>
        <v>-</v>
      </c>
      <c r="AB29" s="42" t="str">
        <f t="shared" si="13"/>
        <v>-</v>
      </c>
      <c r="AC29" s="42" t="str">
        <f t="shared" si="14"/>
        <v>-</v>
      </c>
    </row>
    <row r="30" spans="1:29" ht="28.8" outlineLevel="1" x14ac:dyDescent="0.25">
      <c r="A30" s="42" t="s">
        <v>13</v>
      </c>
      <c r="B30" s="314"/>
      <c r="C30" s="55" t="s">
        <v>547</v>
      </c>
      <c r="D30" s="195" t="str">
        <f>_xlfn.LET(_xlpm.denom,D$24,_xlpm.calc,ROUND($Q30*_xlpm.denom,0),_xlpm.perc,_xlpm.calc/_xlpm.denom,IFERROR(IF(_xlpm.calc&lt;1000,_xlfn.CONCAT(_xlpm.calc," (",TEXT(_xlpm.perc,"0.0%"),")"),_xlfn.CONCAT(TEXT(_xlpm.calc,"0,000")," (",TEXT(_xlpm.perc,"0.0%"),")")),"-"))</f>
        <v>-</v>
      </c>
      <c r="E30" s="56" t="str" cm="1">
        <f t="array" ref="E30">_xlfn.LET(_xlpm.denom,E$24,_xlpm.calc,IFERROR(ROWS(_xlfn.UNIQUE(_xlfn._xlws.FILTER(Pay_ID,(Pay_Period_End &gt;= E$22) * (Pay_Period_End &lt;= E$23) * (IFERROR(SEARCH(E$1,Pay_Key_Gps),0)&gt;0) * (pp_DT_Pay_Code = 1)))),0),_xlpm.perc,_xlpm.calc/_xlpm.denom,IFERROR(IF(_xlpm.calc&lt;1000,_xlfn.CONCAT(_xlpm.calc," (",TEXT(_xlpm.perc,"0.0%"),")"),_xlfn.CONCAT(TEXT(_xlpm.calc,"0,000")," (",TEXT(_xlpm.perc,"0.0%"),")")),"-"))</f>
        <v>-</v>
      </c>
      <c r="F30" s="56" t="str" cm="1">
        <f t="array" ref="F30">_xlfn.LET(_xlpm.denom,F$24,_xlpm.calc,IFERROR(ROWS(_xlfn.UNIQUE(_xlfn._xlws.FILTER(Pay_ID,(Pay_Period_End &gt;= F$22) * (Pay_Period_End &lt;= F$23) * (IFERROR(SEARCH(F$1,Pay_Key_Gps),0)&gt;0) * (pp_DT_Pay_Code = 1)))),0),_xlpm.perc,_xlpm.calc/_xlpm.denom,IFERROR(IF(_xlpm.calc&lt;1000,_xlfn.CONCAT(_xlpm.calc," (",TEXT(_xlpm.perc,"0.0%"),")"),_xlfn.CONCAT(TEXT(_xlpm.calc,"0,000")," (",TEXT(_xlpm.perc,"0.0%"),")")),"-"))</f>
        <v>-</v>
      </c>
      <c r="G30" s="56" t="str" cm="1">
        <f t="array" ref="G30">_xlfn.LET(_xlpm.denom,G$24,_xlpm.calc,IFERROR(ROWS(_xlfn.UNIQUE(_xlfn._xlws.FILTER(Pay_ID,(Pay_Period_End &gt;= G$22) * (Pay_Period_End &lt;= G$23) * (IFERROR(SEARCH(G$1,Pay_Key_Gps),0)&gt;0) * (pp_DT_Pay_Code = 1)))),0),_xlpm.perc,_xlpm.calc/_xlpm.denom,IFERROR(IF(_xlpm.calc&lt;1000,_xlfn.CONCAT(_xlpm.calc," (",TEXT(_xlpm.perc,"0.0%"),")"),_xlfn.CONCAT(TEXT(_xlpm.calc,"0,000")," (",TEXT(_xlpm.perc,"0.0%"),")")),"-"))</f>
        <v>-</v>
      </c>
      <c r="H30" s="56" t="str" cm="1">
        <f t="array" ref="H30">_xlfn.LET(_xlpm.denom,H$24,_xlpm.calc,IFERROR(ROWS(_xlfn.UNIQUE(_xlfn._xlws.FILTER(Pay_ID,(Pay_Period_End &gt;= H$22) * (Pay_Period_End &lt;= H$23) * (IFERROR(SEARCH(H$1,Pay_Key_Gps),0)&gt;0) * (pp_DT_Pay_Code = 1)))),0),_xlpm.perc,_xlpm.calc/_xlpm.denom,IFERROR(IF(_xlpm.calc&lt;1000,_xlfn.CONCAT(_xlpm.calc," (",TEXT(_xlpm.perc,"0.0%"),")"),_xlfn.CONCAT(TEXT(_xlpm.calc,"0,000")," (",TEXT(_xlpm.perc,"0.0%"),")")),"-"))</f>
        <v>-</v>
      </c>
      <c r="I30" s="56" t="str" cm="1">
        <f t="array" ref="I30">_xlfn.LET(_xlpm.denom,I$24,_xlpm.calc,IFERROR(ROWS(_xlfn.UNIQUE(_xlfn._xlws.FILTER(Pay_ID,(Pay_Period_End &gt;= I$22) * (Pay_Period_End &lt;= I$23) * (IFERROR(SEARCH(I$1,Pay_Key_Gps),0)&gt;0) * (pp_DT_Pay_Code = 1)))),0),_xlpm.perc,_xlpm.calc/_xlpm.denom,IFERROR(IF(_xlpm.calc&lt;1000,_xlfn.CONCAT(_xlpm.calc," (",TEXT(_xlpm.perc,"0.0%"),")"),_xlfn.CONCAT(TEXT(_xlpm.calc,"0,000")," (",TEXT(_xlpm.perc,"0.0%"),")")),"-"))</f>
        <v>-</v>
      </c>
      <c r="J30" s="56" t="str" cm="1">
        <f t="array" ref="J30">_xlfn.LET(_xlpm.denom,J$24,_xlpm.calc,IFERROR(ROWS(_xlfn.UNIQUE(_xlfn._xlws.FILTER(Pay_ID,(Pay_Period_End &gt;= J$22) * (Pay_Period_End &lt;= J$23) * (IFERROR(SEARCH(J$1,Pay_Key_Gps),0)&gt;0) * (pp_DT_Pay_Code = 1)))),0),_xlpm.perc,_xlpm.calc/_xlpm.denom,IFERROR(IF(_xlpm.calc&lt;1000,_xlfn.CONCAT(_xlpm.calc," (",TEXT(_xlpm.perc,"0.0%"),")"),_xlfn.CONCAT(TEXT(_xlpm.calc,"0,000")," (",TEXT(_xlpm.perc,"0.0%"),")")),"-"))</f>
        <v>-</v>
      </c>
      <c r="K30" s="56" t="str" cm="1">
        <f t="array" ref="K30">_xlfn.LET(_xlpm.denom,K$24,_xlpm.calc,IFERROR(ROWS(_xlfn.UNIQUE(_xlfn._xlws.FILTER(Pay_ID,(Pay_Period_End &gt;= K$22) * (Pay_Period_End &lt;= K$23) * (IFERROR(SEARCH(K$1,Pay_Key_Gps),0)&gt;0) * (pp_DT_Pay_Code = 1)))),0),_xlpm.perc,_xlpm.calc/_xlpm.denom,IFERROR(IF(_xlpm.calc&lt;1000,_xlfn.CONCAT(_xlpm.calc," (",TEXT(_xlpm.perc,"0.0%"),")"),_xlfn.CONCAT(TEXT(_xlpm.calc,"0,000")," (",TEXT(_xlpm.perc,"0.0%"),")")),"-"))</f>
        <v>-</v>
      </c>
      <c r="L30" s="56" t="str" cm="1">
        <f t="array" ref="L30">_xlfn.LET(_xlpm.denom,L$24,_xlpm.calc,IFERROR(ROWS(_xlfn.UNIQUE(_xlfn._xlws.FILTER(Pay_ID,(Pay_Period_End &gt;= L$22) * (Pay_Period_End &lt;= L$23) * (IFERROR(SEARCH(L$1,Pay_Key_Gps),0)&gt;0) * (pp_DT_Pay_Code = 1)))),0),_xlpm.perc,_xlpm.calc/_xlpm.denom,IFERROR(IF(_xlpm.calc&lt;1000,_xlfn.CONCAT(_xlpm.calc," (",TEXT(_xlpm.perc,"0.0%"),")"),_xlfn.CONCAT(TEXT(_xlpm.calc,"0,000")," (",TEXT(_xlpm.perc,"0.0%"),")")),"-"))</f>
        <v>-</v>
      </c>
      <c r="M30" s="155" t="str" cm="1">
        <f t="array" ref="M30">_xlfn.LET(_xlpm.denom,M$24,_xlpm.calc,IFERROR(ROWS(_xlfn.UNIQUE(_xlfn._xlws.FILTER(Pay_ID,(Pay_Period_End &gt;= M$22) * (Pay_Period_End &lt;= M$23) * (IFERROR(SEARCH(M$1,Pay_Key_Gps),0)&gt;0) * (pp_DT_Pay_Code = 1)))),0),_xlpm.perc,_xlpm.calc/_xlpm.denom,IFERROR(IF(_xlpm.calc&lt;1000,_xlfn.CONCAT(_xlpm.calc," (",TEXT(_xlpm.perc,"0.0%"),")"),_xlfn.CONCAT(TEXT(_xlpm.calc,"0,000")," (",TEXT(_xlpm.perc,"0.0%"),")")),"-"))</f>
        <v>-</v>
      </c>
      <c r="N30" s="53" t="s">
        <v>128</v>
      </c>
      <c r="O30" s="74"/>
      <c r="Q30" s="75" t="str">
        <f t="shared" si="3"/>
        <v/>
      </c>
      <c r="R30" s="76" t="str">
        <f t="shared" si="4"/>
        <v/>
      </c>
      <c r="S30" s="64" t="str">
        <f t="shared" si="15"/>
        <v/>
      </c>
      <c r="T30" s="42" t="str">
        <f t="shared" si="5"/>
        <v/>
      </c>
      <c r="U30" s="42" t="str">
        <f t="shared" si="6"/>
        <v/>
      </c>
      <c r="V30" s="42" t="str">
        <f t="shared" si="7"/>
        <v/>
      </c>
      <c r="W30" s="42" t="str">
        <f t="shared" si="8"/>
        <v/>
      </c>
      <c r="X30" s="42" t="str">
        <f t="shared" si="9"/>
        <v/>
      </c>
      <c r="Y30" s="42" t="str">
        <f t="shared" si="10"/>
        <v/>
      </c>
      <c r="Z30" s="42" t="str">
        <f t="shared" si="11"/>
        <v/>
      </c>
      <c r="AA30" s="42" t="str">
        <f t="shared" si="12"/>
        <v/>
      </c>
      <c r="AB30" s="42" t="str">
        <f t="shared" si="13"/>
        <v/>
      </c>
      <c r="AC30" s="42" t="str">
        <f t="shared" si="14"/>
        <v/>
      </c>
    </row>
    <row r="31" spans="1:29" ht="28.8" outlineLevel="1" x14ac:dyDescent="0.25">
      <c r="A31" s="42" t="s">
        <v>13</v>
      </c>
      <c r="B31" s="314"/>
      <c r="C31" s="55" t="s">
        <v>548</v>
      </c>
      <c r="D31" s="195" t="str">
        <f ca="1">_xlfn.LET(_xlpm.denom,D$27,_xlpm.calc,ROUND($Q31*_xlpm.denom,0),_xlpm.perc,_xlpm.calc/_xlpm.denom,IFERROR(IF(_xlpm.calc&lt;1000,_xlfn.CONCAT(_xlpm.calc," (",TEXT(_xlpm.perc,"0.0%"),")"),_xlfn.CONCAT(TEXT(_xlpm.calc,"0,000")," (",TEXT(_xlpm.perc,"0.0%"),")")),"-"))</f>
        <v>-</v>
      </c>
      <c r="E31" s="56" t="str" cm="1">
        <f t="array" ref="E31">_xlfn.LET(_xlpm.denom,E$27,_xlpm.calc,IFERROR(ROWS(_xlfn.UNIQUE(_xlfn._xlws.FILTER(Pay_ID_Period_End,(Pay_Period_End &gt;= E$22) * (Pay_Period_End &lt;= E$23) * (IFERROR(SEARCH(E$1,Pay_Key_Gps),0)&gt;0) * (pp_DT_Pay_Code = 1)))),0),_xlpm.perc,_xlpm.calc/_xlpm.denom,IFERROR(IF(_xlpm.calc&lt;1000,_xlfn.CONCAT(_xlpm.calc," (",TEXT(_xlpm.perc,"0.0%"),")"),_xlfn.CONCAT(TEXT(_xlpm.calc,"0,000")," (",TEXT(_xlpm.perc,"0.0%"),")")),"-"))</f>
        <v>-</v>
      </c>
      <c r="F31" s="56" t="str" cm="1">
        <f t="array" ref="F31">_xlfn.LET(_xlpm.denom,F$27,_xlpm.calc,IFERROR(ROWS(_xlfn.UNIQUE(_xlfn._xlws.FILTER(Pay_ID_Period_End,(Pay_Period_End &gt;= F$22) * (Pay_Period_End &lt;= F$23) * (IFERROR(SEARCH(F$1,Pay_Key_Gps),0)&gt;0) * (pp_DT_Pay_Code = 1)))),0),_xlpm.perc,_xlpm.calc/_xlpm.denom,IFERROR(IF(_xlpm.calc&lt;1000,_xlfn.CONCAT(_xlpm.calc," (",TEXT(_xlpm.perc,"0.0%"),")"),_xlfn.CONCAT(TEXT(_xlpm.calc,"0,000")," (",TEXT(_xlpm.perc,"0.0%"),")")),"-"))</f>
        <v>-</v>
      </c>
      <c r="G31" s="56" t="str" cm="1">
        <f t="array" ref="G31">_xlfn.LET(_xlpm.denom,G$27,_xlpm.calc,IFERROR(ROWS(_xlfn.UNIQUE(_xlfn._xlws.FILTER(Pay_ID_Period_End,(Pay_Period_End &gt;= G$22) * (Pay_Period_End &lt;= G$23) * (IFERROR(SEARCH(G$1,Pay_Key_Gps),0)&gt;0) * (pp_DT_Pay_Code = 1)))),0),_xlpm.perc,_xlpm.calc/_xlpm.denom,IFERROR(IF(_xlpm.calc&lt;1000,_xlfn.CONCAT(_xlpm.calc," (",TEXT(_xlpm.perc,"0.0%"),")"),_xlfn.CONCAT(TEXT(_xlpm.calc,"0,000")," (",TEXT(_xlpm.perc,"0.0%"),")")),"-"))</f>
        <v>-</v>
      </c>
      <c r="H31" s="56" t="str" cm="1">
        <f t="array" ref="H31">_xlfn.LET(_xlpm.denom,H$27,_xlpm.calc,IFERROR(ROWS(_xlfn.UNIQUE(_xlfn._xlws.FILTER(Pay_ID_Period_End,(Pay_Period_End &gt;= H$22) * (Pay_Period_End &lt;= H$23) * (IFERROR(SEARCH(H$1,Pay_Key_Gps),0)&gt;0) * (pp_DT_Pay_Code = 1)))),0),_xlpm.perc,_xlpm.calc/_xlpm.denom,IFERROR(IF(_xlpm.calc&lt;1000,_xlfn.CONCAT(_xlpm.calc," (",TEXT(_xlpm.perc,"0.0%"),")"),_xlfn.CONCAT(TEXT(_xlpm.calc,"0,000")," (",TEXT(_xlpm.perc,"0.0%"),")")),"-"))</f>
        <v>-</v>
      </c>
      <c r="I31" s="56" t="str" cm="1">
        <f t="array" ref="I31">_xlfn.LET(_xlpm.denom,I$27,_xlpm.calc,IFERROR(ROWS(_xlfn.UNIQUE(_xlfn._xlws.FILTER(Pay_ID_Period_End,(Pay_Period_End &gt;= I$22) * (Pay_Period_End &lt;= I$23) * (IFERROR(SEARCH(I$1,Pay_Key_Gps),0)&gt;0) * (pp_DT_Pay_Code = 1)))),0),_xlpm.perc,_xlpm.calc/_xlpm.denom,IFERROR(IF(_xlpm.calc&lt;1000,_xlfn.CONCAT(_xlpm.calc," (",TEXT(_xlpm.perc,"0.0%"),")"),_xlfn.CONCAT(TEXT(_xlpm.calc,"0,000")," (",TEXT(_xlpm.perc,"0.0%"),")")),"-"))</f>
        <v>-</v>
      </c>
      <c r="J31" s="56" t="str" cm="1">
        <f t="array" ref="J31">_xlfn.LET(_xlpm.denom,J$27,_xlpm.calc,IFERROR(ROWS(_xlfn.UNIQUE(_xlfn._xlws.FILTER(Pay_ID_Period_End,(Pay_Period_End &gt;= J$22) * (Pay_Period_End &lt;= J$23) * (IFERROR(SEARCH(J$1,Pay_Key_Gps),0)&gt;0) * (pp_DT_Pay_Code = 1)))),0),_xlpm.perc,_xlpm.calc/_xlpm.denom,IFERROR(IF(_xlpm.calc&lt;1000,_xlfn.CONCAT(_xlpm.calc," (",TEXT(_xlpm.perc,"0.0%"),")"),_xlfn.CONCAT(TEXT(_xlpm.calc,"0,000")," (",TEXT(_xlpm.perc,"0.0%"),")")),"-"))</f>
        <v>-</v>
      </c>
      <c r="K31" s="56" t="str" cm="1">
        <f t="array" ref="K31">_xlfn.LET(_xlpm.denom,K$27,_xlpm.calc,IFERROR(ROWS(_xlfn.UNIQUE(_xlfn._xlws.FILTER(Pay_ID_Period_End,(Pay_Period_End &gt;= K$22) * (Pay_Period_End &lt;= K$23) * (IFERROR(SEARCH(K$1,Pay_Key_Gps),0)&gt;0) * (pp_DT_Pay_Code = 1)))),0),_xlpm.perc,_xlpm.calc/_xlpm.denom,IFERROR(IF(_xlpm.calc&lt;1000,_xlfn.CONCAT(_xlpm.calc," (",TEXT(_xlpm.perc,"0.0%"),")"),_xlfn.CONCAT(TEXT(_xlpm.calc,"0,000")," (",TEXT(_xlpm.perc,"0.0%"),")")),"-"))</f>
        <v>-</v>
      </c>
      <c r="L31" s="56" t="str" cm="1">
        <f t="array" ref="L31">_xlfn.LET(_xlpm.denom,L$27,_xlpm.calc,IFERROR(ROWS(_xlfn.UNIQUE(_xlfn._xlws.FILTER(Pay_ID_Period_End,(Pay_Period_End &gt;= L$22) * (Pay_Period_End &lt;= L$23) * (IFERROR(SEARCH(L$1,Pay_Key_Gps),0)&gt;0) * (pp_DT_Pay_Code = 1)))),0),_xlpm.perc,_xlpm.calc/_xlpm.denom,IFERROR(IF(_xlpm.calc&lt;1000,_xlfn.CONCAT(_xlpm.calc," (",TEXT(_xlpm.perc,"0.0%"),")"),_xlfn.CONCAT(TEXT(_xlpm.calc,"0,000")," (",TEXT(_xlpm.perc,"0.0%"),")")),"-"))</f>
        <v>-</v>
      </c>
      <c r="M31" s="155" t="str" cm="1">
        <f t="array" ref="M31">_xlfn.LET(_xlpm.denom,M$27,_xlpm.calc,IFERROR(ROWS(_xlfn.UNIQUE(_xlfn._xlws.FILTER(Pay_ID_Period_End,(Pay_Period_End &gt;= M$22) * (Pay_Period_End &lt;= M$23) * (IFERROR(SEARCH(M$1,Pay_Key_Gps),0)&gt;0) * (pp_DT_Pay_Code = 1)))),0),_xlpm.perc,_xlpm.calc/_xlpm.denom,IFERROR(IF(_xlpm.calc&lt;1000,_xlfn.CONCAT(_xlpm.calc," (",TEXT(_xlpm.perc,"0.0%"),")"),_xlfn.CONCAT(TEXT(_xlpm.calc,"0,000")," (",TEXT(_xlpm.perc,"0.0%"),")")),"-"))</f>
        <v>-</v>
      </c>
      <c r="N31" s="53" t="s">
        <v>86</v>
      </c>
      <c r="O31" s="74"/>
      <c r="Q31" s="75" t="str">
        <f t="shared" si="3"/>
        <v/>
      </c>
      <c r="R31" s="76" t="e">
        <f t="shared" si="4"/>
        <v>#VALUE!</v>
      </c>
      <c r="S31" s="64">
        <f t="shared" si="15"/>
        <v>1</v>
      </c>
      <c r="T31" s="42" t="str">
        <f t="shared" ca="1" si="5"/>
        <v>-</v>
      </c>
      <c r="U31" s="42" t="str">
        <f t="shared" si="6"/>
        <v>-</v>
      </c>
      <c r="V31" s="42" t="str">
        <f t="shared" si="7"/>
        <v>-</v>
      </c>
      <c r="W31" s="42" t="str">
        <f t="shared" si="8"/>
        <v>-</v>
      </c>
      <c r="X31" s="42" t="str">
        <f t="shared" si="9"/>
        <v>-</v>
      </c>
      <c r="Y31" s="42" t="str">
        <f t="shared" si="10"/>
        <v>-</v>
      </c>
      <c r="Z31" s="42" t="str">
        <f t="shared" si="11"/>
        <v>-</v>
      </c>
      <c r="AA31" s="42" t="str">
        <f t="shared" si="12"/>
        <v>-</v>
      </c>
      <c r="AB31" s="42" t="str">
        <f t="shared" si="13"/>
        <v>-</v>
      </c>
      <c r="AC31" s="42" t="str">
        <f t="shared" si="14"/>
        <v>-</v>
      </c>
    </row>
    <row r="32" spans="1:29" ht="28.8" outlineLevel="1" x14ac:dyDescent="0.25">
      <c r="A32" s="42" t="s">
        <v>13</v>
      </c>
      <c r="B32" s="314"/>
      <c r="C32" s="55" t="s">
        <v>544</v>
      </c>
      <c r="D32" s="195" t="str">
        <f>_xlfn.LET(_xlpm.denom,D$24,_xlpm.calc,ROUND($Q32*_xlpm.denom,0),_xlpm.perc,_xlpm.calc/_xlpm.denom,IFERROR(IF(_xlpm.calc&lt;1000,_xlfn.CONCAT(_xlpm.calc," (",TEXT(_xlpm.perc,"0.0%"),")"),_xlfn.CONCAT(TEXT(_xlpm.calc,"0,000")," (",TEXT(_xlpm.perc,"0.0%"),")")),"-"))</f>
        <v>-</v>
      </c>
      <c r="E32" s="56" t="str" cm="1">
        <f t="array" ref="E32">_xlfn.LET(_xlpm.denom,E$24,_xlpm.calc,IFERROR(ROWS(_xlfn.UNIQUE(_xlfn._xlws.FILTER(Pay_ID,(Pay_Period_End &gt;= E$22) * (Pay_Period_End &lt;= E$23) * (IFERROR(SEARCH(E$1,Pay_Key_Gps),0)&gt;0) * (pp_Meal_Pay_Code = 1)))),0),_xlpm.perc,_xlpm.calc/_xlpm.denom,IFERROR(IF(_xlpm.calc&lt;1000,_xlfn.CONCAT(_xlpm.calc," (",TEXT(_xlpm.perc,"0.0%"),")"),_xlfn.CONCAT(TEXT(_xlpm.calc,"0,000")," (",TEXT(_xlpm.perc,"0.0%"),")")),"-"))</f>
        <v>-</v>
      </c>
      <c r="F32" s="56" t="str" cm="1">
        <f t="array" ref="F32">_xlfn.LET(_xlpm.denom,F$24,_xlpm.calc,IFERROR(ROWS(_xlfn.UNIQUE(_xlfn._xlws.FILTER(Pay_ID,(Pay_Period_End &gt;= F$22) * (Pay_Period_End &lt;= F$23) * (IFERROR(SEARCH(F$1,Pay_Key_Gps),0)&gt;0) * (pp_Meal_Pay_Code = 1)))),0),_xlpm.perc,_xlpm.calc/_xlpm.denom,IFERROR(IF(_xlpm.calc&lt;1000,_xlfn.CONCAT(_xlpm.calc," (",TEXT(_xlpm.perc,"0.0%"),")"),_xlfn.CONCAT(TEXT(_xlpm.calc,"0,000")," (",TEXT(_xlpm.perc,"0.0%"),")")),"-"))</f>
        <v>-</v>
      </c>
      <c r="G32" s="56" t="str" cm="1">
        <f t="array" ref="G32">_xlfn.LET(_xlpm.denom,G$24,_xlpm.calc,IFERROR(ROWS(_xlfn.UNIQUE(_xlfn._xlws.FILTER(Pay_ID,(Pay_Period_End &gt;= G$22) * (Pay_Period_End &lt;= G$23) * (IFERROR(SEARCH(G$1,Pay_Key_Gps),0)&gt;0) * (pp_Meal_Pay_Code = 1)))),0),_xlpm.perc,_xlpm.calc/_xlpm.denom,IFERROR(IF(_xlpm.calc&lt;1000,_xlfn.CONCAT(_xlpm.calc," (",TEXT(_xlpm.perc,"0.0%"),")"),_xlfn.CONCAT(TEXT(_xlpm.calc,"0,000")," (",TEXT(_xlpm.perc,"0.0%"),")")),"-"))</f>
        <v>-</v>
      </c>
      <c r="H32" s="56" t="str" cm="1">
        <f t="array" ref="H32">_xlfn.LET(_xlpm.denom,H$24,_xlpm.calc,IFERROR(ROWS(_xlfn.UNIQUE(_xlfn._xlws.FILTER(Pay_ID,(Pay_Period_End &gt;= H$22) * (Pay_Period_End &lt;= H$23) * (IFERROR(SEARCH(H$1,Pay_Key_Gps),0)&gt;0) * (pp_Meal_Pay_Code = 1)))),0),_xlpm.perc,_xlpm.calc/_xlpm.denom,IFERROR(IF(_xlpm.calc&lt;1000,_xlfn.CONCAT(_xlpm.calc," (",TEXT(_xlpm.perc,"0.0%"),")"),_xlfn.CONCAT(TEXT(_xlpm.calc,"0,000")," (",TEXT(_xlpm.perc,"0.0%"),")")),"-"))</f>
        <v>-</v>
      </c>
      <c r="I32" s="56" t="str" cm="1">
        <f t="array" ref="I32">_xlfn.LET(_xlpm.denom,I$24,_xlpm.calc,IFERROR(ROWS(_xlfn.UNIQUE(_xlfn._xlws.FILTER(Pay_ID,(Pay_Period_End &gt;= I$22) * (Pay_Period_End &lt;= I$23) * (IFERROR(SEARCH(I$1,Pay_Key_Gps),0)&gt;0) * (pp_Meal_Pay_Code = 1)))),0),_xlpm.perc,_xlpm.calc/_xlpm.denom,IFERROR(IF(_xlpm.calc&lt;1000,_xlfn.CONCAT(_xlpm.calc," (",TEXT(_xlpm.perc,"0.0%"),")"),_xlfn.CONCAT(TEXT(_xlpm.calc,"0,000")," (",TEXT(_xlpm.perc,"0.0%"),")")),"-"))</f>
        <v>-</v>
      </c>
      <c r="J32" s="56" t="str" cm="1">
        <f t="array" ref="J32">_xlfn.LET(_xlpm.denom,J$24,_xlpm.calc,IFERROR(ROWS(_xlfn.UNIQUE(_xlfn._xlws.FILTER(Pay_ID,(Pay_Period_End &gt;= J$22) * (Pay_Period_End &lt;= J$23) * (IFERROR(SEARCH(J$1,Pay_Key_Gps),0)&gt;0) * (pp_Meal_Pay_Code = 1)))),0),_xlpm.perc,_xlpm.calc/_xlpm.denom,IFERROR(IF(_xlpm.calc&lt;1000,_xlfn.CONCAT(_xlpm.calc," (",TEXT(_xlpm.perc,"0.0%"),")"),_xlfn.CONCAT(TEXT(_xlpm.calc,"0,000")," (",TEXT(_xlpm.perc,"0.0%"),")")),"-"))</f>
        <v>-</v>
      </c>
      <c r="K32" s="56" t="str" cm="1">
        <f t="array" ref="K32">_xlfn.LET(_xlpm.denom,K$24,_xlpm.calc,IFERROR(ROWS(_xlfn.UNIQUE(_xlfn._xlws.FILTER(Pay_ID,(Pay_Period_End &gt;= K$22) * (Pay_Period_End &lt;= K$23) * (IFERROR(SEARCH(K$1,Pay_Key_Gps),0)&gt;0) * (pp_Meal_Pay_Code = 1)))),0),_xlpm.perc,_xlpm.calc/_xlpm.denom,IFERROR(IF(_xlpm.calc&lt;1000,_xlfn.CONCAT(_xlpm.calc," (",TEXT(_xlpm.perc,"0.0%"),")"),_xlfn.CONCAT(TEXT(_xlpm.calc,"0,000")," (",TEXT(_xlpm.perc,"0.0%"),")")),"-"))</f>
        <v>-</v>
      </c>
      <c r="L32" s="56" t="str" cm="1">
        <f t="array" ref="L32">_xlfn.LET(_xlpm.denom,L$24,_xlpm.calc,IFERROR(ROWS(_xlfn.UNIQUE(_xlfn._xlws.FILTER(Pay_ID,(Pay_Period_End &gt;= L$22) * (Pay_Period_End &lt;= L$23) * (IFERROR(SEARCH(L$1,Pay_Key_Gps),0)&gt;0) * (pp_Meal_Pay_Code = 1)))),0),_xlpm.perc,_xlpm.calc/_xlpm.denom,IFERROR(IF(_xlpm.calc&lt;1000,_xlfn.CONCAT(_xlpm.calc," (",TEXT(_xlpm.perc,"0.0%"),")"),_xlfn.CONCAT(TEXT(_xlpm.calc,"0,000")," (",TEXT(_xlpm.perc,"0.0%"),")")),"-"))</f>
        <v>-</v>
      </c>
      <c r="M32" s="155" t="str" cm="1">
        <f t="array" ref="M32">_xlfn.LET(_xlpm.denom,M$24,_xlpm.calc,IFERROR(ROWS(_xlfn.UNIQUE(_xlfn._xlws.FILTER(Pay_ID,(Pay_Period_End &gt;= M$22) * (Pay_Period_End &lt;= M$23) * (IFERROR(SEARCH(M$1,Pay_Key_Gps),0)&gt;0) * (pp_Meal_Pay_Code = 1)))),0),_xlpm.perc,_xlpm.calc/_xlpm.denom,IFERROR(IF(_xlpm.calc&lt;1000,_xlfn.CONCAT(_xlpm.calc," (",TEXT(_xlpm.perc,"0.0%"),")"),_xlfn.CONCAT(TEXT(_xlpm.calc,"0,000")," (",TEXT(_xlpm.perc,"0.0%"),")")),"-"))</f>
        <v>-</v>
      </c>
      <c r="N32" s="53" t="s">
        <v>128</v>
      </c>
      <c r="O32" s="74"/>
      <c r="Q32" s="75" t="str">
        <f t="shared" si="3"/>
        <v/>
      </c>
      <c r="R32" s="76" t="str">
        <f t="shared" si="4"/>
        <v/>
      </c>
      <c r="S32" s="64" t="str">
        <f t="shared" si="15"/>
        <v/>
      </c>
      <c r="T32" s="42" t="str">
        <f t="shared" si="5"/>
        <v/>
      </c>
      <c r="U32" s="42" t="str">
        <f t="shared" si="6"/>
        <v/>
      </c>
      <c r="V32" s="42" t="str">
        <f t="shared" si="7"/>
        <v/>
      </c>
      <c r="W32" s="42" t="str">
        <f t="shared" si="8"/>
        <v/>
      </c>
      <c r="X32" s="42" t="str">
        <f t="shared" si="9"/>
        <v/>
      </c>
      <c r="Y32" s="42" t="str">
        <f t="shared" si="10"/>
        <v/>
      </c>
      <c r="Z32" s="42" t="str">
        <f t="shared" si="11"/>
        <v/>
      </c>
      <c r="AA32" s="42" t="str">
        <f t="shared" si="12"/>
        <v/>
      </c>
      <c r="AB32" s="42" t="str">
        <f t="shared" si="13"/>
        <v/>
      </c>
      <c r="AC32" s="42" t="str">
        <f t="shared" si="14"/>
        <v/>
      </c>
    </row>
    <row r="33" spans="1:29" ht="28.8" outlineLevel="1" x14ac:dyDescent="0.25">
      <c r="A33" s="42" t="s">
        <v>13</v>
      </c>
      <c r="B33" s="314"/>
      <c r="C33" s="55" t="s">
        <v>79</v>
      </c>
      <c r="D33" s="195" t="str">
        <f ca="1">_xlfn.LET(_xlpm.denom,D$26,_xlpm.calc,ROUND($Q33*_xlpm.denom,0),_xlpm.perc,_xlpm.calc/_xlpm.denom,IFERROR(IF(_xlpm.calc&lt;1000,_xlfn.CONCAT(_xlpm.calc," (",TEXT(_xlpm.perc,"0.0%"),")"),_xlfn.CONCAT(TEXT(_xlpm.calc,"0,000")," (",TEXT(_xlpm.perc,"0.0%"),")")),"-"))</f>
        <v>-</v>
      </c>
      <c r="E33" s="56" t="str" cm="1">
        <f t="array" ref="E33">_xlfn.LET(_xlpm.denom,E$26,_xlpm.calc,IFERROR(ROWS(_xlfn.UNIQUE(_xlfn._xlws.FILTER(Pay_ID_Period_End,(Pay_Period_End &gt;= E$22) * (Pay_Period_End &lt;= E$23) * (IFERROR(SEARCH(E$1,Pay_Key_Gps),0)&gt;0) * (pp_Meal_Pay_Code = 1)))),0),_xlpm.perc,_xlpm.calc/_xlpm.denom,IFERROR(IF(_xlpm.calc&lt;1000,_xlfn.CONCAT(_xlpm.calc," (",TEXT(_xlpm.perc,"0.0%"),")"),_xlfn.CONCAT(TEXT(_xlpm.calc,"0,000")," (",TEXT(_xlpm.perc,"0.0%"),")")),"-"))</f>
        <v>-</v>
      </c>
      <c r="F33" s="56" t="str" cm="1">
        <f t="array" ref="F33">_xlfn.LET(_xlpm.denom,F$26,_xlpm.calc,IFERROR(ROWS(_xlfn.UNIQUE(_xlfn._xlws.FILTER(Pay_ID_Period_End,(Pay_Period_End &gt;= F$22) * (Pay_Period_End &lt;= F$23) * (IFERROR(SEARCH(F$1,Pay_Key_Gps),0)&gt;0) * (pp_Meal_Pay_Code = 1)))),0),_xlpm.perc,_xlpm.calc/_xlpm.denom,IFERROR(IF(_xlpm.calc&lt;1000,_xlfn.CONCAT(_xlpm.calc," (",TEXT(_xlpm.perc,"0.0%"),")"),_xlfn.CONCAT(TEXT(_xlpm.calc,"0,000")," (",TEXT(_xlpm.perc,"0.0%"),")")),"-"))</f>
        <v>-</v>
      </c>
      <c r="G33" s="56" t="str" cm="1">
        <f t="array" ref="G33">_xlfn.LET(_xlpm.denom,G$26,_xlpm.calc,IFERROR(ROWS(_xlfn.UNIQUE(_xlfn._xlws.FILTER(Pay_ID_Period_End,(Pay_Period_End &gt;= G$22) * (Pay_Period_End &lt;= G$23) * (IFERROR(SEARCH(G$1,Pay_Key_Gps),0)&gt;0) * (pp_Meal_Pay_Code = 1)))),0),_xlpm.perc,_xlpm.calc/_xlpm.denom,IFERROR(IF(_xlpm.calc&lt;1000,_xlfn.CONCAT(_xlpm.calc," (",TEXT(_xlpm.perc,"0.0%"),")"),_xlfn.CONCAT(TEXT(_xlpm.calc,"0,000")," (",TEXT(_xlpm.perc,"0.0%"),")")),"-"))</f>
        <v>-</v>
      </c>
      <c r="H33" s="56" t="str" cm="1">
        <f t="array" ref="H33">_xlfn.LET(_xlpm.denom,H$26,_xlpm.calc,IFERROR(ROWS(_xlfn.UNIQUE(_xlfn._xlws.FILTER(Pay_ID_Period_End,(Pay_Period_End &gt;= H$22) * (Pay_Period_End &lt;= H$23) * (IFERROR(SEARCH(H$1,Pay_Key_Gps),0)&gt;0) * (pp_Meal_Pay_Code = 1)))),0),_xlpm.perc,_xlpm.calc/_xlpm.denom,IFERROR(IF(_xlpm.calc&lt;1000,_xlfn.CONCAT(_xlpm.calc," (",TEXT(_xlpm.perc,"0.0%"),")"),_xlfn.CONCAT(TEXT(_xlpm.calc,"0,000")," (",TEXT(_xlpm.perc,"0.0%"),")")),"-"))</f>
        <v>-</v>
      </c>
      <c r="I33" s="56" t="str" cm="1">
        <f t="array" ref="I33">_xlfn.LET(_xlpm.denom,I$26,_xlpm.calc,IFERROR(ROWS(_xlfn.UNIQUE(_xlfn._xlws.FILTER(Pay_ID_Period_End,(Pay_Period_End &gt;= I$22) * (Pay_Period_End &lt;= I$23) * (IFERROR(SEARCH(I$1,Pay_Key_Gps),0)&gt;0) * (pp_Meal_Pay_Code = 1)))),0),_xlpm.perc,_xlpm.calc/_xlpm.denom,IFERROR(IF(_xlpm.calc&lt;1000,_xlfn.CONCAT(_xlpm.calc," (",TEXT(_xlpm.perc,"0.0%"),")"),_xlfn.CONCAT(TEXT(_xlpm.calc,"0,000")," (",TEXT(_xlpm.perc,"0.0%"),")")),"-"))</f>
        <v>-</v>
      </c>
      <c r="J33" s="56" t="str" cm="1">
        <f t="array" ref="J33">_xlfn.LET(_xlpm.denom,J$26,_xlpm.calc,IFERROR(ROWS(_xlfn.UNIQUE(_xlfn._xlws.FILTER(Pay_ID_Period_End,(Pay_Period_End &gt;= J$22) * (Pay_Period_End &lt;= J$23) * (IFERROR(SEARCH(J$1,Pay_Key_Gps),0)&gt;0) * (pp_Meal_Pay_Code = 1)))),0),_xlpm.perc,_xlpm.calc/_xlpm.denom,IFERROR(IF(_xlpm.calc&lt;1000,_xlfn.CONCAT(_xlpm.calc," (",TEXT(_xlpm.perc,"0.0%"),")"),_xlfn.CONCAT(TEXT(_xlpm.calc,"0,000")," (",TEXT(_xlpm.perc,"0.0%"),")")),"-"))</f>
        <v>-</v>
      </c>
      <c r="K33" s="56" t="str" cm="1">
        <f t="array" ref="K33">_xlfn.LET(_xlpm.denom,K$26,_xlpm.calc,IFERROR(ROWS(_xlfn.UNIQUE(_xlfn._xlws.FILTER(Pay_ID_Period_End,(Pay_Period_End &gt;= K$22) * (Pay_Period_End &lt;= K$23) * (IFERROR(SEARCH(K$1,Pay_Key_Gps),0)&gt;0) * (pp_Meal_Pay_Code = 1)))),0),_xlpm.perc,_xlpm.calc/_xlpm.denom,IFERROR(IF(_xlpm.calc&lt;1000,_xlfn.CONCAT(_xlpm.calc," (",TEXT(_xlpm.perc,"0.0%"),")"),_xlfn.CONCAT(TEXT(_xlpm.calc,"0,000")," (",TEXT(_xlpm.perc,"0.0%"),")")),"-"))</f>
        <v>-</v>
      </c>
      <c r="L33" s="56" t="str" cm="1">
        <f t="array" ref="L33">_xlfn.LET(_xlpm.denom,L$26,_xlpm.calc,IFERROR(ROWS(_xlfn.UNIQUE(_xlfn._xlws.FILTER(Pay_ID_Period_End,(Pay_Period_End &gt;= L$22) * (Pay_Period_End &lt;= L$23) * (IFERROR(SEARCH(L$1,Pay_Key_Gps),0)&gt;0) * (pp_Meal_Pay_Code = 1)))),0),_xlpm.perc,_xlpm.calc/_xlpm.denom,IFERROR(IF(_xlpm.calc&lt;1000,_xlfn.CONCAT(_xlpm.calc," (",TEXT(_xlpm.perc,"0.0%"),")"),_xlfn.CONCAT(TEXT(_xlpm.calc,"0,000")," (",TEXT(_xlpm.perc,"0.0%"),")")),"-"))</f>
        <v>-</v>
      </c>
      <c r="M33" s="155" t="str" cm="1">
        <f t="array" ref="M33">_xlfn.LET(_xlpm.denom,M$26,_xlpm.calc,IFERROR(ROWS(_xlfn.UNIQUE(_xlfn._xlws.FILTER(Pay_ID_Period_End,(Pay_Period_End &gt;= M$22) * (Pay_Period_End &lt;= M$23) * (IFERROR(SEARCH(M$1,Pay_Key_Gps),0)&gt;0) * (pp_Meal_Pay_Code = 1)))),0),_xlpm.perc,_xlpm.calc/_xlpm.denom,IFERROR(IF(_xlpm.calc&lt;1000,_xlfn.CONCAT(_xlpm.calc," (",TEXT(_xlpm.perc,"0.0%"),")"),_xlfn.CONCAT(TEXT(_xlpm.calc,"0,000")," (",TEXT(_xlpm.perc,"0.0%"),")")),"-"))</f>
        <v>-</v>
      </c>
      <c r="N33" s="53" t="s">
        <v>80</v>
      </c>
      <c r="O33" s="74"/>
      <c r="Q33" s="75" t="str">
        <f t="shared" si="3"/>
        <v/>
      </c>
      <c r="R33" s="76" t="e">
        <f t="shared" si="4"/>
        <v>#VALUE!</v>
      </c>
      <c r="S33" s="64">
        <f t="shared" si="15"/>
        <v>1</v>
      </c>
      <c r="T33" s="42" t="str">
        <f t="shared" ca="1" si="5"/>
        <v>-</v>
      </c>
      <c r="U33" s="42" t="str">
        <f t="shared" si="6"/>
        <v>-</v>
      </c>
      <c r="V33" s="42" t="str">
        <f t="shared" si="7"/>
        <v>-</v>
      </c>
      <c r="W33" s="42" t="str">
        <f t="shared" si="8"/>
        <v>-</v>
      </c>
      <c r="X33" s="42" t="str">
        <f t="shared" si="9"/>
        <v>-</v>
      </c>
      <c r="Y33" s="42" t="str">
        <f t="shared" si="10"/>
        <v>-</v>
      </c>
      <c r="Z33" s="42" t="str">
        <f t="shared" si="11"/>
        <v>-</v>
      </c>
      <c r="AA33" s="42" t="str">
        <f t="shared" si="12"/>
        <v>-</v>
      </c>
      <c r="AB33" s="42" t="str">
        <f t="shared" si="13"/>
        <v>-</v>
      </c>
      <c r="AC33" s="42" t="str">
        <f t="shared" si="14"/>
        <v>-</v>
      </c>
    </row>
    <row r="34" spans="1:29" outlineLevel="1" x14ac:dyDescent="0.25">
      <c r="A34" s="42">
        <v>1</v>
      </c>
      <c r="B34" s="314"/>
      <c r="C34" s="55" t="s">
        <v>81</v>
      </c>
      <c r="D34" s="197" t="str">
        <f ca="1">IFERROR(ROUND(E34/E$26*D$26,0),"-")</f>
        <v>-</v>
      </c>
      <c r="E34" s="82" t="e" cm="1">
        <f t="array" ref="E34">SUMIFS(Pay_Hours,Pay_Period_End,"&gt;="&amp;E$22,Pay_Period_End,"&lt;="&amp;E$23,Pay_Key_Gps,"*"&amp;E$1&amp;"*",Meal_Pay_Code,1)</f>
        <v>#NAME?</v>
      </c>
      <c r="F34" s="82" t="e" cm="1">
        <f t="array" ref="F34">SUMIFS(Pay_Hours,Pay_Period_End,"&gt;="&amp;F$22,Pay_Period_End,"&lt;="&amp;F$23,Pay_Key_Gps,"*"&amp;F$1&amp;"*",Meal_Pay_Code,1)</f>
        <v>#NAME?</v>
      </c>
      <c r="G34" s="82" t="e" cm="1">
        <f t="array" ref="G34">SUMIFS(Pay_Hours,Pay_Period_End,"&gt;="&amp;G$22,Pay_Period_End,"&lt;="&amp;G$23,Pay_Key_Gps,"*"&amp;G$1&amp;"*",Meal_Pay_Code,1)</f>
        <v>#NAME?</v>
      </c>
      <c r="H34" s="82" t="e" cm="1">
        <f t="array" ref="H34">SUMIFS(Pay_Hours,Pay_Period_End,"&gt;="&amp;H$22,Pay_Period_End,"&lt;="&amp;H$23,Pay_Key_Gps,"*"&amp;H$1&amp;"*",Meal_Pay_Code,1)</f>
        <v>#NAME?</v>
      </c>
      <c r="I34" s="82" t="e" cm="1">
        <f t="array" ref="I34">SUMIFS(Pay_Hours,Pay_Period_End,"&gt;="&amp;I$22,Pay_Period_End,"&lt;="&amp;I$23,Pay_Key_Gps,"*"&amp;I$1&amp;"*",Meal_Pay_Code,1)</f>
        <v>#NAME?</v>
      </c>
      <c r="J34" s="82" t="e" cm="1">
        <f t="array" ref="J34">SUMIFS(Pay_Hours,Pay_Period_End,"&gt;="&amp;J$22,Pay_Period_End,"&lt;="&amp;J$23,Pay_Key_Gps,"*"&amp;J$1&amp;"*",Meal_Pay_Code,1)</f>
        <v>#NAME?</v>
      </c>
      <c r="K34" s="82" t="e" cm="1">
        <f t="array" ref="K34">SUMIFS(Pay_Hours,Pay_Period_End,"&gt;="&amp;K$22,Pay_Period_End,"&lt;="&amp;K$23,Pay_Key_Gps,"*"&amp;K$1&amp;"*",Meal_Pay_Code,1)</f>
        <v>#NAME?</v>
      </c>
      <c r="L34" s="82" t="e" cm="1">
        <f t="array" ref="L34">SUMIFS(Pay_Hours,Pay_Period_End,"&gt;="&amp;L$22,Pay_Period_End,"&lt;="&amp;L$23,Pay_Key_Gps,"*"&amp;L$1&amp;"*",Meal_Pay_Code,1)</f>
        <v>#NAME?</v>
      </c>
      <c r="M34" s="164" t="e" cm="1">
        <f t="array" ref="M34">SUMIFS(Pay_Hours,Pay_Period_End,"&gt;="&amp;M$22,Pay_Period_End,"&lt;="&amp;M$23,Pay_Key_Gps,"*"&amp;M$1&amp;"*",Meal_Pay_Code,1)</f>
        <v>#NAME?</v>
      </c>
      <c r="N34" s="53"/>
      <c r="O34" s="74"/>
      <c r="Q34" s="75" t="str">
        <f t="shared" si="3"/>
        <v/>
      </c>
      <c r="R34" s="76" t="e">
        <f t="shared" si="4"/>
        <v>#NAME?</v>
      </c>
      <c r="S34" s="64">
        <f t="shared" si="15"/>
        <v>1</v>
      </c>
      <c r="T34" s="42" t="str">
        <f t="shared" ca="1" si="5"/>
        <v>-</v>
      </c>
      <c r="U34" s="42" t="e">
        <f t="shared" si="6"/>
        <v>#NAME?</v>
      </c>
      <c r="V34" s="42" t="e">
        <f t="shared" si="7"/>
        <v>#NAME?</v>
      </c>
      <c r="W34" s="42" t="e">
        <f t="shared" si="8"/>
        <v>#NAME?</v>
      </c>
      <c r="X34" s="42" t="e">
        <f t="shared" si="9"/>
        <v>#NAME?</v>
      </c>
      <c r="Y34" s="42" t="e">
        <f t="shared" si="10"/>
        <v>#NAME?</v>
      </c>
      <c r="Z34" s="42" t="e">
        <f t="shared" si="11"/>
        <v>#NAME?</v>
      </c>
      <c r="AA34" s="42" t="e">
        <f t="shared" si="12"/>
        <v>#NAME?</v>
      </c>
      <c r="AB34" s="42" t="e">
        <f t="shared" si="13"/>
        <v>#NAME?</v>
      </c>
      <c r="AC34" s="42" t="e">
        <f t="shared" si="14"/>
        <v>#NAME?</v>
      </c>
    </row>
    <row r="35" spans="1:29" outlineLevel="1" x14ac:dyDescent="0.25">
      <c r="A35" s="42">
        <v>1</v>
      </c>
      <c r="B35" s="314"/>
      <c r="C35" s="55" t="s">
        <v>82</v>
      </c>
      <c r="D35" s="199" t="str">
        <f ca="1">IFERROR(E35/E34*D34,"-")</f>
        <v>-</v>
      </c>
      <c r="E35" s="81" t="e" cm="1">
        <f t="array" ref="E35">SUMIFS(Pay_Amount,Pay_Period_End,"&gt;="&amp;E$22,Pay_Period_End,"&lt;="&amp;E$23,Pay_Key_Gps,"*"&amp;E$1&amp;"*",Meal_Pay_Code,1)</f>
        <v>#NAME?</v>
      </c>
      <c r="F35" s="81" t="e" cm="1">
        <f t="array" ref="F35">SUMIFS(Pay_Amount,Pay_Period_End,"&gt;="&amp;F$22,Pay_Period_End,"&lt;="&amp;F$23,Pay_Key_Gps,"*"&amp;F$1&amp;"*",Meal_Pay_Code,1)</f>
        <v>#NAME?</v>
      </c>
      <c r="G35" s="81" t="e" cm="1">
        <f t="array" ref="G35">SUMIFS(Pay_Amount,Pay_Period_End,"&gt;="&amp;G$22,Pay_Period_End,"&lt;="&amp;G$23,Pay_Key_Gps,"*"&amp;G$1&amp;"*",Meal_Pay_Code,1)</f>
        <v>#NAME?</v>
      </c>
      <c r="H35" s="81" t="e" cm="1">
        <f t="array" ref="H35">SUMIFS(Pay_Amount,Pay_Period_End,"&gt;="&amp;H$22,Pay_Period_End,"&lt;="&amp;H$23,Pay_Key_Gps,"*"&amp;H$1&amp;"*",Meal_Pay_Code,1)</f>
        <v>#NAME?</v>
      </c>
      <c r="I35" s="81" t="e" cm="1">
        <f t="array" ref="I35">SUMIFS(Pay_Amount,Pay_Period_End,"&gt;="&amp;I$22,Pay_Period_End,"&lt;="&amp;I$23,Pay_Key_Gps,"*"&amp;I$1&amp;"*",Meal_Pay_Code,1)</f>
        <v>#NAME?</v>
      </c>
      <c r="J35" s="81" t="e" cm="1">
        <f t="array" ref="J35">SUMIFS(Pay_Amount,Pay_Period_End,"&gt;="&amp;J$22,Pay_Period_End,"&lt;="&amp;J$23,Pay_Key_Gps,"*"&amp;J$1&amp;"*",Meal_Pay_Code,1)</f>
        <v>#NAME?</v>
      </c>
      <c r="K35" s="81" t="e" cm="1">
        <f t="array" ref="K35">SUMIFS(Pay_Amount,Pay_Period_End,"&gt;="&amp;K$22,Pay_Period_End,"&lt;="&amp;K$23,Pay_Key_Gps,"*"&amp;K$1&amp;"*",Meal_Pay_Code,1)</f>
        <v>#NAME?</v>
      </c>
      <c r="L35" s="81" t="e" cm="1">
        <f t="array" ref="L35">SUMIFS(Pay_Amount,Pay_Period_End,"&gt;="&amp;L$22,Pay_Period_End,"&lt;="&amp;L$23,Pay_Key_Gps,"*"&amp;L$1&amp;"*",Meal_Pay_Code,1)</f>
        <v>#NAME?</v>
      </c>
      <c r="M35" s="166" t="e" cm="1">
        <f t="array" ref="M35">SUMIFS(Pay_Amount,Pay_Period_End,"&gt;="&amp;M$22,Pay_Period_End,"&lt;="&amp;M$23,Pay_Key_Gps,"*"&amp;M$1&amp;"*",Meal_Pay_Code,1)</f>
        <v>#NAME?</v>
      </c>
      <c r="N35" s="53"/>
      <c r="O35" s="74"/>
      <c r="Q35" s="75" t="str">
        <f t="shared" si="3"/>
        <v/>
      </c>
      <c r="R35" s="76" t="e">
        <f t="shared" si="4"/>
        <v>#NAME?</v>
      </c>
      <c r="S35" s="64">
        <f t="shared" si="15"/>
        <v>1</v>
      </c>
      <c r="T35" s="42" t="str">
        <f t="shared" ca="1" si="5"/>
        <v>-</v>
      </c>
      <c r="U35" s="42" t="e">
        <f t="shared" si="6"/>
        <v>#NAME?</v>
      </c>
      <c r="V35" s="42" t="e">
        <f t="shared" si="7"/>
        <v>#NAME?</v>
      </c>
      <c r="W35" s="42" t="e">
        <f t="shared" si="8"/>
        <v>#NAME?</v>
      </c>
      <c r="X35" s="42" t="e">
        <f t="shared" si="9"/>
        <v>#NAME?</v>
      </c>
      <c r="Y35" s="42" t="e">
        <f t="shared" si="10"/>
        <v>#NAME?</v>
      </c>
      <c r="Z35" s="42" t="e">
        <f t="shared" si="11"/>
        <v>#NAME?</v>
      </c>
      <c r="AA35" s="42" t="e">
        <f t="shared" si="12"/>
        <v>#NAME?</v>
      </c>
      <c r="AB35" s="42" t="e">
        <f t="shared" si="13"/>
        <v>#NAME?</v>
      </c>
      <c r="AC35" s="42" t="e">
        <f t="shared" si="14"/>
        <v>#NAME?</v>
      </c>
    </row>
    <row r="36" spans="1:29" ht="28.8" outlineLevel="1" x14ac:dyDescent="0.25">
      <c r="A36" s="42" t="s">
        <v>13</v>
      </c>
      <c r="B36" s="314"/>
      <c r="C36" s="55" t="s">
        <v>549</v>
      </c>
      <c r="D36" s="195" t="str">
        <f>_xlfn.LET(_xlpm.denom,D$24,_xlpm.calc,ROUND($Q36*_xlpm.denom,0),_xlpm.perc,_xlpm.calc/_xlpm.denom,IFERROR(IF(_xlpm.calc&lt;1000,_xlfn.CONCAT(_xlpm.calc," (",TEXT(_xlpm.perc,"0.0%"),")"),_xlfn.CONCAT(TEXT(_xlpm.calc,"0,000")," (",TEXT(_xlpm.perc,"0.0%"),")")),"-"))</f>
        <v>-</v>
      </c>
      <c r="E36" s="56" t="str" cm="1">
        <f t="array" ref="E36">_xlfn.LET(_xlpm.denom,E$24,_xlpm.calc,IFERROR(ROWS(_xlfn.UNIQUE(_xlfn._xlws.FILTER(Pay_ID,(Pay_Period_End &gt;= E$22) * (Pay_Period_End &lt;= E$23) * (IFERROR(SEARCH(E$1,Pay_Key_Gps),0)&gt;0) * (pp_Rest_Pay_Code = 1)))),0),_xlpm.perc,_xlpm.calc/_xlpm.denom,IFERROR(IF(_xlpm.calc&lt;1000,_xlfn.CONCAT(_xlpm.calc," (",TEXT(_xlpm.perc,"0.0%"),")"),_xlfn.CONCAT(TEXT(_xlpm.calc,"0,000")," (",TEXT(_xlpm.perc,"0.0%"),")")),"-"))</f>
        <v>-</v>
      </c>
      <c r="F36" s="56" t="str" cm="1">
        <f t="array" ref="F36">_xlfn.LET(_xlpm.denom,F$24,_xlpm.calc,IFERROR(ROWS(_xlfn.UNIQUE(_xlfn._xlws.FILTER(Pay_ID,(Pay_Period_End &gt;= F$22) * (Pay_Period_End &lt;= F$23) * (IFERROR(SEARCH(F$1,Pay_Key_Gps),0)&gt;0) * (pp_Rest_Pay_Code = 1)))),0),_xlpm.perc,_xlpm.calc/_xlpm.denom,IFERROR(IF(_xlpm.calc&lt;1000,_xlfn.CONCAT(_xlpm.calc," (",TEXT(_xlpm.perc,"0.0%"),")"),_xlfn.CONCAT(TEXT(_xlpm.calc,"0,000")," (",TEXT(_xlpm.perc,"0.0%"),")")),"-"))</f>
        <v>-</v>
      </c>
      <c r="G36" s="56" t="str" cm="1">
        <f t="array" ref="G36">_xlfn.LET(_xlpm.denom,G$24,_xlpm.calc,IFERROR(ROWS(_xlfn.UNIQUE(_xlfn._xlws.FILTER(Pay_ID,(Pay_Period_End &gt;= G$22) * (Pay_Period_End &lt;= G$23) * (IFERROR(SEARCH(G$1,Pay_Key_Gps),0)&gt;0) * (pp_Rest_Pay_Code = 1)))),0),_xlpm.perc,_xlpm.calc/_xlpm.denom,IFERROR(IF(_xlpm.calc&lt;1000,_xlfn.CONCAT(_xlpm.calc," (",TEXT(_xlpm.perc,"0.0%"),")"),_xlfn.CONCAT(TEXT(_xlpm.calc,"0,000")," (",TEXT(_xlpm.perc,"0.0%"),")")),"-"))</f>
        <v>-</v>
      </c>
      <c r="H36" s="56" t="str" cm="1">
        <f t="array" ref="H36">_xlfn.LET(_xlpm.denom,H$24,_xlpm.calc,IFERROR(ROWS(_xlfn.UNIQUE(_xlfn._xlws.FILTER(Pay_ID,(Pay_Period_End &gt;= H$22) * (Pay_Period_End &lt;= H$23) * (IFERROR(SEARCH(H$1,Pay_Key_Gps),0)&gt;0) * (pp_Rest_Pay_Code = 1)))),0),_xlpm.perc,_xlpm.calc/_xlpm.denom,IFERROR(IF(_xlpm.calc&lt;1000,_xlfn.CONCAT(_xlpm.calc," (",TEXT(_xlpm.perc,"0.0%"),")"),_xlfn.CONCAT(TEXT(_xlpm.calc,"0,000")," (",TEXT(_xlpm.perc,"0.0%"),")")),"-"))</f>
        <v>-</v>
      </c>
      <c r="I36" s="56" t="str" cm="1">
        <f t="array" ref="I36">_xlfn.LET(_xlpm.denom,I$24,_xlpm.calc,IFERROR(ROWS(_xlfn.UNIQUE(_xlfn._xlws.FILTER(Pay_ID,(Pay_Period_End &gt;= I$22) * (Pay_Period_End &lt;= I$23) * (IFERROR(SEARCH(I$1,Pay_Key_Gps),0)&gt;0) * (pp_Rest_Pay_Code = 1)))),0),_xlpm.perc,_xlpm.calc/_xlpm.denom,IFERROR(IF(_xlpm.calc&lt;1000,_xlfn.CONCAT(_xlpm.calc," (",TEXT(_xlpm.perc,"0.0%"),")"),_xlfn.CONCAT(TEXT(_xlpm.calc,"0,000")," (",TEXT(_xlpm.perc,"0.0%"),")")),"-"))</f>
        <v>-</v>
      </c>
      <c r="J36" s="56" t="str" cm="1">
        <f t="array" ref="J36">_xlfn.LET(_xlpm.denom,J$24,_xlpm.calc,IFERROR(ROWS(_xlfn.UNIQUE(_xlfn._xlws.FILTER(Pay_ID,(Pay_Period_End &gt;= J$22) * (Pay_Period_End &lt;= J$23) * (IFERROR(SEARCH(J$1,Pay_Key_Gps),0)&gt;0) * (pp_Rest_Pay_Code = 1)))),0),_xlpm.perc,_xlpm.calc/_xlpm.denom,IFERROR(IF(_xlpm.calc&lt;1000,_xlfn.CONCAT(_xlpm.calc," (",TEXT(_xlpm.perc,"0.0%"),")"),_xlfn.CONCAT(TEXT(_xlpm.calc,"0,000")," (",TEXT(_xlpm.perc,"0.0%"),")")),"-"))</f>
        <v>-</v>
      </c>
      <c r="K36" s="56" t="str" cm="1">
        <f t="array" ref="K36">_xlfn.LET(_xlpm.denom,K$24,_xlpm.calc,IFERROR(ROWS(_xlfn.UNIQUE(_xlfn._xlws.FILTER(Pay_ID,(Pay_Period_End &gt;= K$22) * (Pay_Period_End &lt;= K$23) * (IFERROR(SEARCH(K$1,Pay_Key_Gps),0)&gt;0) * (pp_Rest_Pay_Code = 1)))),0),_xlpm.perc,_xlpm.calc/_xlpm.denom,IFERROR(IF(_xlpm.calc&lt;1000,_xlfn.CONCAT(_xlpm.calc," (",TEXT(_xlpm.perc,"0.0%"),")"),_xlfn.CONCAT(TEXT(_xlpm.calc,"0,000")," (",TEXT(_xlpm.perc,"0.0%"),")")),"-"))</f>
        <v>-</v>
      </c>
      <c r="L36" s="56" t="str" cm="1">
        <f t="array" ref="L36">_xlfn.LET(_xlpm.denom,L$24,_xlpm.calc,IFERROR(ROWS(_xlfn.UNIQUE(_xlfn._xlws.FILTER(Pay_ID,(Pay_Period_End &gt;= L$22) * (Pay_Period_End &lt;= L$23) * (IFERROR(SEARCH(L$1,Pay_Key_Gps),0)&gt;0) * (pp_Rest_Pay_Code = 1)))),0),_xlpm.perc,_xlpm.calc/_xlpm.denom,IFERROR(IF(_xlpm.calc&lt;1000,_xlfn.CONCAT(_xlpm.calc," (",TEXT(_xlpm.perc,"0.0%"),")"),_xlfn.CONCAT(TEXT(_xlpm.calc,"0,000")," (",TEXT(_xlpm.perc,"0.0%"),")")),"-"))</f>
        <v>-</v>
      </c>
      <c r="M36" s="155" t="str" cm="1">
        <f t="array" ref="M36">_xlfn.LET(_xlpm.denom,M$24,_xlpm.calc,IFERROR(ROWS(_xlfn.UNIQUE(_xlfn._xlws.FILTER(Pay_ID,(Pay_Period_End &gt;= M$22) * (Pay_Period_End &lt;= M$23) * (IFERROR(SEARCH(M$1,Pay_Key_Gps),0)&gt;0) * (pp_Rest_Pay_Code = 1)))),0),_xlpm.perc,_xlpm.calc/_xlpm.denom,IFERROR(IF(_xlpm.calc&lt;1000,_xlfn.CONCAT(_xlpm.calc," (",TEXT(_xlpm.perc,"0.0%"),")"),_xlfn.CONCAT(TEXT(_xlpm.calc,"0,000")," (",TEXT(_xlpm.perc,"0.0%"),")")),"-"))</f>
        <v>-</v>
      </c>
      <c r="N36" s="53" t="s">
        <v>128</v>
      </c>
      <c r="O36" s="74"/>
      <c r="Q36" s="75" t="str">
        <f t="shared" ref="Q36:Q67" si="22">IF(IFERROR(SEARCH("(",E36),0)=0,"",VALUE(SUBSTITUTE(RIGHT(E36,LEN(E36)-SEARCH("(",E36)),")","")))</f>
        <v/>
      </c>
      <c r="R36" s="76" t="str">
        <f t="shared" ref="R36:R67" si="23">IF(U36="","",SUM(V36:AB36)-U36)</f>
        <v/>
      </c>
      <c r="S36" s="64" t="str">
        <f t="shared" si="15"/>
        <v/>
      </c>
      <c r="T36" s="42" t="str">
        <f t="shared" ref="T36:T67" si="24">IF($S36&lt;&gt;1,"",IF(IFERROR(SEARCH("(",D36),0)=0,D36,VALUE(TRIM(LEFT(D36,SEARCH(" (",D36))))))</f>
        <v/>
      </c>
      <c r="U36" s="42" t="str">
        <f t="shared" ref="U36:U67" si="25">IF($S36&lt;&gt;1,"",IF(IFERROR(SEARCH("(",E36),0)=0,E36,VALUE(TRIM(LEFT(E36,SEARCH(" (",E36))))))</f>
        <v/>
      </c>
      <c r="V36" s="42" t="str">
        <f t="shared" ref="V36:V67" si="26">IF($S36&lt;&gt;1,"",IF(IFERROR(SEARCH("(",F36),0)=0,F36,VALUE(TRIM(LEFT(F36,SEARCH(" (",F36))))))</f>
        <v/>
      </c>
      <c r="W36" s="42" t="str">
        <f t="shared" si="8"/>
        <v/>
      </c>
      <c r="X36" s="42" t="str">
        <f t="shared" si="9"/>
        <v/>
      </c>
      <c r="Y36" s="42" t="str">
        <f t="shared" si="10"/>
        <v/>
      </c>
      <c r="Z36" s="42" t="str">
        <f t="shared" si="11"/>
        <v/>
      </c>
      <c r="AA36" s="42" t="str">
        <f t="shared" si="12"/>
        <v/>
      </c>
      <c r="AB36" s="42" t="str">
        <f t="shared" si="13"/>
        <v/>
      </c>
      <c r="AC36" s="42" t="str">
        <f t="shared" ref="AC36:AC67" si="27">IF($S36&lt;&gt;1,"",IF(IFERROR(SEARCH("(",M36),0)=0,M36,VALUE(TRIM(LEFT(M36,SEARCH(" (",M36))))))</f>
        <v/>
      </c>
    </row>
    <row r="37" spans="1:29" ht="28.8" outlineLevel="1" x14ac:dyDescent="0.25">
      <c r="A37" s="42" t="s">
        <v>13</v>
      </c>
      <c r="B37" s="314"/>
      <c r="C37" s="55" t="s">
        <v>550</v>
      </c>
      <c r="D37" s="195" t="str">
        <f ca="1">_xlfn.LET(_xlpm.denom,D$26,_xlpm.calc,ROUND($Q37*_xlpm.denom,0),_xlpm.perc,_xlpm.calc/_xlpm.denom,IFERROR(IF(_xlpm.calc&lt;1000,_xlfn.CONCAT(_xlpm.calc," (",TEXT(_xlpm.perc,"0.0%"),")"),_xlfn.CONCAT(TEXT(_xlpm.calc,"0,000")," (",TEXT(_xlpm.perc,"0.0%"),")")),"-"))</f>
        <v>-</v>
      </c>
      <c r="E37" s="56" t="str" cm="1">
        <f t="array" ref="E37">_xlfn.LET(_xlpm.denom,E$26,_xlpm.calc,IFERROR(ROWS(_xlfn.UNIQUE(_xlfn._xlws.FILTER(Pay_ID_Period_End,(Pay_Period_End &gt;= E$22) * (Pay_Period_End &lt;= E$23) * (IFERROR(SEARCH(E$1,Pay_Key_Gps),0)&gt;0) * (pp_Rest_Pay_Code = 1)))),0),_xlpm.perc,_xlpm.calc/_xlpm.denom,IFERROR(IF(_xlpm.calc&lt;1000,_xlfn.CONCAT(_xlpm.calc," (",TEXT(_xlpm.perc,"0.0%"),")"),_xlfn.CONCAT(TEXT(_xlpm.calc,"0,000")," (",TEXT(_xlpm.perc,"0.0%"),")")),"-"))</f>
        <v>-</v>
      </c>
      <c r="F37" s="56" t="str" cm="1">
        <f t="array" ref="F37">_xlfn.LET(_xlpm.denom,F$26,_xlpm.calc,IFERROR(ROWS(_xlfn.UNIQUE(_xlfn._xlws.FILTER(Pay_ID_Period_End,(Pay_Period_End &gt;= F$22) * (Pay_Period_End &lt;= F$23) * (IFERROR(SEARCH(F$1,Pay_Key_Gps),0)&gt;0) * (pp_Rest_Pay_Code = 1)))),0),_xlpm.perc,_xlpm.calc/_xlpm.denom,IFERROR(IF(_xlpm.calc&lt;1000,_xlfn.CONCAT(_xlpm.calc," (",TEXT(_xlpm.perc,"0.0%"),")"),_xlfn.CONCAT(TEXT(_xlpm.calc,"0,000")," (",TEXT(_xlpm.perc,"0.0%"),")")),"-"))</f>
        <v>-</v>
      </c>
      <c r="G37" s="56" t="str" cm="1">
        <f t="array" ref="G37">_xlfn.LET(_xlpm.denom,G$26,_xlpm.calc,IFERROR(ROWS(_xlfn.UNIQUE(_xlfn._xlws.FILTER(Pay_ID_Period_End,(Pay_Period_End &gt;= G$22) * (Pay_Period_End &lt;= G$23) * (IFERROR(SEARCH(G$1,Pay_Key_Gps),0)&gt;0) * (pp_Rest_Pay_Code = 1)))),0),_xlpm.perc,_xlpm.calc/_xlpm.denom,IFERROR(IF(_xlpm.calc&lt;1000,_xlfn.CONCAT(_xlpm.calc," (",TEXT(_xlpm.perc,"0.0%"),")"),_xlfn.CONCAT(TEXT(_xlpm.calc,"0,000")," (",TEXT(_xlpm.perc,"0.0%"),")")),"-"))</f>
        <v>-</v>
      </c>
      <c r="H37" s="56" t="str" cm="1">
        <f t="array" ref="H37">_xlfn.LET(_xlpm.denom,H$26,_xlpm.calc,IFERROR(ROWS(_xlfn.UNIQUE(_xlfn._xlws.FILTER(Pay_ID_Period_End,(Pay_Period_End &gt;= H$22) * (Pay_Period_End &lt;= H$23) * (IFERROR(SEARCH(H$1,Pay_Key_Gps),0)&gt;0) * (pp_Rest_Pay_Code = 1)))),0),_xlpm.perc,_xlpm.calc/_xlpm.denom,IFERROR(IF(_xlpm.calc&lt;1000,_xlfn.CONCAT(_xlpm.calc," (",TEXT(_xlpm.perc,"0.0%"),")"),_xlfn.CONCAT(TEXT(_xlpm.calc,"0,000")," (",TEXT(_xlpm.perc,"0.0%"),")")),"-"))</f>
        <v>-</v>
      </c>
      <c r="I37" s="56" t="str" cm="1">
        <f t="array" ref="I37">_xlfn.LET(_xlpm.denom,I$26,_xlpm.calc,IFERROR(ROWS(_xlfn.UNIQUE(_xlfn._xlws.FILTER(Pay_ID_Period_End,(Pay_Period_End &gt;= I$22) * (Pay_Period_End &lt;= I$23) * (IFERROR(SEARCH(I$1,Pay_Key_Gps),0)&gt;0) * (pp_Rest_Pay_Code = 1)))),0),_xlpm.perc,_xlpm.calc/_xlpm.denom,IFERROR(IF(_xlpm.calc&lt;1000,_xlfn.CONCAT(_xlpm.calc," (",TEXT(_xlpm.perc,"0.0%"),")"),_xlfn.CONCAT(TEXT(_xlpm.calc,"0,000")," (",TEXT(_xlpm.perc,"0.0%"),")")),"-"))</f>
        <v>-</v>
      </c>
      <c r="J37" s="56" t="str" cm="1">
        <f t="array" ref="J37">_xlfn.LET(_xlpm.denom,J$26,_xlpm.calc,IFERROR(ROWS(_xlfn.UNIQUE(_xlfn._xlws.FILTER(Pay_ID_Period_End,(Pay_Period_End &gt;= J$22) * (Pay_Period_End &lt;= J$23) * (IFERROR(SEARCH(J$1,Pay_Key_Gps),0)&gt;0) * (pp_Rest_Pay_Code = 1)))),0),_xlpm.perc,_xlpm.calc/_xlpm.denom,IFERROR(IF(_xlpm.calc&lt;1000,_xlfn.CONCAT(_xlpm.calc," (",TEXT(_xlpm.perc,"0.0%"),")"),_xlfn.CONCAT(TEXT(_xlpm.calc,"0,000")," (",TEXT(_xlpm.perc,"0.0%"),")")),"-"))</f>
        <v>-</v>
      </c>
      <c r="K37" s="56" t="str" cm="1">
        <f t="array" ref="K37">_xlfn.LET(_xlpm.denom,K$26,_xlpm.calc,IFERROR(ROWS(_xlfn.UNIQUE(_xlfn._xlws.FILTER(Pay_ID_Period_End,(Pay_Period_End &gt;= K$22) * (Pay_Period_End &lt;= K$23) * (IFERROR(SEARCH(K$1,Pay_Key_Gps),0)&gt;0) * (pp_Rest_Pay_Code = 1)))),0),_xlpm.perc,_xlpm.calc/_xlpm.denom,IFERROR(IF(_xlpm.calc&lt;1000,_xlfn.CONCAT(_xlpm.calc," (",TEXT(_xlpm.perc,"0.0%"),")"),_xlfn.CONCAT(TEXT(_xlpm.calc,"0,000")," (",TEXT(_xlpm.perc,"0.0%"),")")),"-"))</f>
        <v>-</v>
      </c>
      <c r="L37" s="56" t="str" cm="1">
        <f t="array" ref="L37">_xlfn.LET(_xlpm.denom,L$26,_xlpm.calc,IFERROR(ROWS(_xlfn.UNIQUE(_xlfn._xlws.FILTER(Pay_ID_Period_End,(Pay_Period_End &gt;= L$22) * (Pay_Period_End &lt;= L$23) * (IFERROR(SEARCH(L$1,Pay_Key_Gps),0)&gt;0) * (pp_Rest_Pay_Code = 1)))),0),_xlpm.perc,_xlpm.calc/_xlpm.denom,IFERROR(IF(_xlpm.calc&lt;1000,_xlfn.CONCAT(_xlpm.calc," (",TEXT(_xlpm.perc,"0.0%"),")"),_xlfn.CONCAT(TEXT(_xlpm.calc,"0,000")," (",TEXT(_xlpm.perc,"0.0%"),")")),"-"))</f>
        <v>-</v>
      </c>
      <c r="M37" s="155" t="str" cm="1">
        <f t="array" ref="M37">_xlfn.LET(_xlpm.denom,M$26,_xlpm.calc,IFERROR(ROWS(_xlfn.UNIQUE(_xlfn._xlws.FILTER(Pay_ID_Period_End,(Pay_Period_End &gt;= M$22) * (Pay_Period_End &lt;= M$23) * (IFERROR(SEARCH(M$1,Pay_Key_Gps),0)&gt;0) * (pp_Rest_Pay_Code = 1)))),0),_xlpm.perc,_xlpm.calc/_xlpm.denom,IFERROR(IF(_xlpm.calc&lt;1000,_xlfn.CONCAT(_xlpm.calc," (",TEXT(_xlpm.perc,"0.0%"),")"),_xlfn.CONCAT(TEXT(_xlpm.calc,"0,000")," (",TEXT(_xlpm.perc,"0.0%"),")")),"-"))</f>
        <v>-</v>
      </c>
      <c r="N37" s="53" t="s">
        <v>80</v>
      </c>
      <c r="O37" s="74"/>
      <c r="Q37" s="75" t="str">
        <f t="shared" si="22"/>
        <v/>
      </c>
      <c r="R37" s="76" t="e">
        <f t="shared" si="23"/>
        <v>#VALUE!</v>
      </c>
      <c r="S37" s="64">
        <f t="shared" si="15"/>
        <v>1</v>
      </c>
      <c r="T37" s="42" t="str">
        <f t="shared" ca="1" si="24"/>
        <v>-</v>
      </c>
      <c r="U37" s="42" t="str">
        <f t="shared" si="25"/>
        <v>-</v>
      </c>
      <c r="V37" s="42" t="str">
        <f t="shared" si="26"/>
        <v>-</v>
      </c>
      <c r="W37" s="42" t="str">
        <f t="shared" si="8"/>
        <v>-</v>
      </c>
      <c r="X37" s="42" t="str">
        <f t="shared" si="9"/>
        <v>-</v>
      </c>
      <c r="Y37" s="42" t="str">
        <f t="shared" si="10"/>
        <v>-</v>
      </c>
      <c r="Z37" s="42" t="str">
        <f t="shared" si="11"/>
        <v>-</v>
      </c>
      <c r="AA37" s="42" t="str">
        <f t="shared" si="12"/>
        <v>-</v>
      </c>
      <c r="AB37" s="42" t="str">
        <f t="shared" si="13"/>
        <v>-</v>
      </c>
      <c r="AC37" s="42" t="str">
        <f t="shared" si="27"/>
        <v>-</v>
      </c>
    </row>
    <row r="38" spans="1:29" outlineLevel="1" x14ac:dyDescent="0.25">
      <c r="A38" s="42">
        <v>1</v>
      </c>
      <c r="B38" s="314"/>
      <c r="C38" s="55" t="s">
        <v>551</v>
      </c>
      <c r="D38" s="197" t="str">
        <f ca="1">IFERROR(ROUND(E38/E$26*D$26,0),"-")</f>
        <v>-</v>
      </c>
      <c r="E38" s="82" t="e">
        <f t="shared" ref="E38:M38" si="28">SUMIFS(Pay_Hours,Pay_Period_End,"&gt;="&amp;E$22,Pay_Period_End,"&lt;="&amp;E$23,Pay_Key_Gps,"*"&amp;E$1&amp;"*",Rest_Pay_Code,1)</f>
        <v>#NAME?</v>
      </c>
      <c r="F38" s="82" t="e">
        <f t="shared" si="28"/>
        <v>#NAME?</v>
      </c>
      <c r="G38" s="82" t="e">
        <f t="shared" si="28"/>
        <v>#NAME?</v>
      </c>
      <c r="H38" s="82" t="e">
        <f t="shared" si="28"/>
        <v>#NAME?</v>
      </c>
      <c r="I38" s="82" t="e">
        <f t="shared" si="28"/>
        <v>#NAME?</v>
      </c>
      <c r="J38" s="82" t="e">
        <f t="shared" si="28"/>
        <v>#NAME?</v>
      </c>
      <c r="K38" s="82" t="e">
        <f t="shared" si="28"/>
        <v>#NAME?</v>
      </c>
      <c r="L38" s="82" t="e">
        <f t="shared" si="28"/>
        <v>#NAME?</v>
      </c>
      <c r="M38" s="164" t="e">
        <f t="shared" si="28"/>
        <v>#NAME?</v>
      </c>
      <c r="N38" s="53"/>
      <c r="O38" s="74"/>
      <c r="Q38" s="75" t="str">
        <f t="shared" si="22"/>
        <v/>
      </c>
      <c r="R38" s="76" t="e">
        <f t="shared" si="23"/>
        <v>#NAME?</v>
      </c>
      <c r="S38" s="64">
        <f t="shared" si="15"/>
        <v>1</v>
      </c>
      <c r="T38" s="42" t="str">
        <f t="shared" ca="1" si="24"/>
        <v>-</v>
      </c>
      <c r="U38" s="42" t="e">
        <f t="shared" si="25"/>
        <v>#NAME?</v>
      </c>
      <c r="V38" s="42" t="e">
        <f t="shared" si="26"/>
        <v>#NAME?</v>
      </c>
      <c r="W38" s="42" t="e">
        <f t="shared" si="8"/>
        <v>#NAME?</v>
      </c>
      <c r="X38" s="42" t="e">
        <f t="shared" si="9"/>
        <v>#NAME?</v>
      </c>
      <c r="Y38" s="42" t="e">
        <f t="shared" si="10"/>
        <v>#NAME?</v>
      </c>
      <c r="Z38" s="42" t="e">
        <f t="shared" si="11"/>
        <v>#NAME?</v>
      </c>
      <c r="AA38" s="42" t="e">
        <f t="shared" si="12"/>
        <v>#NAME?</v>
      </c>
      <c r="AB38" s="42" t="e">
        <f t="shared" si="13"/>
        <v>#NAME?</v>
      </c>
      <c r="AC38" s="42" t="e">
        <f t="shared" si="27"/>
        <v>#NAME?</v>
      </c>
    </row>
    <row r="39" spans="1:29" outlineLevel="1" x14ac:dyDescent="0.25">
      <c r="A39" s="42">
        <v>1</v>
      </c>
      <c r="B39" s="314"/>
      <c r="C39" s="55" t="s">
        <v>552</v>
      </c>
      <c r="D39" s="199" t="str">
        <f ca="1">IFERROR(E39/E38*D38,"-")</f>
        <v>-</v>
      </c>
      <c r="E39" s="81" t="e">
        <f t="shared" ref="E39:M39" si="29">SUMIFS(Pay_Amount,Pay_Period_End,"&gt;="&amp;E$22,Pay_Period_End,"&lt;="&amp;E$23,Pay_Key_Gps,"*"&amp;E$1&amp;"*",Rest_Pay_Code,1)</f>
        <v>#NAME?</v>
      </c>
      <c r="F39" s="81" t="e">
        <f t="shared" si="29"/>
        <v>#NAME?</v>
      </c>
      <c r="G39" s="81" t="e">
        <f t="shared" si="29"/>
        <v>#NAME?</v>
      </c>
      <c r="H39" s="81" t="e">
        <f t="shared" si="29"/>
        <v>#NAME?</v>
      </c>
      <c r="I39" s="81" t="e">
        <f t="shared" si="29"/>
        <v>#NAME?</v>
      </c>
      <c r="J39" s="81" t="e">
        <f t="shared" si="29"/>
        <v>#NAME?</v>
      </c>
      <c r="K39" s="81" t="e">
        <f t="shared" si="29"/>
        <v>#NAME?</v>
      </c>
      <c r="L39" s="81" t="e">
        <f t="shared" si="29"/>
        <v>#NAME?</v>
      </c>
      <c r="M39" s="166" t="e">
        <f t="shared" si="29"/>
        <v>#NAME?</v>
      </c>
      <c r="N39" s="53"/>
      <c r="O39" s="74"/>
      <c r="Q39" s="75" t="str">
        <f t="shared" si="22"/>
        <v/>
      </c>
      <c r="R39" s="76" t="e">
        <f t="shared" si="23"/>
        <v>#NAME?</v>
      </c>
      <c r="S39" s="64">
        <f t="shared" si="15"/>
        <v>1</v>
      </c>
      <c r="T39" s="42" t="str">
        <f t="shared" ca="1" si="24"/>
        <v>-</v>
      </c>
      <c r="U39" s="42" t="e">
        <f t="shared" si="25"/>
        <v>#NAME?</v>
      </c>
      <c r="V39" s="42" t="e">
        <f t="shared" si="26"/>
        <v>#NAME?</v>
      </c>
      <c r="W39" s="42" t="e">
        <f t="shared" si="8"/>
        <v>#NAME?</v>
      </c>
      <c r="X39" s="42" t="e">
        <f t="shared" si="9"/>
        <v>#NAME?</v>
      </c>
      <c r="Y39" s="42" t="e">
        <f t="shared" si="10"/>
        <v>#NAME?</v>
      </c>
      <c r="Z39" s="42" t="e">
        <f t="shared" si="11"/>
        <v>#NAME?</v>
      </c>
      <c r="AA39" s="42" t="e">
        <f t="shared" si="12"/>
        <v>#NAME?</v>
      </c>
      <c r="AB39" s="42" t="e">
        <f t="shared" si="13"/>
        <v>#NAME?</v>
      </c>
      <c r="AC39" s="42" t="e">
        <f t="shared" si="27"/>
        <v>#NAME?</v>
      </c>
    </row>
    <row r="40" spans="1:29" ht="28.8" outlineLevel="1" x14ac:dyDescent="0.25">
      <c r="A40" s="42" t="s">
        <v>13</v>
      </c>
      <c r="B40" s="314"/>
      <c r="C40" s="55" t="s">
        <v>83</v>
      </c>
      <c r="D40" s="195" t="str">
        <f>_xlfn.LET(_xlpm.denom,D$24,_xlpm.calc,ROUND($Q40*_xlpm.denom,0),_xlpm.perc,_xlpm.calc/_xlpm.denom,IFERROR(IF(_xlpm.calc&lt;1000,_xlfn.CONCAT(_xlpm.calc," (",TEXT(_xlpm.perc,"0.0%"),")"),_xlfn.CONCAT(TEXT(_xlpm.calc,"0,000")," (",TEXT(_xlpm.perc,"0.0%"),")")),"-"))</f>
        <v>-</v>
      </c>
      <c r="E40" s="56" t="str" cm="1">
        <f t="array" ref="E40">_xlfn.LET(_xlpm.denom,E$24,_xlpm.calc,IFERROR(ROWS(_xlfn.UNIQUE(_xlfn._xlws.FILTER(Pay_ID,(Pay_Period_End &gt;= E$22) * (Pay_Period_End &lt;= E$23) * (IFERROR(SEARCH(E$1,Pay_Key_Gps),0)&gt;0) * (pp_Bon_Pay_Code = 1)))),0),_xlpm.perc,_xlpm.calc/_xlpm.denom,IFERROR(IF(_xlpm.calc&lt;1000,_xlfn.CONCAT(_xlpm.calc," (",TEXT(_xlpm.perc,"0.0%"),")"),_xlfn.CONCAT(TEXT(_xlpm.calc,"0,000")," (",TEXT(_xlpm.perc,"0.0%"),")")),"-"))</f>
        <v>-</v>
      </c>
      <c r="F40" s="56" t="str" cm="1">
        <f t="array" ref="F40">_xlfn.LET(_xlpm.denom,F$24,_xlpm.calc,IFERROR(ROWS(_xlfn.UNIQUE(_xlfn._xlws.FILTER(Pay_ID,(Pay_Period_End &gt;= F$22) * (Pay_Period_End &lt;= F$23) * (IFERROR(SEARCH(F$1,Pay_Key_Gps),0)&gt;0) * (pp_Bon_Pay_Code = 1)))),0),_xlpm.perc,_xlpm.calc/_xlpm.denom,IFERROR(IF(_xlpm.calc&lt;1000,_xlfn.CONCAT(_xlpm.calc," (",TEXT(_xlpm.perc,"0.0%"),")"),_xlfn.CONCAT(TEXT(_xlpm.calc,"0,000")," (",TEXT(_xlpm.perc,"0.0%"),")")),"-"))</f>
        <v>-</v>
      </c>
      <c r="G40" s="56" t="str" cm="1">
        <f t="array" ref="G40">_xlfn.LET(_xlpm.denom,G$24,_xlpm.calc,IFERROR(ROWS(_xlfn.UNIQUE(_xlfn._xlws.FILTER(Pay_ID,(Pay_Period_End &gt;= G$22) * (Pay_Period_End &lt;= G$23) * (IFERROR(SEARCH(G$1,Pay_Key_Gps),0)&gt;0) * (pp_Bon_Pay_Code = 1)))),0),_xlpm.perc,_xlpm.calc/_xlpm.denom,IFERROR(IF(_xlpm.calc&lt;1000,_xlfn.CONCAT(_xlpm.calc," (",TEXT(_xlpm.perc,"0.0%"),")"),_xlfn.CONCAT(TEXT(_xlpm.calc,"0,000")," (",TEXT(_xlpm.perc,"0.0%"),")")),"-"))</f>
        <v>-</v>
      </c>
      <c r="H40" s="56" t="str" cm="1">
        <f t="array" ref="H40">_xlfn.LET(_xlpm.denom,H$24,_xlpm.calc,IFERROR(ROWS(_xlfn.UNIQUE(_xlfn._xlws.FILTER(Pay_ID,(Pay_Period_End &gt;= H$22) * (Pay_Period_End &lt;= H$23) * (IFERROR(SEARCH(H$1,Pay_Key_Gps),0)&gt;0) * (pp_Bon_Pay_Code = 1)))),0),_xlpm.perc,_xlpm.calc/_xlpm.denom,IFERROR(IF(_xlpm.calc&lt;1000,_xlfn.CONCAT(_xlpm.calc," (",TEXT(_xlpm.perc,"0.0%"),")"),_xlfn.CONCAT(TEXT(_xlpm.calc,"0,000")," (",TEXT(_xlpm.perc,"0.0%"),")")),"-"))</f>
        <v>-</v>
      </c>
      <c r="I40" s="56" t="str" cm="1">
        <f t="array" ref="I40">_xlfn.LET(_xlpm.denom,I$24,_xlpm.calc,IFERROR(ROWS(_xlfn.UNIQUE(_xlfn._xlws.FILTER(Pay_ID,(Pay_Period_End &gt;= I$22) * (Pay_Period_End &lt;= I$23) * (IFERROR(SEARCH(I$1,Pay_Key_Gps),0)&gt;0) * (pp_Bon_Pay_Code = 1)))),0),_xlpm.perc,_xlpm.calc/_xlpm.denom,IFERROR(IF(_xlpm.calc&lt;1000,_xlfn.CONCAT(_xlpm.calc," (",TEXT(_xlpm.perc,"0.0%"),")"),_xlfn.CONCAT(TEXT(_xlpm.calc,"0,000")," (",TEXT(_xlpm.perc,"0.0%"),")")),"-"))</f>
        <v>-</v>
      </c>
      <c r="J40" s="56" t="str" cm="1">
        <f t="array" ref="J40">_xlfn.LET(_xlpm.denom,J$24,_xlpm.calc,IFERROR(ROWS(_xlfn.UNIQUE(_xlfn._xlws.FILTER(Pay_ID,(Pay_Period_End &gt;= J$22) * (Pay_Period_End &lt;= J$23) * (IFERROR(SEARCH(J$1,Pay_Key_Gps),0)&gt;0) * (pp_Bon_Pay_Code = 1)))),0),_xlpm.perc,_xlpm.calc/_xlpm.denom,IFERROR(IF(_xlpm.calc&lt;1000,_xlfn.CONCAT(_xlpm.calc," (",TEXT(_xlpm.perc,"0.0%"),")"),_xlfn.CONCAT(TEXT(_xlpm.calc,"0,000")," (",TEXT(_xlpm.perc,"0.0%"),")")),"-"))</f>
        <v>-</v>
      </c>
      <c r="K40" s="56" t="str" cm="1">
        <f t="array" ref="K40">_xlfn.LET(_xlpm.denom,K$24,_xlpm.calc,IFERROR(ROWS(_xlfn.UNIQUE(_xlfn._xlws.FILTER(Pay_ID,(Pay_Period_End &gt;= K$22) * (Pay_Period_End &lt;= K$23) * (IFERROR(SEARCH(K$1,Pay_Key_Gps),0)&gt;0) * (pp_Bon_Pay_Code = 1)))),0),_xlpm.perc,_xlpm.calc/_xlpm.denom,IFERROR(IF(_xlpm.calc&lt;1000,_xlfn.CONCAT(_xlpm.calc," (",TEXT(_xlpm.perc,"0.0%"),")"),_xlfn.CONCAT(TEXT(_xlpm.calc,"0,000")," (",TEXT(_xlpm.perc,"0.0%"),")")),"-"))</f>
        <v>-</v>
      </c>
      <c r="L40" s="56" t="str" cm="1">
        <f t="array" ref="L40">_xlfn.LET(_xlpm.denom,L$24,_xlpm.calc,IFERROR(ROWS(_xlfn.UNIQUE(_xlfn._xlws.FILTER(Pay_ID,(Pay_Period_End &gt;= L$22) * (Pay_Period_End &lt;= L$23) * (IFERROR(SEARCH(L$1,Pay_Key_Gps),0)&gt;0) * (pp_Bon_Pay_Code = 1)))),0),_xlpm.perc,_xlpm.calc/_xlpm.denom,IFERROR(IF(_xlpm.calc&lt;1000,_xlfn.CONCAT(_xlpm.calc," (",TEXT(_xlpm.perc,"0.0%"),")"),_xlfn.CONCAT(TEXT(_xlpm.calc,"0,000")," (",TEXT(_xlpm.perc,"0.0%"),")")),"-"))</f>
        <v>-</v>
      </c>
      <c r="M40" s="155" t="str" cm="1">
        <f t="array" ref="M40">_xlfn.LET(_xlpm.denom,M$24,_xlpm.calc,IFERROR(ROWS(_xlfn.UNIQUE(_xlfn._xlws.FILTER(Pay_ID,(Pay_Period_End &gt;= M$22) * (Pay_Period_End &lt;= M$23) * (IFERROR(SEARCH(M$1,Pay_Key_Gps),0)&gt;0) * (pp_Bon_Pay_Code = 1)))),0),_xlpm.perc,_xlpm.calc/_xlpm.denom,IFERROR(IF(_xlpm.calc&lt;1000,_xlfn.CONCAT(_xlpm.calc," (",TEXT(_xlpm.perc,"0.0%"),")"),_xlfn.CONCAT(TEXT(_xlpm.calc,"0,000")," (",TEXT(_xlpm.perc,"0.0%"),")")),"-"))</f>
        <v>-</v>
      </c>
      <c r="N40" s="53" t="s">
        <v>128</v>
      </c>
      <c r="O40" s="74"/>
      <c r="Q40" s="75" t="str">
        <f t="shared" si="22"/>
        <v/>
      </c>
      <c r="R40" s="76" t="str">
        <f t="shared" si="23"/>
        <v/>
      </c>
      <c r="S40" s="64" t="str">
        <f>IF($C40="","",IF(OR(IFERROR(SEARCH("min wage",LOWER($C40)),0)&gt;0, IFERROR(SEARCH(" per ",LOWER($C40)),0)&gt;0, IFERROR(SEARCH("penalt",LOWER($C40)),0)&gt;0,IFERROR(SEARCH("total",LOWER($C40)),0)&gt;0,IFERROR(SEARCH("inteBON",LOWER($C40)),0)&gt;0,IFERROR(SEARCH("date",LOWER($C40)),0)&gt;0,IFERROR(SEARCH("employee",LOWER($C40)),0)&gt;0,IFERROR(SEARCH("average",LOWER($C40)),0)&gt;0,IFERROR(SEARCH("median",LOWER($C40)),0)&gt;0),"",1))</f>
        <v/>
      </c>
      <c r="T40" s="42" t="str">
        <f t="shared" si="24"/>
        <v/>
      </c>
      <c r="U40" s="42" t="str">
        <f t="shared" si="25"/>
        <v/>
      </c>
      <c r="V40" s="42" t="str">
        <f t="shared" si="26"/>
        <v/>
      </c>
      <c r="W40" s="42" t="str">
        <f t="shared" si="8"/>
        <v/>
      </c>
      <c r="X40" s="42" t="str">
        <f t="shared" si="9"/>
        <v/>
      </c>
      <c r="Y40" s="42" t="str">
        <f t="shared" si="10"/>
        <v/>
      </c>
      <c r="Z40" s="42" t="str">
        <f t="shared" si="11"/>
        <v/>
      </c>
      <c r="AA40" s="42" t="str">
        <f t="shared" si="12"/>
        <v/>
      </c>
      <c r="AB40" s="42" t="str">
        <f t="shared" si="13"/>
        <v/>
      </c>
      <c r="AC40" s="42" t="str">
        <f t="shared" si="27"/>
        <v/>
      </c>
    </row>
    <row r="41" spans="1:29" ht="28.8" outlineLevel="1" x14ac:dyDescent="0.25">
      <c r="A41" s="42" t="s">
        <v>13</v>
      </c>
      <c r="B41" s="314"/>
      <c r="C41" s="55" t="s">
        <v>87</v>
      </c>
      <c r="D41" s="195" t="str">
        <f ca="1">_xlfn.LET(_xlpm.denom,D$26,_xlpm.calc,ROUND($Q41*_xlpm.denom,0),_xlpm.perc,_xlpm.calc/_xlpm.denom,IFERROR(IF(_xlpm.calc&lt;1000,_xlfn.CONCAT(_xlpm.calc," (",TEXT(_xlpm.perc,"0.0%"),")"),_xlfn.CONCAT(TEXT(_xlpm.calc,"0,000")," (",TEXT(_xlpm.perc,"0.0%"),")")),"-"))</f>
        <v>-</v>
      </c>
      <c r="E41" s="56" t="str" cm="1">
        <f t="array" ref="E41">_xlfn.LET(_xlpm.denom,E$26,_xlpm.calc,IFERROR(ROWS(_xlfn.UNIQUE(_xlfn._xlws.FILTER(Pay_ID_Period_End,(Pay_Period_End &gt;= E$22) * (Pay_Period_End &lt;= E$23) * (IFERROR(SEARCH(E$1,Pay_Key_Gps),0)&gt;0) * (pp_Bon_Pay_Code = 1)))),0),_xlpm.perc,_xlpm.calc/_xlpm.denom,IFERROR(IF(_xlpm.calc&lt;1000,_xlfn.CONCAT(_xlpm.calc," (",TEXT(_xlpm.perc,"0.0%"),")"),_xlfn.CONCAT(TEXT(_xlpm.calc,"0,000")," (",TEXT(_xlpm.perc,"0.0%"),")")),"-"))</f>
        <v>-</v>
      </c>
      <c r="F41" s="56" t="str" cm="1">
        <f t="array" ref="F41">_xlfn.LET(_xlpm.denom,F$26,_xlpm.calc,IFERROR(ROWS(_xlfn.UNIQUE(_xlfn._xlws.FILTER(Pay_ID_Period_End,(Pay_Period_End &gt;= F$22) * (Pay_Period_End &lt;= F$23) * (IFERROR(SEARCH(F$1,Pay_Key_Gps),0)&gt;0) * (pp_Bon_Pay_Code = 1)))),0),_xlpm.perc,_xlpm.calc/_xlpm.denom,IFERROR(IF(_xlpm.calc&lt;1000,_xlfn.CONCAT(_xlpm.calc," (",TEXT(_xlpm.perc,"0.0%"),")"),_xlfn.CONCAT(TEXT(_xlpm.calc,"0,000")," (",TEXT(_xlpm.perc,"0.0%"),")")),"-"))</f>
        <v>-</v>
      </c>
      <c r="G41" s="56" t="str" cm="1">
        <f t="array" ref="G41">_xlfn.LET(_xlpm.denom,G$26,_xlpm.calc,IFERROR(ROWS(_xlfn.UNIQUE(_xlfn._xlws.FILTER(Pay_ID_Period_End,(Pay_Period_End &gt;= G$22) * (Pay_Period_End &lt;= G$23) * (IFERROR(SEARCH(G$1,Pay_Key_Gps),0)&gt;0) * (pp_Bon_Pay_Code = 1)))),0),_xlpm.perc,_xlpm.calc/_xlpm.denom,IFERROR(IF(_xlpm.calc&lt;1000,_xlfn.CONCAT(_xlpm.calc," (",TEXT(_xlpm.perc,"0.0%"),")"),_xlfn.CONCAT(TEXT(_xlpm.calc,"0,000")," (",TEXT(_xlpm.perc,"0.0%"),")")),"-"))</f>
        <v>-</v>
      </c>
      <c r="H41" s="56" t="str" cm="1">
        <f t="array" ref="H41">_xlfn.LET(_xlpm.denom,H$26,_xlpm.calc,IFERROR(ROWS(_xlfn.UNIQUE(_xlfn._xlws.FILTER(Pay_ID_Period_End,(Pay_Period_End &gt;= H$22) * (Pay_Period_End &lt;= H$23) * (IFERROR(SEARCH(H$1,Pay_Key_Gps),0)&gt;0) * (pp_Bon_Pay_Code = 1)))),0),_xlpm.perc,_xlpm.calc/_xlpm.denom,IFERROR(IF(_xlpm.calc&lt;1000,_xlfn.CONCAT(_xlpm.calc," (",TEXT(_xlpm.perc,"0.0%"),")"),_xlfn.CONCAT(TEXT(_xlpm.calc,"0,000")," (",TEXT(_xlpm.perc,"0.0%"),")")),"-"))</f>
        <v>-</v>
      </c>
      <c r="I41" s="56" t="str" cm="1">
        <f t="array" ref="I41">_xlfn.LET(_xlpm.denom,I$26,_xlpm.calc,IFERROR(ROWS(_xlfn.UNIQUE(_xlfn._xlws.FILTER(Pay_ID_Period_End,(Pay_Period_End &gt;= I$22) * (Pay_Period_End &lt;= I$23) * (IFERROR(SEARCH(I$1,Pay_Key_Gps),0)&gt;0) * (pp_Bon_Pay_Code = 1)))),0),_xlpm.perc,_xlpm.calc/_xlpm.denom,IFERROR(IF(_xlpm.calc&lt;1000,_xlfn.CONCAT(_xlpm.calc," (",TEXT(_xlpm.perc,"0.0%"),")"),_xlfn.CONCAT(TEXT(_xlpm.calc,"0,000")," (",TEXT(_xlpm.perc,"0.0%"),")")),"-"))</f>
        <v>-</v>
      </c>
      <c r="J41" s="56" t="str" cm="1">
        <f t="array" ref="J41">_xlfn.LET(_xlpm.denom,J$26,_xlpm.calc,IFERROR(ROWS(_xlfn.UNIQUE(_xlfn._xlws.FILTER(Pay_ID_Period_End,(Pay_Period_End &gt;= J$22) * (Pay_Period_End &lt;= J$23) * (IFERROR(SEARCH(J$1,Pay_Key_Gps),0)&gt;0) * (pp_Bon_Pay_Code = 1)))),0),_xlpm.perc,_xlpm.calc/_xlpm.denom,IFERROR(IF(_xlpm.calc&lt;1000,_xlfn.CONCAT(_xlpm.calc," (",TEXT(_xlpm.perc,"0.0%"),")"),_xlfn.CONCAT(TEXT(_xlpm.calc,"0,000")," (",TEXT(_xlpm.perc,"0.0%"),")")),"-"))</f>
        <v>-</v>
      </c>
      <c r="K41" s="56" t="str" cm="1">
        <f t="array" ref="K41">_xlfn.LET(_xlpm.denom,K$26,_xlpm.calc,IFERROR(ROWS(_xlfn.UNIQUE(_xlfn._xlws.FILTER(Pay_ID_Period_End,(Pay_Period_End &gt;= K$22) * (Pay_Period_End &lt;= K$23) * (IFERROR(SEARCH(K$1,Pay_Key_Gps),0)&gt;0) * (pp_Bon_Pay_Code = 1)))),0),_xlpm.perc,_xlpm.calc/_xlpm.denom,IFERROR(IF(_xlpm.calc&lt;1000,_xlfn.CONCAT(_xlpm.calc," (",TEXT(_xlpm.perc,"0.0%"),")"),_xlfn.CONCAT(TEXT(_xlpm.calc,"0,000")," (",TEXT(_xlpm.perc,"0.0%"),")")),"-"))</f>
        <v>-</v>
      </c>
      <c r="L41" s="56" t="str" cm="1">
        <f t="array" ref="L41">_xlfn.LET(_xlpm.denom,L$26,_xlpm.calc,IFERROR(ROWS(_xlfn.UNIQUE(_xlfn._xlws.FILTER(Pay_ID_Period_End,(Pay_Period_End &gt;= L$22) * (Pay_Period_End &lt;= L$23) * (IFERROR(SEARCH(L$1,Pay_Key_Gps),0)&gt;0) * (pp_Bon_Pay_Code = 1)))),0),_xlpm.perc,_xlpm.calc/_xlpm.denom,IFERROR(IF(_xlpm.calc&lt;1000,_xlfn.CONCAT(_xlpm.calc," (",TEXT(_xlpm.perc,"0.0%"),")"),_xlfn.CONCAT(TEXT(_xlpm.calc,"0,000")," (",TEXT(_xlpm.perc,"0.0%"),")")),"-"))</f>
        <v>-</v>
      </c>
      <c r="M41" s="155" t="str" cm="1">
        <f t="array" ref="M41">_xlfn.LET(_xlpm.denom,M$26,_xlpm.calc,IFERROR(ROWS(_xlfn.UNIQUE(_xlfn._xlws.FILTER(Pay_ID_Period_End,(Pay_Period_End &gt;= M$22) * (Pay_Period_End &lt;= M$23) * (IFERROR(SEARCH(M$1,Pay_Key_Gps),0)&gt;0) * (pp_Bon_Pay_Code = 1)))),0),_xlpm.perc,_xlpm.calc/_xlpm.denom,IFERROR(IF(_xlpm.calc&lt;1000,_xlfn.CONCAT(_xlpm.calc," (",TEXT(_xlpm.perc,"0.0%"),")"),_xlfn.CONCAT(TEXT(_xlpm.calc,"0,000")," (",TEXT(_xlpm.perc,"0.0%"),")")),"-"))</f>
        <v>-</v>
      </c>
      <c r="N41" s="53" t="s">
        <v>80</v>
      </c>
      <c r="O41" s="74"/>
      <c r="Q41" s="75" t="str">
        <f t="shared" si="22"/>
        <v/>
      </c>
      <c r="R41" s="76" t="e">
        <f t="shared" si="23"/>
        <v>#VALUE!</v>
      </c>
      <c r="S41" s="64">
        <f>IF($C41="","",IF(OR(IFERROR(SEARCH("min wage",LOWER($C41)),0)&gt;0, IFERROR(SEARCH(" per ",LOWER($C41)),0)&gt;0, IFERROR(SEARCH("penalt",LOWER($C41)),0)&gt;0,IFERROR(SEARCH("total",LOWER($C41)),0)&gt;0,IFERROR(SEARCH("inteBON",LOWER($C41)),0)&gt;0,IFERROR(SEARCH("date",LOWER($C41)),0)&gt;0,IFERROR(SEARCH("employee",LOWER($C41)),0)&gt;0,IFERROR(SEARCH("average",LOWER($C41)),0)&gt;0,IFERROR(SEARCH("median",LOWER($C41)),0)&gt;0),"",1))</f>
        <v>1</v>
      </c>
      <c r="T41" s="42" t="str">
        <f t="shared" ca="1" si="24"/>
        <v>-</v>
      </c>
      <c r="U41" s="42" t="str">
        <f t="shared" si="25"/>
        <v>-</v>
      </c>
      <c r="V41" s="42" t="str">
        <f t="shared" si="26"/>
        <v>-</v>
      </c>
      <c r="W41" s="42" t="str">
        <f t="shared" si="8"/>
        <v>-</v>
      </c>
      <c r="X41" s="42" t="str">
        <f t="shared" si="9"/>
        <v>-</v>
      </c>
      <c r="Y41" s="42" t="str">
        <f t="shared" si="10"/>
        <v>-</v>
      </c>
      <c r="Z41" s="42" t="str">
        <f t="shared" si="11"/>
        <v>-</v>
      </c>
      <c r="AA41" s="42" t="str">
        <f t="shared" si="12"/>
        <v>-</v>
      </c>
      <c r="AB41" s="42" t="str">
        <f t="shared" si="13"/>
        <v>-</v>
      </c>
      <c r="AC41" s="42" t="str">
        <f t="shared" si="27"/>
        <v>-</v>
      </c>
    </row>
    <row r="42" spans="1:29" ht="28.8" outlineLevel="1" x14ac:dyDescent="0.25">
      <c r="A42" s="42" t="s">
        <v>13</v>
      </c>
      <c r="B42" s="314"/>
      <c r="C42" s="55" t="s">
        <v>84</v>
      </c>
      <c r="D42" s="195" t="str">
        <f>_xlfn.LET(_xlpm.denom,D$24,_xlpm.calc,ROUND($Q42*_xlpm.denom,0),_xlpm.perc,_xlpm.calc/_xlpm.denom,IFERROR(IF(_xlpm.calc&lt;1000,_xlfn.CONCAT(_xlpm.calc," (",TEXT(_xlpm.perc,"0.0%"),")"),_xlfn.CONCAT(TEXT(_xlpm.calc,"0,000")," (",TEXT(_xlpm.perc,"0.0%"),")")),"-"))</f>
        <v>-</v>
      </c>
      <c r="E42" s="56" t="str" cm="1">
        <f t="array" ref="E42">_xlfn.LET(_xlpm.denom,E$24,_xlpm.calc,IFERROR(ROWS(_xlfn.UNIQUE(_xlfn._xlws.FILTER(Pay_ID,(Pay_Period_End &gt;= E$22) * (Pay_Period_End &lt;= E$23) * (IFERROR(SEARCH(E$1,Pay_Key_Gps),0)&gt;0) * (pp_Diff_Pay_Code = 1)))),0),_xlpm.perc,_xlpm.calc/_xlpm.denom,IFERROR(IF(_xlpm.calc&lt;1000,_xlfn.CONCAT(_xlpm.calc," (",TEXT(_xlpm.perc,"0.0%"),")"),_xlfn.CONCAT(TEXT(_xlpm.calc,"0,000")," (",TEXT(_xlpm.perc,"0.0%"),")")),"-"))</f>
        <v>-</v>
      </c>
      <c r="F42" s="56" t="str" cm="1">
        <f t="array" ref="F42">_xlfn.LET(_xlpm.denom,F$24,_xlpm.calc,IFERROR(ROWS(_xlfn.UNIQUE(_xlfn._xlws.FILTER(Pay_ID,(Pay_Period_End &gt;= F$22) * (Pay_Period_End &lt;= F$23) * (IFERROR(SEARCH(F$1,Pay_Key_Gps),0)&gt;0) * (pp_Diff_Pay_Code = 1)))),0),_xlpm.perc,_xlpm.calc/_xlpm.denom,IFERROR(IF(_xlpm.calc&lt;1000,_xlfn.CONCAT(_xlpm.calc," (",TEXT(_xlpm.perc,"0.0%"),")"),_xlfn.CONCAT(TEXT(_xlpm.calc,"0,000")," (",TEXT(_xlpm.perc,"0.0%"),")")),"-"))</f>
        <v>-</v>
      </c>
      <c r="G42" s="56" t="str" cm="1">
        <f t="array" ref="G42">_xlfn.LET(_xlpm.denom,G$24,_xlpm.calc,IFERROR(ROWS(_xlfn.UNIQUE(_xlfn._xlws.FILTER(Pay_ID,(Pay_Period_End &gt;= G$22) * (Pay_Period_End &lt;= G$23) * (IFERROR(SEARCH(G$1,Pay_Key_Gps),0)&gt;0) * (pp_Diff_Pay_Code = 1)))),0),_xlpm.perc,_xlpm.calc/_xlpm.denom,IFERROR(IF(_xlpm.calc&lt;1000,_xlfn.CONCAT(_xlpm.calc," (",TEXT(_xlpm.perc,"0.0%"),")"),_xlfn.CONCAT(TEXT(_xlpm.calc,"0,000")," (",TEXT(_xlpm.perc,"0.0%"),")")),"-"))</f>
        <v>-</v>
      </c>
      <c r="H42" s="56" t="str" cm="1">
        <f t="array" ref="H42">_xlfn.LET(_xlpm.denom,H$24,_xlpm.calc,IFERROR(ROWS(_xlfn.UNIQUE(_xlfn._xlws.FILTER(Pay_ID,(Pay_Period_End &gt;= H$22) * (Pay_Period_End &lt;= H$23) * (IFERROR(SEARCH(H$1,Pay_Key_Gps),0)&gt;0) * (pp_Diff_Pay_Code = 1)))),0),_xlpm.perc,_xlpm.calc/_xlpm.denom,IFERROR(IF(_xlpm.calc&lt;1000,_xlfn.CONCAT(_xlpm.calc," (",TEXT(_xlpm.perc,"0.0%"),")"),_xlfn.CONCAT(TEXT(_xlpm.calc,"0,000")," (",TEXT(_xlpm.perc,"0.0%"),")")),"-"))</f>
        <v>-</v>
      </c>
      <c r="I42" s="56" t="str" cm="1">
        <f t="array" ref="I42">_xlfn.LET(_xlpm.denom,I$24,_xlpm.calc,IFERROR(ROWS(_xlfn.UNIQUE(_xlfn._xlws.FILTER(Pay_ID,(Pay_Period_End &gt;= I$22) * (Pay_Period_End &lt;= I$23) * (IFERROR(SEARCH(I$1,Pay_Key_Gps),0)&gt;0) * (pp_Diff_Pay_Code = 1)))),0),_xlpm.perc,_xlpm.calc/_xlpm.denom,IFERROR(IF(_xlpm.calc&lt;1000,_xlfn.CONCAT(_xlpm.calc," (",TEXT(_xlpm.perc,"0.0%"),")"),_xlfn.CONCAT(TEXT(_xlpm.calc,"0,000")," (",TEXT(_xlpm.perc,"0.0%"),")")),"-"))</f>
        <v>-</v>
      </c>
      <c r="J42" s="56" t="str" cm="1">
        <f t="array" ref="J42">_xlfn.LET(_xlpm.denom,J$24,_xlpm.calc,IFERROR(ROWS(_xlfn.UNIQUE(_xlfn._xlws.FILTER(Pay_ID,(Pay_Period_End &gt;= J$22) * (Pay_Period_End &lt;= J$23) * (IFERROR(SEARCH(J$1,Pay_Key_Gps),0)&gt;0) * (pp_Diff_Pay_Code = 1)))),0),_xlpm.perc,_xlpm.calc/_xlpm.denom,IFERROR(IF(_xlpm.calc&lt;1000,_xlfn.CONCAT(_xlpm.calc," (",TEXT(_xlpm.perc,"0.0%"),")"),_xlfn.CONCAT(TEXT(_xlpm.calc,"0,000")," (",TEXT(_xlpm.perc,"0.0%"),")")),"-"))</f>
        <v>-</v>
      </c>
      <c r="K42" s="56" t="str" cm="1">
        <f t="array" ref="K42">_xlfn.LET(_xlpm.denom,K$24,_xlpm.calc,IFERROR(ROWS(_xlfn.UNIQUE(_xlfn._xlws.FILTER(Pay_ID,(Pay_Period_End &gt;= K$22) * (Pay_Period_End &lt;= K$23) * (IFERROR(SEARCH(K$1,Pay_Key_Gps),0)&gt;0) * (pp_Diff_Pay_Code = 1)))),0),_xlpm.perc,_xlpm.calc/_xlpm.denom,IFERROR(IF(_xlpm.calc&lt;1000,_xlfn.CONCAT(_xlpm.calc," (",TEXT(_xlpm.perc,"0.0%"),")"),_xlfn.CONCAT(TEXT(_xlpm.calc,"0,000")," (",TEXT(_xlpm.perc,"0.0%"),")")),"-"))</f>
        <v>-</v>
      </c>
      <c r="L42" s="56" t="str" cm="1">
        <f t="array" ref="L42">_xlfn.LET(_xlpm.denom,L$24,_xlpm.calc,IFERROR(ROWS(_xlfn.UNIQUE(_xlfn._xlws.FILTER(Pay_ID,(Pay_Period_End &gt;= L$22) * (Pay_Period_End &lt;= L$23) * (IFERROR(SEARCH(L$1,Pay_Key_Gps),0)&gt;0) * (pp_Diff_Pay_Code = 1)))),0),_xlpm.perc,_xlpm.calc/_xlpm.denom,IFERROR(IF(_xlpm.calc&lt;1000,_xlfn.CONCAT(_xlpm.calc," (",TEXT(_xlpm.perc,"0.0%"),")"),_xlfn.CONCAT(TEXT(_xlpm.calc,"0,000")," (",TEXT(_xlpm.perc,"0.0%"),")")),"-"))</f>
        <v>-</v>
      </c>
      <c r="M42" s="155" t="str" cm="1">
        <f t="array" ref="M42">_xlfn.LET(_xlpm.denom,M$24,_xlpm.calc,IFERROR(ROWS(_xlfn.UNIQUE(_xlfn._xlws.FILTER(Pay_ID,(Pay_Period_End &gt;= M$22) * (Pay_Period_End &lt;= M$23) * (IFERROR(SEARCH(M$1,Pay_Key_Gps),0)&gt;0) * (pp_Diff_Pay_Code = 1)))),0),_xlpm.perc,_xlpm.calc/_xlpm.denom,IFERROR(IF(_xlpm.calc&lt;1000,_xlfn.CONCAT(_xlpm.calc," (",TEXT(_xlpm.perc,"0.0%"),")"),_xlfn.CONCAT(TEXT(_xlpm.calc,"0,000")," (",TEXT(_xlpm.perc,"0.0%"),")")),"-"))</f>
        <v>-</v>
      </c>
      <c r="N42" s="53" t="s">
        <v>128</v>
      </c>
      <c r="O42" s="74"/>
      <c r="Q42" s="75" t="str">
        <f t="shared" si="22"/>
        <v/>
      </c>
      <c r="R42" s="76" t="str">
        <f t="shared" si="23"/>
        <v/>
      </c>
      <c r="S42" s="64" t="str">
        <f>IF($C42="","",IF(OR(IFERROR(SEARCH("min wage",LOWER($C42)),0)&gt;0, IFERROR(SEARCH(" per ",LOWER($C42)),0)&gt;0, IFERROR(SEARCH("penalt",LOWER($C42)),0)&gt;0,IFERROR(SEARCH("total",LOWER($C42)),0)&gt;0,IFERROR(SEARCH("inteDiffs",LOWER($C42)),0)&gt;0,IFERROR(SEARCH("date",LOWER($C42)),0)&gt;0,IFERROR(SEARCH("employee",LOWER($C42)),0)&gt;0,IFERROR(SEARCH("average",LOWER($C42)),0)&gt;0,IFERROR(SEARCH("median",LOWER($C42)),0)&gt;0),"",1))</f>
        <v/>
      </c>
      <c r="T42" s="42" t="str">
        <f t="shared" si="24"/>
        <v/>
      </c>
      <c r="U42" s="42" t="str">
        <f t="shared" si="25"/>
        <v/>
      </c>
      <c r="V42" s="42" t="str">
        <f t="shared" si="26"/>
        <v/>
      </c>
      <c r="W42" s="42" t="str">
        <f t="shared" si="8"/>
        <v/>
      </c>
      <c r="X42" s="42" t="str">
        <f t="shared" si="9"/>
        <v/>
      </c>
      <c r="Y42" s="42" t="str">
        <f t="shared" si="10"/>
        <v/>
      </c>
      <c r="Z42" s="42" t="str">
        <f t="shared" si="11"/>
        <v/>
      </c>
      <c r="AA42" s="42" t="str">
        <f t="shared" si="12"/>
        <v/>
      </c>
      <c r="AB42" s="42" t="str">
        <f t="shared" si="13"/>
        <v/>
      </c>
      <c r="AC42" s="42" t="str">
        <f t="shared" si="27"/>
        <v/>
      </c>
    </row>
    <row r="43" spans="1:29" ht="28.8" outlineLevel="1" x14ac:dyDescent="0.25">
      <c r="A43" s="42" t="s">
        <v>13</v>
      </c>
      <c r="B43" s="314"/>
      <c r="C43" s="55" t="s">
        <v>88</v>
      </c>
      <c r="D43" s="195" t="str">
        <f ca="1">_xlfn.LET(_xlpm.denom,D$26,_xlpm.calc,ROUND($Q43*_xlpm.denom,0),_xlpm.perc,_xlpm.calc/_xlpm.denom,IFERROR(IF(_xlpm.calc&lt;1000,_xlfn.CONCAT(_xlpm.calc," (",TEXT(_xlpm.perc,"0.0%"),")"),_xlfn.CONCAT(TEXT(_xlpm.calc,"0,000")," (",TEXT(_xlpm.perc,"0.0%"),")")),"-"))</f>
        <v>-</v>
      </c>
      <c r="E43" s="56" t="str" cm="1">
        <f t="array" ref="E43">_xlfn.LET(_xlpm.denom,E$26,_xlpm.calc,IFERROR(ROWS(_xlfn.UNIQUE(_xlfn._xlws.FILTER(Pay_ID_Period_End,(Pay_Period_End &gt;= E$22) * (Pay_Period_End &lt;= E$23) * (IFERROR(SEARCH(E$1,Pay_Key_Gps),0)&gt;0) * (pp_Diff_Pay_Code = 1)))),0),_xlpm.perc,_xlpm.calc/_xlpm.denom,IFERROR(IF(_xlpm.calc&lt;1000,_xlfn.CONCAT(_xlpm.calc," (",TEXT(_xlpm.perc,"0.0%"),")"),_xlfn.CONCAT(TEXT(_xlpm.calc,"0,000")," (",TEXT(_xlpm.perc,"0.0%"),")")),"-"))</f>
        <v>-</v>
      </c>
      <c r="F43" s="56" t="str" cm="1">
        <f t="array" ref="F43">_xlfn.LET(_xlpm.denom,F$26,_xlpm.calc,IFERROR(ROWS(_xlfn.UNIQUE(_xlfn._xlws.FILTER(Pay_ID_Period_End,(Pay_Period_End &gt;= F$22) * (Pay_Period_End &lt;= F$23) * (IFERROR(SEARCH(F$1,Pay_Key_Gps),0)&gt;0) * (pp_Diff_Pay_Code = 1)))),0),_xlpm.perc,_xlpm.calc/_xlpm.denom,IFERROR(IF(_xlpm.calc&lt;1000,_xlfn.CONCAT(_xlpm.calc," (",TEXT(_xlpm.perc,"0.0%"),")"),_xlfn.CONCAT(TEXT(_xlpm.calc,"0,000")," (",TEXT(_xlpm.perc,"0.0%"),")")),"-"))</f>
        <v>-</v>
      </c>
      <c r="G43" s="56" t="str" cm="1">
        <f t="array" ref="G43">_xlfn.LET(_xlpm.denom,G$26,_xlpm.calc,IFERROR(ROWS(_xlfn.UNIQUE(_xlfn._xlws.FILTER(Pay_ID_Period_End,(Pay_Period_End &gt;= G$22) * (Pay_Period_End &lt;= G$23) * (IFERROR(SEARCH(G$1,Pay_Key_Gps),0)&gt;0) * (pp_Diff_Pay_Code = 1)))),0),_xlpm.perc,_xlpm.calc/_xlpm.denom,IFERROR(IF(_xlpm.calc&lt;1000,_xlfn.CONCAT(_xlpm.calc," (",TEXT(_xlpm.perc,"0.0%"),")"),_xlfn.CONCAT(TEXT(_xlpm.calc,"0,000")," (",TEXT(_xlpm.perc,"0.0%"),")")),"-"))</f>
        <v>-</v>
      </c>
      <c r="H43" s="56" t="str" cm="1">
        <f t="array" ref="H43">_xlfn.LET(_xlpm.denom,H$26,_xlpm.calc,IFERROR(ROWS(_xlfn.UNIQUE(_xlfn._xlws.FILTER(Pay_ID_Period_End,(Pay_Period_End &gt;= H$22) * (Pay_Period_End &lt;= H$23) * (IFERROR(SEARCH(H$1,Pay_Key_Gps),0)&gt;0) * (pp_Diff_Pay_Code = 1)))),0),_xlpm.perc,_xlpm.calc/_xlpm.denom,IFERROR(IF(_xlpm.calc&lt;1000,_xlfn.CONCAT(_xlpm.calc," (",TEXT(_xlpm.perc,"0.0%"),")"),_xlfn.CONCAT(TEXT(_xlpm.calc,"0,000")," (",TEXT(_xlpm.perc,"0.0%"),")")),"-"))</f>
        <v>-</v>
      </c>
      <c r="I43" s="56" t="str" cm="1">
        <f t="array" ref="I43">_xlfn.LET(_xlpm.denom,I$26,_xlpm.calc,IFERROR(ROWS(_xlfn.UNIQUE(_xlfn._xlws.FILTER(Pay_ID_Period_End,(Pay_Period_End &gt;= I$22) * (Pay_Period_End &lt;= I$23) * (IFERROR(SEARCH(I$1,Pay_Key_Gps),0)&gt;0) * (pp_Diff_Pay_Code = 1)))),0),_xlpm.perc,_xlpm.calc/_xlpm.denom,IFERROR(IF(_xlpm.calc&lt;1000,_xlfn.CONCAT(_xlpm.calc," (",TEXT(_xlpm.perc,"0.0%"),")"),_xlfn.CONCAT(TEXT(_xlpm.calc,"0,000")," (",TEXT(_xlpm.perc,"0.0%"),")")),"-"))</f>
        <v>-</v>
      </c>
      <c r="J43" s="56" t="str" cm="1">
        <f t="array" ref="J43">_xlfn.LET(_xlpm.denom,J$26,_xlpm.calc,IFERROR(ROWS(_xlfn.UNIQUE(_xlfn._xlws.FILTER(Pay_ID_Period_End,(Pay_Period_End &gt;= J$22) * (Pay_Period_End &lt;= J$23) * (IFERROR(SEARCH(J$1,Pay_Key_Gps),0)&gt;0) * (pp_Diff_Pay_Code = 1)))),0),_xlpm.perc,_xlpm.calc/_xlpm.denom,IFERROR(IF(_xlpm.calc&lt;1000,_xlfn.CONCAT(_xlpm.calc," (",TEXT(_xlpm.perc,"0.0%"),")"),_xlfn.CONCAT(TEXT(_xlpm.calc,"0,000")," (",TEXT(_xlpm.perc,"0.0%"),")")),"-"))</f>
        <v>-</v>
      </c>
      <c r="K43" s="56" t="str" cm="1">
        <f t="array" ref="K43">_xlfn.LET(_xlpm.denom,K$26,_xlpm.calc,IFERROR(ROWS(_xlfn.UNIQUE(_xlfn._xlws.FILTER(Pay_ID_Period_End,(Pay_Period_End &gt;= K$22) * (Pay_Period_End &lt;= K$23) * (IFERROR(SEARCH(K$1,Pay_Key_Gps),0)&gt;0) * (pp_Diff_Pay_Code = 1)))),0),_xlpm.perc,_xlpm.calc/_xlpm.denom,IFERROR(IF(_xlpm.calc&lt;1000,_xlfn.CONCAT(_xlpm.calc," (",TEXT(_xlpm.perc,"0.0%"),")"),_xlfn.CONCAT(TEXT(_xlpm.calc,"0,000")," (",TEXT(_xlpm.perc,"0.0%"),")")),"-"))</f>
        <v>-</v>
      </c>
      <c r="L43" s="56" t="str" cm="1">
        <f t="array" ref="L43">_xlfn.LET(_xlpm.denom,L$26,_xlpm.calc,IFERROR(ROWS(_xlfn.UNIQUE(_xlfn._xlws.FILTER(Pay_ID_Period_End,(Pay_Period_End &gt;= L$22) * (Pay_Period_End &lt;= L$23) * (IFERROR(SEARCH(L$1,Pay_Key_Gps),0)&gt;0) * (pp_Diff_Pay_Code = 1)))),0),_xlpm.perc,_xlpm.calc/_xlpm.denom,IFERROR(IF(_xlpm.calc&lt;1000,_xlfn.CONCAT(_xlpm.calc," (",TEXT(_xlpm.perc,"0.0%"),")"),_xlfn.CONCAT(TEXT(_xlpm.calc,"0,000")," (",TEXT(_xlpm.perc,"0.0%"),")")),"-"))</f>
        <v>-</v>
      </c>
      <c r="M43" s="155" t="str" cm="1">
        <f t="array" ref="M43">_xlfn.LET(_xlpm.denom,M$26,_xlpm.calc,IFERROR(ROWS(_xlfn.UNIQUE(_xlfn._xlws.FILTER(Pay_ID_Period_End,(Pay_Period_End &gt;= M$22) * (Pay_Period_End &lt;= M$23) * (IFERROR(SEARCH(M$1,Pay_Key_Gps),0)&gt;0) * (pp_Diff_Pay_Code = 1)))),0),_xlpm.perc,_xlpm.calc/_xlpm.denom,IFERROR(IF(_xlpm.calc&lt;1000,_xlfn.CONCAT(_xlpm.calc," (",TEXT(_xlpm.perc,"0.0%"),")"),_xlfn.CONCAT(TEXT(_xlpm.calc,"0,000")," (",TEXT(_xlpm.perc,"0.0%"),")")),"-"))</f>
        <v>-</v>
      </c>
      <c r="N43" s="53" t="s">
        <v>80</v>
      </c>
      <c r="O43" s="74"/>
      <c r="Q43" s="75" t="str">
        <f t="shared" si="22"/>
        <v/>
      </c>
      <c r="R43" s="76" t="e">
        <f t="shared" si="23"/>
        <v>#VALUE!</v>
      </c>
      <c r="S43" s="64">
        <f>IF($C43="","",IF(OR(IFERROR(SEARCH("min wage",LOWER($C43)),0)&gt;0, IFERROR(SEARCH(" per ",LOWER($C43)),0)&gt;0, IFERROR(SEARCH("penalt",LOWER($C43)),0)&gt;0,IFERROR(SEARCH("total",LOWER($C43)),0)&gt;0,IFERROR(SEARCH("inteDiffs",LOWER($C43)),0)&gt;0,IFERROR(SEARCH("date",LOWER($C43)),0)&gt;0,IFERROR(SEARCH("employee",LOWER($C43)),0)&gt;0,IFERROR(SEARCH("average",LOWER($C43)),0)&gt;0,IFERROR(SEARCH("median",LOWER($C43)),0)&gt;0),"",1))</f>
        <v>1</v>
      </c>
      <c r="T43" s="42" t="str">
        <f t="shared" ca="1" si="24"/>
        <v>-</v>
      </c>
      <c r="U43" s="42" t="str">
        <f t="shared" si="25"/>
        <v>-</v>
      </c>
      <c r="V43" s="42" t="str">
        <f t="shared" si="26"/>
        <v>-</v>
      </c>
      <c r="W43" s="42" t="str">
        <f t="shared" si="8"/>
        <v>-</v>
      </c>
      <c r="X43" s="42" t="str">
        <f t="shared" si="9"/>
        <v>-</v>
      </c>
      <c r="Y43" s="42" t="str">
        <f t="shared" si="10"/>
        <v>-</v>
      </c>
      <c r="Z43" s="42" t="str">
        <f t="shared" si="11"/>
        <v>-</v>
      </c>
      <c r="AA43" s="42" t="str">
        <f t="shared" si="12"/>
        <v>-</v>
      </c>
      <c r="AB43" s="42" t="str">
        <f t="shared" si="13"/>
        <v>-</v>
      </c>
      <c r="AC43" s="42" t="str">
        <f t="shared" si="27"/>
        <v>-</v>
      </c>
    </row>
    <row r="44" spans="1:29" ht="28.8" outlineLevel="1" x14ac:dyDescent="0.25">
      <c r="A44" s="42" t="s">
        <v>13</v>
      </c>
      <c r="B44" s="314"/>
      <c r="C44" s="55" t="s">
        <v>85</v>
      </c>
      <c r="D44" s="195" t="str">
        <f>_xlfn.LET(_xlpm.denom,D$24,_xlpm.calc,ROUND($Q44*_xlpm.denom,0),_xlpm.perc,_xlpm.calc/_xlpm.denom,IFERROR(IF(_xlpm.calc&lt;1000,_xlfn.CONCAT(_xlpm.calc," (",TEXT(_xlpm.perc,"0.0%"),")"),_xlfn.CONCAT(TEXT(_xlpm.calc,"0,000")," (",TEXT(_xlpm.perc,"0.0%"),")")),"-"))</f>
        <v>-</v>
      </c>
      <c r="E44" s="56" t="str" cm="1">
        <f t="array" ref="E44">_xlfn.LET(_xlpm.denom,E$24,_xlpm.calc,IFERROR(ROWS(_xlfn.UNIQUE(_xlfn._xlws.FILTER(Pay_ID,(Pay_Period_End &gt;= E$22) * (Pay_Period_End &lt;= E$23) * (IFERROR(SEARCH(E$1,Pay_Key_Gps),0)&gt;0) * (pp_Sick_Pay_Code = 1)))),0),_xlpm.perc,_xlpm.calc/_xlpm.denom,IFERROR(IF(_xlpm.calc&lt;1000,_xlfn.CONCAT(_xlpm.calc," (",TEXT(_xlpm.perc,"0.0%"),")"),_xlfn.CONCAT(TEXT(_xlpm.calc,"0,000")," (",TEXT(_xlpm.perc,"0.0%"),")")),"-"))</f>
        <v>-</v>
      </c>
      <c r="F44" s="56" t="str" cm="1">
        <f t="array" ref="F44">_xlfn.LET(_xlpm.denom,F$24,_xlpm.calc,IFERROR(ROWS(_xlfn.UNIQUE(_xlfn._xlws.FILTER(Pay_ID,(Pay_Period_End &gt;= F$22) * (Pay_Period_End &lt;= F$23) * (IFERROR(SEARCH(F$1,Pay_Key_Gps),0)&gt;0) * (pp_Sick_Pay_Code = 1)))),0),_xlpm.perc,_xlpm.calc/_xlpm.denom,IFERROR(IF(_xlpm.calc&lt;1000,_xlfn.CONCAT(_xlpm.calc," (",TEXT(_xlpm.perc,"0.0%"),")"),_xlfn.CONCAT(TEXT(_xlpm.calc,"0,000")," (",TEXT(_xlpm.perc,"0.0%"),")")),"-"))</f>
        <v>-</v>
      </c>
      <c r="G44" s="56" t="str" cm="1">
        <f t="array" ref="G44">_xlfn.LET(_xlpm.denom,G$24,_xlpm.calc,IFERROR(ROWS(_xlfn.UNIQUE(_xlfn._xlws.FILTER(Pay_ID,(Pay_Period_End &gt;= G$22) * (Pay_Period_End &lt;= G$23) * (IFERROR(SEARCH(G$1,Pay_Key_Gps),0)&gt;0) * (pp_Sick_Pay_Code = 1)))),0),_xlpm.perc,_xlpm.calc/_xlpm.denom,IFERROR(IF(_xlpm.calc&lt;1000,_xlfn.CONCAT(_xlpm.calc," (",TEXT(_xlpm.perc,"0.0%"),")"),_xlfn.CONCAT(TEXT(_xlpm.calc,"0,000")," (",TEXT(_xlpm.perc,"0.0%"),")")),"-"))</f>
        <v>-</v>
      </c>
      <c r="H44" s="56" t="str" cm="1">
        <f t="array" ref="H44">_xlfn.LET(_xlpm.denom,H$24,_xlpm.calc,IFERROR(ROWS(_xlfn.UNIQUE(_xlfn._xlws.FILTER(Pay_ID,(Pay_Period_End &gt;= H$22) * (Pay_Period_End &lt;= H$23) * (IFERROR(SEARCH(H$1,Pay_Key_Gps),0)&gt;0) * (pp_Sick_Pay_Code = 1)))),0),_xlpm.perc,_xlpm.calc/_xlpm.denom,IFERROR(IF(_xlpm.calc&lt;1000,_xlfn.CONCAT(_xlpm.calc," (",TEXT(_xlpm.perc,"0.0%"),")"),_xlfn.CONCAT(TEXT(_xlpm.calc,"0,000")," (",TEXT(_xlpm.perc,"0.0%"),")")),"-"))</f>
        <v>-</v>
      </c>
      <c r="I44" s="56" t="str" cm="1">
        <f t="array" ref="I44">_xlfn.LET(_xlpm.denom,I$24,_xlpm.calc,IFERROR(ROWS(_xlfn.UNIQUE(_xlfn._xlws.FILTER(Pay_ID,(Pay_Period_End &gt;= I$22) * (Pay_Period_End &lt;= I$23) * (IFERROR(SEARCH(I$1,Pay_Key_Gps),0)&gt;0) * (pp_Sick_Pay_Code = 1)))),0),_xlpm.perc,_xlpm.calc/_xlpm.denom,IFERROR(IF(_xlpm.calc&lt;1000,_xlfn.CONCAT(_xlpm.calc," (",TEXT(_xlpm.perc,"0.0%"),")"),_xlfn.CONCAT(TEXT(_xlpm.calc,"0,000")," (",TEXT(_xlpm.perc,"0.0%"),")")),"-"))</f>
        <v>-</v>
      </c>
      <c r="J44" s="56" t="str" cm="1">
        <f t="array" ref="J44">_xlfn.LET(_xlpm.denom,J$24,_xlpm.calc,IFERROR(ROWS(_xlfn.UNIQUE(_xlfn._xlws.FILTER(Pay_ID,(Pay_Period_End &gt;= J$22) * (Pay_Period_End &lt;= J$23) * (IFERROR(SEARCH(J$1,Pay_Key_Gps),0)&gt;0) * (pp_Sick_Pay_Code = 1)))),0),_xlpm.perc,_xlpm.calc/_xlpm.denom,IFERROR(IF(_xlpm.calc&lt;1000,_xlfn.CONCAT(_xlpm.calc," (",TEXT(_xlpm.perc,"0.0%"),")"),_xlfn.CONCAT(TEXT(_xlpm.calc,"0,000")," (",TEXT(_xlpm.perc,"0.0%"),")")),"-"))</f>
        <v>-</v>
      </c>
      <c r="K44" s="56" t="str" cm="1">
        <f t="array" ref="K44">_xlfn.LET(_xlpm.denom,K$24,_xlpm.calc,IFERROR(ROWS(_xlfn.UNIQUE(_xlfn._xlws.FILTER(Pay_ID,(Pay_Period_End &gt;= K$22) * (Pay_Period_End &lt;= K$23) * (IFERROR(SEARCH(K$1,Pay_Key_Gps),0)&gt;0) * (pp_Sick_Pay_Code = 1)))),0),_xlpm.perc,_xlpm.calc/_xlpm.denom,IFERROR(IF(_xlpm.calc&lt;1000,_xlfn.CONCAT(_xlpm.calc," (",TEXT(_xlpm.perc,"0.0%"),")"),_xlfn.CONCAT(TEXT(_xlpm.calc,"0,000")," (",TEXT(_xlpm.perc,"0.0%"),")")),"-"))</f>
        <v>-</v>
      </c>
      <c r="L44" s="56" t="str" cm="1">
        <f t="array" ref="L44">_xlfn.LET(_xlpm.denom,L$24,_xlpm.calc,IFERROR(ROWS(_xlfn.UNIQUE(_xlfn._xlws.FILTER(Pay_ID,(Pay_Period_End &gt;= L$22) * (Pay_Period_End &lt;= L$23) * (IFERROR(SEARCH(L$1,Pay_Key_Gps),0)&gt;0) * (pp_Sick_Pay_Code = 1)))),0),_xlpm.perc,_xlpm.calc/_xlpm.denom,IFERROR(IF(_xlpm.calc&lt;1000,_xlfn.CONCAT(_xlpm.calc," (",TEXT(_xlpm.perc,"0.0%"),")"),_xlfn.CONCAT(TEXT(_xlpm.calc,"0,000")," (",TEXT(_xlpm.perc,"0.0%"),")")),"-"))</f>
        <v>-</v>
      </c>
      <c r="M44" s="155" t="str" cm="1">
        <f t="array" ref="M44">_xlfn.LET(_xlpm.denom,M$24,_xlpm.calc,IFERROR(ROWS(_xlfn.UNIQUE(_xlfn._xlws.FILTER(Pay_ID,(Pay_Period_End &gt;= M$22) * (Pay_Period_End &lt;= M$23) * (IFERROR(SEARCH(M$1,Pay_Key_Gps),0)&gt;0) * (pp_Sick_Pay_Code = 1)))),0),_xlpm.perc,_xlpm.calc/_xlpm.denom,IFERROR(IF(_xlpm.calc&lt;1000,_xlfn.CONCAT(_xlpm.calc," (",TEXT(_xlpm.perc,"0.0%"),")"),_xlfn.CONCAT(TEXT(_xlpm.calc,"0,000")," (",TEXT(_xlpm.perc,"0.0%"),")")),"-"))</f>
        <v>-</v>
      </c>
      <c r="N44" s="53" t="s">
        <v>128</v>
      </c>
      <c r="O44" s="74"/>
      <c r="Q44" s="75" t="str">
        <f t="shared" si="22"/>
        <v/>
      </c>
      <c r="R44" s="76" t="str">
        <f t="shared" si="23"/>
        <v/>
      </c>
      <c r="S44" s="64" t="str">
        <f>IF($C44="","",IF(OR(IFERROR(SEARCH("min wage",LOWER($C44)),0)&gt;0, IFERROR(SEARCH(" per ",LOWER($C44)),0)&gt;0, IFERROR(SEARCH("penalt",LOWER($C44)),0)&gt;0,IFERROR(SEARCH("total",LOWER($C44)),0)&gt;0,IFERROR(SEARCH("inteSick",LOWER($C44)),0)&gt;0,IFERROR(SEARCH("date",LOWER($C44)),0)&gt;0,IFERROR(SEARCH("employee",LOWER($C44)),0)&gt;0,IFERROR(SEARCH("average",LOWER($C44)),0)&gt;0,IFERROR(SEARCH("median",LOWER($C44)),0)&gt;0),"",1))</f>
        <v/>
      </c>
      <c r="T44" s="42" t="str">
        <f t="shared" si="24"/>
        <v/>
      </c>
      <c r="U44" s="42" t="str">
        <f t="shared" si="25"/>
        <v/>
      </c>
      <c r="V44" s="42" t="str">
        <f t="shared" si="26"/>
        <v/>
      </c>
      <c r="W44" s="42" t="str">
        <f t="shared" si="8"/>
        <v/>
      </c>
      <c r="X44" s="42" t="str">
        <f t="shared" si="9"/>
        <v/>
      </c>
      <c r="Y44" s="42" t="str">
        <f t="shared" si="10"/>
        <v/>
      </c>
      <c r="Z44" s="42" t="str">
        <f t="shared" si="11"/>
        <v/>
      </c>
      <c r="AA44" s="42" t="str">
        <f t="shared" si="12"/>
        <v/>
      </c>
      <c r="AB44" s="42" t="str">
        <f t="shared" si="13"/>
        <v/>
      </c>
      <c r="AC44" s="42" t="str">
        <f t="shared" si="27"/>
        <v/>
      </c>
    </row>
    <row r="45" spans="1:29" ht="28.8" outlineLevel="1" x14ac:dyDescent="0.25">
      <c r="A45" s="42" t="s">
        <v>13</v>
      </c>
      <c r="B45" s="314"/>
      <c r="C45" s="55" t="s">
        <v>89</v>
      </c>
      <c r="D45" s="195" t="str">
        <f ca="1">_xlfn.LET(_xlpm.denom,D$26,_xlpm.calc,ROUND($Q45*_xlpm.denom,0),_xlpm.perc,_xlpm.calc/_xlpm.denom,IFERROR(IF(_xlpm.calc&lt;1000,_xlfn.CONCAT(_xlpm.calc," (",TEXT(_xlpm.perc,"0.0%"),")"),_xlfn.CONCAT(TEXT(_xlpm.calc,"0,000")," (",TEXT(_xlpm.perc,"0.0%"),")")),"-"))</f>
        <v>-</v>
      </c>
      <c r="E45" s="56" t="str" cm="1">
        <f t="array" ref="E45">_xlfn.LET(_xlpm.denom,E$26,_xlpm.calc,IFERROR(ROWS(_xlfn.UNIQUE(_xlfn._xlws.FILTER(Pay_ID_Period_End,(Pay_Period_End &gt;= E$22) * (Pay_Period_End &lt;= E$23) * (IFERROR(SEARCH(E$1,Pay_Key_Gps),0)&gt;0) * (pp_Sick_Pay_Code = 1)))),0),_xlpm.perc,_xlpm.calc/_xlpm.denom,IFERROR(IF(_xlpm.calc&lt;1000,_xlfn.CONCAT(_xlpm.calc," (",TEXT(_xlpm.perc,"0.0%"),")"),_xlfn.CONCAT(TEXT(_xlpm.calc,"0,000")," (",TEXT(_xlpm.perc,"0.0%"),")")),"-"))</f>
        <v>-</v>
      </c>
      <c r="F45" s="56" t="str" cm="1">
        <f t="array" ref="F45">_xlfn.LET(_xlpm.denom,F$26,_xlpm.calc,IFERROR(ROWS(_xlfn.UNIQUE(_xlfn._xlws.FILTER(Pay_ID_Period_End,(Pay_Period_End &gt;= F$22) * (Pay_Period_End &lt;= F$23) * (IFERROR(SEARCH(F$1,Pay_Key_Gps),0)&gt;0) * (pp_Sick_Pay_Code = 1)))),0),_xlpm.perc,_xlpm.calc/_xlpm.denom,IFERROR(IF(_xlpm.calc&lt;1000,_xlfn.CONCAT(_xlpm.calc," (",TEXT(_xlpm.perc,"0.0%"),")"),_xlfn.CONCAT(TEXT(_xlpm.calc,"0,000")," (",TEXT(_xlpm.perc,"0.0%"),")")),"-"))</f>
        <v>-</v>
      </c>
      <c r="G45" s="56" t="str" cm="1">
        <f t="array" ref="G45">_xlfn.LET(_xlpm.denom,G$26,_xlpm.calc,IFERROR(ROWS(_xlfn.UNIQUE(_xlfn._xlws.FILTER(Pay_ID_Period_End,(Pay_Period_End &gt;= G$22) * (Pay_Period_End &lt;= G$23) * (IFERROR(SEARCH(G$1,Pay_Key_Gps),0)&gt;0) * (pp_Sick_Pay_Code = 1)))),0),_xlpm.perc,_xlpm.calc/_xlpm.denom,IFERROR(IF(_xlpm.calc&lt;1000,_xlfn.CONCAT(_xlpm.calc," (",TEXT(_xlpm.perc,"0.0%"),")"),_xlfn.CONCAT(TEXT(_xlpm.calc,"0,000")," (",TEXT(_xlpm.perc,"0.0%"),")")),"-"))</f>
        <v>-</v>
      </c>
      <c r="H45" s="56" t="str" cm="1">
        <f t="array" ref="H45">_xlfn.LET(_xlpm.denom,H$26,_xlpm.calc,IFERROR(ROWS(_xlfn.UNIQUE(_xlfn._xlws.FILTER(Pay_ID_Period_End,(Pay_Period_End &gt;= H$22) * (Pay_Period_End &lt;= H$23) * (IFERROR(SEARCH(H$1,Pay_Key_Gps),0)&gt;0) * (pp_Sick_Pay_Code = 1)))),0),_xlpm.perc,_xlpm.calc/_xlpm.denom,IFERROR(IF(_xlpm.calc&lt;1000,_xlfn.CONCAT(_xlpm.calc," (",TEXT(_xlpm.perc,"0.0%"),")"),_xlfn.CONCAT(TEXT(_xlpm.calc,"0,000")," (",TEXT(_xlpm.perc,"0.0%"),")")),"-"))</f>
        <v>-</v>
      </c>
      <c r="I45" s="56" t="str" cm="1">
        <f t="array" ref="I45">_xlfn.LET(_xlpm.denom,I$26,_xlpm.calc,IFERROR(ROWS(_xlfn.UNIQUE(_xlfn._xlws.FILTER(Pay_ID_Period_End,(Pay_Period_End &gt;= I$22) * (Pay_Period_End &lt;= I$23) * (IFERROR(SEARCH(I$1,Pay_Key_Gps),0)&gt;0) * (pp_Sick_Pay_Code = 1)))),0),_xlpm.perc,_xlpm.calc/_xlpm.denom,IFERROR(IF(_xlpm.calc&lt;1000,_xlfn.CONCAT(_xlpm.calc," (",TEXT(_xlpm.perc,"0.0%"),")"),_xlfn.CONCAT(TEXT(_xlpm.calc,"0,000")," (",TEXT(_xlpm.perc,"0.0%"),")")),"-"))</f>
        <v>-</v>
      </c>
      <c r="J45" s="56" t="str" cm="1">
        <f t="array" ref="J45">_xlfn.LET(_xlpm.denom,J$26,_xlpm.calc,IFERROR(ROWS(_xlfn.UNIQUE(_xlfn._xlws.FILTER(Pay_ID_Period_End,(Pay_Period_End &gt;= J$22) * (Pay_Period_End &lt;= J$23) * (IFERROR(SEARCH(J$1,Pay_Key_Gps),0)&gt;0) * (pp_Sick_Pay_Code = 1)))),0),_xlpm.perc,_xlpm.calc/_xlpm.denom,IFERROR(IF(_xlpm.calc&lt;1000,_xlfn.CONCAT(_xlpm.calc," (",TEXT(_xlpm.perc,"0.0%"),")"),_xlfn.CONCAT(TEXT(_xlpm.calc,"0,000")," (",TEXT(_xlpm.perc,"0.0%"),")")),"-"))</f>
        <v>-</v>
      </c>
      <c r="K45" s="56" t="str" cm="1">
        <f t="array" ref="K45">_xlfn.LET(_xlpm.denom,K$26,_xlpm.calc,IFERROR(ROWS(_xlfn.UNIQUE(_xlfn._xlws.FILTER(Pay_ID_Period_End,(Pay_Period_End &gt;= K$22) * (Pay_Period_End &lt;= K$23) * (IFERROR(SEARCH(K$1,Pay_Key_Gps),0)&gt;0) * (pp_Sick_Pay_Code = 1)))),0),_xlpm.perc,_xlpm.calc/_xlpm.denom,IFERROR(IF(_xlpm.calc&lt;1000,_xlfn.CONCAT(_xlpm.calc," (",TEXT(_xlpm.perc,"0.0%"),")"),_xlfn.CONCAT(TEXT(_xlpm.calc,"0,000")," (",TEXT(_xlpm.perc,"0.0%"),")")),"-"))</f>
        <v>-</v>
      </c>
      <c r="L45" s="56" t="str" cm="1">
        <f t="array" ref="L45">_xlfn.LET(_xlpm.denom,L$26,_xlpm.calc,IFERROR(ROWS(_xlfn.UNIQUE(_xlfn._xlws.FILTER(Pay_ID_Period_End,(Pay_Period_End &gt;= L$22) * (Pay_Period_End &lt;= L$23) * (IFERROR(SEARCH(L$1,Pay_Key_Gps),0)&gt;0) * (pp_Sick_Pay_Code = 1)))),0),_xlpm.perc,_xlpm.calc/_xlpm.denom,IFERROR(IF(_xlpm.calc&lt;1000,_xlfn.CONCAT(_xlpm.calc," (",TEXT(_xlpm.perc,"0.0%"),")"),_xlfn.CONCAT(TEXT(_xlpm.calc,"0,000")," (",TEXT(_xlpm.perc,"0.0%"),")")),"-"))</f>
        <v>-</v>
      </c>
      <c r="M45" s="155" t="str" cm="1">
        <f t="array" ref="M45">_xlfn.LET(_xlpm.denom,M$26,_xlpm.calc,IFERROR(ROWS(_xlfn.UNIQUE(_xlfn._xlws.FILTER(Pay_ID_Period_End,(Pay_Period_End &gt;= M$22) * (Pay_Period_End &lt;= M$23) * (IFERROR(SEARCH(M$1,Pay_Key_Gps),0)&gt;0) * (pp_Sick_Pay_Code = 1)))),0),_xlpm.perc,_xlpm.calc/_xlpm.denom,IFERROR(IF(_xlpm.calc&lt;1000,_xlfn.CONCAT(_xlpm.calc," (",TEXT(_xlpm.perc,"0.0%"),")"),_xlfn.CONCAT(TEXT(_xlpm.calc,"0,000")," (",TEXT(_xlpm.perc,"0.0%"),")")),"-"))</f>
        <v>-</v>
      </c>
      <c r="N45" s="53" t="s">
        <v>80</v>
      </c>
      <c r="O45" s="74"/>
      <c r="Q45" s="75" t="str">
        <f t="shared" si="22"/>
        <v/>
      </c>
      <c r="R45" s="76" t="e">
        <f t="shared" si="23"/>
        <v>#VALUE!</v>
      </c>
      <c r="S45" s="64">
        <f>IF($C45="","",IF(OR(IFERROR(SEARCH("min wage",LOWER($C45)),0)&gt;0, IFERROR(SEARCH(" per ",LOWER($C45)),0)&gt;0, IFERROR(SEARCH("penalt",LOWER($C45)),0)&gt;0,IFERROR(SEARCH("total",LOWER($C45)),0)&gt;0,IFERROR(SEARCH("inteSick",LOWER($C45)),0)&gt;0,IFERROR(SEARCH("date",LOWER($C45)),0)&gt;0,IFERROR(SEARCH("employee",LOWER($C45)),0)&gt;0,IFERROR(SEARCH("average",LOWER($C45)),0)&gt;0,IFERROR(SEARCH("median",LOWER($C45)),0)&gt;0),"",1))</f>
        <v>1</v>
      </c>
      <c r="T45" s="42" t="str">
        <f t="shared" ca="1" si="24"/>
        <v>-</v>
      </c>
      <c r="U45" s="42" t="str">
        <f t="shared" si="25"/>
        <v>-</v>
      </c>
      <c r="V45" s="42" t="str">
        <f t="shared" si="26"/>
        <v>-</v>
      </c>
      <c r="W45" s="42" t="str">
        <f t="shared" si="8"/>
        <v>-</v>
      </c>
      <c r="X45" s="42" t="str">
        <f t="shared" si="9"/>
        <v>-</v>
      </c>
      <c r="Y45" s="42" t="str">
        <f t="shared" si="10"/>
        <v>-</v>
      </c>
      <c r="Z45" s="42" t="str">
        <f t="shared" si="11"/>
        <v>-</v>
      </c>
      <c r="AA45" s="42" t="str">
        <f t="shared" si="12"/>
        <v>-</v>
      </c>
      <c r="AB45" s="42" t="str">
        <f t="shared" si="13"/>
        <v>-</v>
      </c>
      <c r="AC45" s="42" t="str">
        <f t="shared" si="27"/>
        <v>-</v>
      </c>
    </row>
    <row r="46" spans="1:29" outlineLevel="1" x14ac:dyDescent="0.25">
      <c r="A46" s="42">
        <v>1</v>
      </c>
      <c r="B46" s="314"/>
      <c r="C46" s="270" t="s">
        <v>553</v>
      </c>
      <c r="D46" s="214" t="str">
        <f t="shared" ref="D46:D53" si="30">_xlfn.LET(_xlpm.denom,D$24,_xlpm.calc,ROUND($Q46*_xlpm.denom,0),_xlpm.perc,_xlpm.calc/_xlpm.denom,IFERROR(IF(_xlpm.calc&lt;1000,_xlfn.CONCAT(_xlpm.calc," (",TEXT(_xlpm.perc,"0.0%"),")"),_xlfn.CONCAT(TEXT(_xlpm.calc,"0,000")," (",TEXT(_xlpm.perc,"0.0%"),")")),"-"))</f>
        <v>-</v>
      </c>
      <c r="E46" s="271" t="str" cm="1">
        <f t="array" ref="E46">_xlfn.LET(_xlpm.denom,E$24,_xlpm.calc,IFERROR(ROWS(_xlfn.UNIQUE(_xlfn._xlws.FILTER(Pay_ID,(Pay_Period_End &gt;= E$22) * (Pay_Period_End &lt;= E$23) * (IFERROR(SEARCH(E$1,Pay_Key_Gps),0)&gt;0) * (pp_Bon_Pay_Code = 1) * (pp_OT_Pay_Code = 1)))),0),_xlpm.perc,_xlpm.calc/_xlpm.denom,IFERROR(IF(_xlpm.calc&lt;1000,_xlfn.CONCAT(_xlpm.calc," (",TEXT(_xlpm.perc,"0.0%"),")"),_xlfn.CONCAT(TEXT(_xlpm.calc,"0,000")," (",TEXT(_xlpm.perc,"0.0%"),")")),"-"))</f>
        <v>-</v>
      </c>
      <c r="F46" s="271" t="str" cm="1">
        <f t="array" ref="F46">_xlfn.LET(_xlpm.denom,F$24,_xlpm.calc,IFERROR(ROWS(_xlfn.UNIQUE(_xlfn._xlws.FILTER(Pay_ID,(Pay_Period_End &gt;= F$22) * (Pay_Period_End &lt;= F$23) * (IFERROR(SEARCH(F$1,Pay_Key_Gps),0)&gt;0) * (pp_Bon_Pay_Code = 1) * (pp_OT_Pay_Code = 1)))),0),_xlpm.perc,_xlpm.calc/_xlpm.denom,IFERROR(IF(_xlpm.calc&lt;1000,_xlfn.CONCAT(_xlpm.calc," (",TEXT(_xlpm.perc,"0.0%"),")"),_xlfn.CONCAT(TEXT(_xlpm.calc,"0,000")," (",TEXT(_xlpm.perc,"0.0%"),")")),"-"))</f>
        <v>-</v>
      </c>
      <c r="G46" s="271" t="str" cm="1">
        <f t="array" ref="G46">_xlfn.LET(_xlpm.denom,G$24,_xlpm.calc,IFERROR(ROWS(_xlfn.UNIQUE(_xlfn._xlws.FILTER(Pay_ID,(Pay_Period_End &gt;= G$22) * (Pay_Period_End &lt;= G$23) * (IFERROR(SEARCH(G$1,Pay_Key_Gps),0)&gt;0) * (pp_Bon_Pay_Code = 1) * (pp_OT_Pay_Code = 1)))),0),_xlpm.perc,_xlpm.calc/_xlpm.denom,IFERROR(IF(_xlpm.calc&lt;1000,_xlfn.CONCAT(_xlpm.calc," (",TEXT(_xlpm.perc,"0.0%"),")"),_xlfn.CONCAT(TEXT(_xlpm.calc,"0,000")," (",TEXT(_xlpm.perc,"0.0%"),")")),"-"))</f>
        <v>-</v>
      </c>
      <c r="H46" s="271" t="str" cm="1">
        <f t="array" ref="H46">_xlfn.LET(_xlpm.denom,H$24,_xlpm.calc,IFERROR(ROWS(_xlfn.UNIQUE(_xlfn._xlws.FILTER(Pay_ID,(Pay_Period_End &gt;= H$22) * (Pay_Period_End &lt;= H$23) * (IFERROR(SEARCH(H$1,Pay_Key_Gps),0)&gt;0) * (pp_Bon_Pay_Code = 1) * (pp_OT_Pay_Code = 1)))),0),_xlpm.perc,_xlpm.calc/_xlpm.denom,IFERROR(IF(_xlpm.calc&lt;1000,_xlfn.CONCAT(_xlpm.calc," (",TEXT(_xlpm.perc,"0.0%"),")"),_xlfn.CONCAT(TEXT(_xlpm.calc,"0,000")," (",TEXT(_xlpm.perc,"0.0%"),")")),"-"))</f>
        <v>-</v>
      </c>
      <c r="I46" s="271" t="str" cm="1">
        <f t="array" ref="I46">_xlfn.LET(_xlpm.denom,I$24,_xlpm.calc,IFERROR(ROWS(_xlfn.UNIQUE(_xlfn._xlws.FILTER(Pay_ID,(Pay_Period_End &gt;= I$22) * (Pay_Period_End &lt;= I$23) * (IFERROR(SEARCH(I$1,Pay_Key_Gps),0)&gt;0) * (pp_Bon_Pay_Code = 1) * (pp_OT_Pay_Code = 1)))),0),_xlpm.perc,_xlpm.calc/_xlpm.denom,IFERROR(IF(_xlpm.calc&lt;1000,_xlfn.CONCAT(_xlpm.calc," (",TEXT(_xlpm.perc,"0.0%"),")"),_xlfn.CONCAT(TEXT(_xlpm.calc,"0,000")," (",TEXT(_xlpm.perc,"0.0%"),")")),"-"))</f>
        <v>-</v>
      </c>
      <c r="J46" s="271" t="str" cm="1">
        <f t="array" ref="J46">_xlfn.LET(_xlpm.denom,J$24,_xlpm.calc,IFERROR(ROWS(_xlfn.UNIQUE(_xlfn._xlws.FILTER(Pay_ID,(Pay_Period_End &gt;= J$22) * (Pay_Period_End &lt;= J$23) * (IFERROR(SEARCH(J$1,Pay_Key_Gps),0)&gt;0) * (pp_Bon_Pay_Code = 1) * (pp_OT_Pay_Code = 1)))),0),_xlpm.perc,_xlpm.calc/_xlpm.denom,IFERROR(IF(_xlpm.calc&lt;1000,_xlfn.CONCAT(_xlpm.calc," (",TEXT(_xlpm.perc,"0.0%"),")"),_xlfn.CONCAT(TEXT(_xlpm.calc,"0,000")," (",TEXT(_xlpm.perc,"0.0%"),")")),"-"))</f>
        <v>-</v>
      </c>
      <c r="K46" s="271" t="str" cm="1">
        <f t="array" ref="K46">_xlfn.LET(_xlpm.denom,K$24,_xlpm.calc,IFERROR(ROWS(_xlfn.UNIQUE(_xlfn._xlws.FILTER(Pay_ID,(Pay_Period_End &gt;= K$22) * (Pay_Period_End &lt;= K$23) * (IFERROR(SEARCH(K$1,Pay_Key_Gps),0)&gt;0) * (pp_Bon_Pay_Code = 1) * (pp_OT_Pay_Code = 1)))),0),_xlpm.perc,_xlpm.calc/_xlpm.denom,IFERROR(IF(_xlpm.calc&lt;1000,_xlfn.CONCAT(_xlpm.calc," (",TEXT(_xlpm.perc,"0.0%"),")"),_xlfn.CONCAT(TEXT(_xlpm.calc,"0,000")," (",TEXT(_xlpm.perc,"0.0%"),")")),"-"))</f>
        <v>-</v>
      </c>
      <c r="L46" s="271" t="str" cm="1">
        <f t="array" ref="L46">_xlfn.LET(_xlpm.denom,L$24,_xlpm.calc,IFERROR(ROWS(_xlfn.UNIQUE(_xlfn._xlws.FILTER(Pay_ID,(Pay_Period_End &gt;= L$22) * (Pay_Period_End &lt;= L$23) * (IFERROR(SEARCH(L$1,Pay_Key_Gps),0)&gt;0) * (pp_Bon_Pay_Code = 1) * (pp_OT_Pay_Code = 1)))),0),_xlpm.perc,_xlpm.calc/_xlpm.denom,IFERROR(IF(_xlpm.calc&lt;1000,_xlfn.CONCAT(_xlpm.calc," (",TEXT(_xlpm.perc,"0.0%"),")"),_xlfn.CONCAT(TEXT(_xlpm.calc,"0,000")," (",TEXT(_xlpm.perc,"0.0%"),")")),"-"))</f>
        <v>-</v>
      </c>
      <c r="M46" s="216" t="str" cm="1">
        <f t="array" ref="M46">_xlfn.LET(_xlpm.denom,M$24,_xlpm.calc,IFERROR(ROWS(_xlfn.UNIQUE(_xlfn._xlws.FILTER(Pay_ID,(Pay_Period_End &gt;= M$22) * (Pay_Period_End &lt;= M$23) * (IFERROR(SEARCH(M$1,Pay_Key_Gps),0)&gt;0) * (pp_Bon_Pay_Code = 1) * (pp_OT_Pay_Code = 1)))),0),_xlpm.perc,_xlpm.calc/_xlpm.denom,IFERROR(IF(_xlpm.calc&lt;1000,_xlfn.CONCAT(_xlpm.calc," (",TEXT(_xlpm.perc,"0.0%"),")"),_xlfn.CONCAT(TEXT(_xlpm.calc,"0,000")," (",TEXT(_xlpm.perc,"0.0%"),")")),"-"))</f>
        <v>-</v>
      </c>
      <c r="N46" s="272" t="s">
        <v>128</v>
      </c>
      <c r="O46" s="74"/>
      <c r="Q46" s="75" t="str">
        <f t="shared" si="22"/>
        <v/>
      </c>
      <c r="R46" s="76" t="str">
        <f t="shared" si="23"/>
        <v/>
      </c>
      <c r="S46" s="64" t="str">
        <f t="shared" si="15"/>
        <v/>
      </c>
      <c r="T46" s="42" t="str">
        <f t="shared" si="24"/>
        <v/>
      </c>
      <c r="U46" s="42" t="str">
        <f t="shared" si="25"/>
        <v/>
      </c>
      <c r="V46" s="42" t="str">
        <f t="shared" si="26"/>
        <v/>
      </c>
      <c r="W46" s="42" t="str">
        <f t="shared" si="8"/>
        <v/>
      </c>
      <c r="X46" s="42" t="str">
        <f t="shared" si="9"/>
        <v/>
      </c>
      <c r="Y46" s="42" t="str">
        <f t="shared" si="10"/>
        <v/>
      </c>
      <c r="Z46" s="42" t="str">
        <f t="shared" si="11"/>
        <v/>
      </c>
      <c r="AA46" s="42" t="str">
        <f t="shared" si="12"/>
        <v/>
      </c>
      <c r="AB46" s="42" t="str">
        <f t="shared" si="13"/>
        <v/>
      </c>
      <c r="AC46" s="42" t="str">
        <f t="shared" si="27"/>
        <v/>
      </c>
    </row>
    <row r="47" spans="1:29" outlineLevel="1" x14ac:dyDescent="0.3">
      <c r="A47" s="83">
        <v>1</v>
      </c>
      <c r="B47" s="314"/>
      <c r="C47" s="270" t="s">
        <v>554</v>
      </c>
      <c r="D47" s="214" t="str">
        <f t="shared" si="30"/>
        <v>-</v>
      </c>
      <c r="E47" s="271" t="str" cm="1">
        <f t="array" ref="E47">_xlfn.LET(_xlpm.denom,E$24,_xlpm.calc,IFERROR(ROWS(_xlfn.UNIQUE(_xlfn._xlws.FILTER(Pay_ID,(Pay_Period_End &gt;= E$22) * (Pay_Period_End &lt;= E$23) * (IFERROR(SEARCH(E$1,Pay_Key_Gps),0)&gt;0) * (pp_Meal_Pay_Code = 1) * (pp_Bon_Pay_Code = 1)))),0),_xlpm.perc,_xlpm.calc/_xlpm.denom,IFERROR(IF(_xlpm.calc&lt;1000,_xlfn.CONCAT(_xlpm.calc," (",TEXT(_xlpm.perc,"0.0%"),")"),_xlfn.CONCAT(TEXT(_xlpm.calc,"0,000")," (",TEXT(_xlpm.perc,"0.0%"),")")),"-"))</f>
        <v>-</v>
      </c>
      <c r="F47" s="271" t="str" cm="1">
        <f t="array" ref="F47">_xlfn.LET(_xlpm.denom,F$24,_xlpm.calc,IFERROR(ROWS(_xlfn.UNIQUE(_xlfn._xlws.FILTER(Pay_ID,(Pay_Period_End &gt;= F$22) * (Pay_Period_End &lt;= F$23) * (IFERROR(SEARCH(F$1,Pay_Key_Gps),0)&gt;0) * (pp_Meal_Pay_Code = 1) * (pp_Bon_Pay_Code = 1)))),0),_xlpm.perc,_xlpm.calc/_xlpm.denom,IFERROR(IF(_xlpm.calc&lt;1000,_xlfn.CONCAT(_xlpm.calc," (",TEXT(_xlpm.perc,"0.0%"),")"),_xlfn.CONCAT(TEXT(_xlpm.calc,"0,000")," (",TEXT(_xlpm.perc,"0.0%"),")")),"-"))</f>
        <v>-</v>
      </c>
      <c r="G47" s="271" t="str" cm="1">
        <f t="array" ref="G47">_xlfn.LET(_xlpm.denom,G$24,_xlpm.calc,IFERROR(ROWS(_xlfn.UNIQUE(_xlfn._xlws.FILTER(Pay_ID,(Pay_Period_End &gt;= G$22) * (Pay_Period_End &lt;= G$23) * (IFERROR(SEARCH(G$1,Pay_Key_Gps),0)&gt;0) * (pp_Meal_Pay_Code = 1) * (pp_Bon_Pay_Code = 1)))),0),_xlpm.perc,_xlpm.calc/_xlpm.denom,IFERROR(IF(_xlpm.calc&lt;1000,_xlfn.CONCAT(_xlpm.calc," (",TEXT(_xlpm.perc,"0.0%"),")"),_xlfn.CONCAT(TEXT(_xlpm.calc,"0,000")," (",TEXT(_xlpm.perc,"0.0%"),")")),"-"))</f>
        <v>-</v>
      </c>
      <c r="H47" s="271" t="str" cm="1">
        <f t="array" ref="H47">_xlfn.LET(_xlpm.denom,H$24,_xlpm.calc,IFERROR(ROWS(_xlfn.UNIQUE(_xlfn._xlws.FILTER(Pay_ID,(Pay_Period_End &gt;= H$22) * (Pay_Period_End &lt;= H$23) * (IFERROR(SEARCH(H$1,Pay_Key_Gps),0)&gt;0) * (pp_Meal_Pay_Code = 1) * (pp_Bon_Pay_Code = 1)))),0),_xlpm.perc,_xlpm.calc/_xlpm.denom,IFERROR(IF(_xlpm.calc&lt;1000,_xlfn.CONCAT(_xlpm.calc," (",TEXT(_xlpm.perc,"0.0%"),")"),_xlfn.CONCAT(TEXT(_xlpm.calc,"0,000")," (",TEXT(_xlpm.perc,"0.0%"),")")),"-"))</f>
        <v>-</v>
      </c>
      <c r="I47" s="271" t="str" cm="1">
        <f t="array" ref="I47">_xlfn.LET(_xlpm.denom,I$24,_xlpm.calc,IFERROR(ROWS(_xlfn.UNIQUE(_xlfn._xlws.FILTER(Pay_ID,(Pay_Period_End &gt;= I$22) * (Pay_Period_End &lt;= I$23) * (IFERROR(SEARCH(I$1,Pay_Key_Gps),0)&gt;0) * (pp_Meal_Pay_Code = 1) * (pp_Bon_Pay_Code = 1)))),0),_xlpm.perc,_xlpm.calc/_xlpm.denom,IFERROR(IF(_xlpm.calc&lt;1000,_xlfn.CONCAT(_xlpm.calc," (",TEXT(_xlpm.perc,"0.0%"),")"),_xlfn.CONCAT(TEXT(_xlpm.calc,"0,000")," (",TEXT(_xlpm.perc,"0.0%"),")")),"-"))</f>
        <v>-</v>
      </c>
      <c r="J47" s="271" t="str" cm="1">
        <f t="array" ref="J47">_xlfn.LET(_xlpm.denom,J$24,_xlpm.calc,IFERROR(ROWS(_xlfn.UNIQUE(_xlfn._xlws.FILTER(Pay_ID,(Pay_Period_End &gt;= J$22) * (Pay_Period_End &lt;= J$23) * (IFERROR(SEARCH(J$1,Pay_Key_Gps),0)&gt;0) * (pp_Meal_Pay_Code = 1) * (pp_Bon_Pay_Code = 1)))),0),_xlpm.perc,_xlpm.calc/_xlpm.denom,IFERROR(IF(_xlpm.calc&lt;1000,_xlfn.CONCAT(_xlpm.calc," (",TEXT(_xlpm.perc,"0.0%"),")"),_xlfn.CONCAT(TEXT(_xlpm.calc,"0,000")," (",TEXT(_xlpm.perc,"0.0%"),")")),"-"))</f>
        <v>-</v>
      </c>
      <c r="K47" s="271" t="str" cm="1">
        <f t="array" ref="K47">_xlfn.LET(_xlpm.denom,K$24,_xlpm.calc,IFERROR(ROWS(_xlfn.UNIQUE(_xlfn._xlws.FILTER(Pay_ID,(Pay_Period_End &gt;= K$22) * (Pay_Period_End &lt;= K$23) * (IFERROR(SEARCH(K$1,Pay_Key_Gps),0)&gt;0) * (pp_Meal_Pay_Code = 1) * (pp_Bon_Pay_Code = 1)))),0),_xlpm.perc,_xlpm.calc/_xlpm.denom,IFERROR(IF(_xlpm.calc&lt;1000,_xlfn.CONCAT(_xlpm.calc," (",TEXT(_xlpm.perc,"0.0%"),")"),_xlfn.CONCAT(TEXT(_xlpm.calc,"0,000")," (",TEXT(_xlpm.perc,"0.0%"),")")),"-"))</f>
        <v>-</v>
      </c>
      <c r="L47" s="271" t="str" cm="1">
        <f t="array" ref="L47">_xlfn.LET(_xlpm.denom,L$24,_xlpm.calc,IFERROR(ROWS(_xlfn.UNIQUE(_xlfn._xlws.FILTER(Pay_ID,(Pay_Period_End &gt;= L$22) * (Pay_Period_End &lt;= L$23) * (IFERROR(SEARCH(L$1,Pay_Key_Gps),0)&gt;0) * (pp_Meal_Pay_Code = 1) * (pp_Bon_Pay_Code = 1)))),0),_xlpm.perc,_xlpm.calc/_xlpm.denom,IFERROR(IF(_xlpm.calc&lt;1000,_xlfn.CONCAT(_xlpm.calc," (",TEXT(_xlpm.perc,"0.0%"),")"),_xlfn.CONCAT(TEXT(_xlpm.calc,"0,000")," (",TEXT(_xlpm.perc,"0.0%"),")")),"-"))</f>
        <v>-</v>
      </c>
      <c r="M47" s="216" t="str" cm="1">
        <f t="array" ref="M47">_xlfn.LET(_xlpm.denom,M$24,_xlpm.calc,IFERROR(ROWS(_xlfn.UNIQUE(_xlfn._xlws.FILTER(Pay_ID,(Pay_Period_End &gt;= M$22) * (Pay_Period_End &lt;= M$23) * (IFERROR(SEARCH(M$1,Pay_Key_Gps),0)&gt;0) * (pp_Meal_Pay_Code = 1) * (pp_Bon_Pay_Code = 1)))),0),_xlpm.perc,_xlpm.calc/_xlpm.denom,IFERROR(IF(_xlpm.calc&lt;1000,_xlfn.CONCAT(_xlpm.calc," (",TEXT(_xlpm.perc,"0.0%"),")"),_xlfn.CONCAT(TEXT(_xlpm.calc,"0,000")," (",TEXT(_xlpm.perc,"0.0%"),")")),"-"))</f>
        <v>-</v>
      </c>
      <c r="N47" s="272" t="s">
        <v>128</v>
      </c>
      <c r="O47" s="74"/>
      <c r="Q47" s="75" t="str">
        <f t="shared" si="22"/>
        <v/>
      </c>
      <c r="R47" s="76" t="str">
        <f t="shared" si="23"/>
        <v/>
      </c>
      <c r="S47" s="64" t="str">
        <f t="shared" si="15"/>
        <v/>
      </c>
      <c r="T47" s="42" t="str">
        <f t="shared" si="24"/>
        <v/>
      </c>
      <c r="U47" s="42" t="str">
        <f t="shared" si="25"/>
        <v/>
      </c>
      <c r="V47" s="42" t="str">
        <f t="shared" si="26"/>
        <v/>
      </c>
      <c r="W47" s="42" t="str">
        <f t="shared" si="8"/>
        <v/>
      </c>
      <c r="X47" s="42" t="str">
        <f t="shared" si="9"/>
        <v/>
      </c>
      <c r="Y47" s="42" t="str">
        <f t="shared" si="10"/>
        <v/>
      </c>
      <c r="Z47" s="42" t="str">
        <f t="shared" si="11"/>
        <v/>
      </c>
      <c r="AA47" s="42" t="str">
        <f t="shared" si="12"/>
        <v/>
      </c>
      <c r="AB47" s="42" t="str">
        <f t="shared" si="13"/>
        <v/>
      </c>
      <c r="AC47" s="42" t="str">
        <f t="shared" si="27"/>
        <v/>
      </c>
    </row>
    <row r="48" spans="1:29" outlineLevel="1" x14ac:dyDescent="0.3">
      <c r="A48" s="83">
        <v>1</v>
      </c>
      <c r="B48" s="314"/>
      <c r="C48" s="270" t="s">
        <v>587</v>
      </c>
      <c r="D48" s="214" t="str">
        <f t="shared" si="30"/>
        <v>-</v>
      </c>
      <c r="E48" s="271" t="str" cm="1">
        <f t="array" ref="E48">_xlfn.LET(_xlpm.denom,E$24,_xlpm.calc,IFERROR(ROWS(_xlfn.UNIQUE(_xlfn._xlws.FILTER(Pay_ID,(Pay_Period_End &gt;= E$22) * (Pay_Period_End &lt;= E$23) * (IFERROR(SEARCH(E$1,Pay_Key_Gps),0)&gt;0) * (pp_Rest_Pay_Code = 1) * (pp_Bon_Pay_Code = 1)))),0),_xlpm.perc,_xlpm.calc/_xlpm.denom,IFERROR(IF(_xlpm.calc&lt;1000,_xlfn.CONCAT(_xlpm.calc," (",TEXT(_xlpm.perc,"0.0%"),")"),_xlfn.CONCAT(TEXT(_xlpm.calc,"0,000")," (",TEXT(_xlpm.perc,"0.0%"),")")),"-"))</f>
        <v>-</v>
      </c>
      <c r="F48" s="271" t="str" cm="1">
        <f t="array" ref="F48">_xlfn.LET(_xlpm.denom,F$24,_xlpm.calc,IFERROR(ROWS(_xlfn.UNIQUE(_xlfn._xlws.FILTER(Pay_ID,(Pay_Period_End &gt;= F$22) * (Pay_Period_End &lt;= F$23) * (IFERROR(SEARCH(F$1,Pay_Key_Gps),0)&gt;0) * (pp_Rest_Pay_Code = 1) * (pp_Bon_Pay_Code = 1)))),0),_xlpm.perc,_xlpm.calc/_xlpm.denom,IFERROR(IF(_xlpm.calc&lt;1000,_xlfn.CONCAT(_xlpm.calc," (",TEXT(_xlpm.perc,"0.0%"),")"),_xlfn.CONCAT(TEXT(_xlpm.calc,"0,000")," (",TEXT(_xlpm.perc,"0.0%"),")")),"-"))</f>
        <v>-</v>
      </c>
      <c r="G48" s="271" t="str" cm="1">
        <f t="array" ref="G48">_xlfn.LET(_xlpm.denom,G$24,_xlpm.calc,IFERROR(ROWS(_xlfn.UNIQUE(_xlfn._xlws.FILTER(Pay_ID,(Pay_Period_End &gt;= G$22) * (Pay_Period_End &lt;= G$23) * (IFERROR(SEARCH(G$1,Pay_Key_Gps),0)&gt;0) * (pp_Rest_Pay_Code = 1) * (pp_Bon_Pay_Code = 1)))),0),_xlpm.perc,_xlpm.calc/_xlpm.denom,IFERROR(IF(_xlpm.calc&lt;1000,_xlfn.CONCAT(_xlpm.calc," (",TEXT(_xlpm.perc,"0.0%"),")"),_xlfn.CONCAT(TEXT(_xlpm.calc,"0,000")," (",TEXT(_xlpm.perc,"0.0%"),")")),"-"))</f>
        <v>-</v>
      </c>
      <c r="H48" s="271" t="str" cm="1">
        <f t="array" ref="H48">_xlfn.LET(_xlpm.denom,H$24,_xlpm.calc,IFERROR(ROWS(_xlfn.UNIQUE(_xlfn._xlws.FILTER(Pay_ID,(Pay_Period_End &gt;= H$22) * (Pay_Period_End &lt;= H$23) * (IFERROR(SEARCH(H$1,Pay_Key_Gps),0)&gt;0) * (pp_Rest_Pay_Code = 1) * (pp_Bon_Pay_Code = 1)))),0),_xlpm.perc,_xlpm.calc/_xlpm.denom,IFERROR(IF(_xlpm.calc&lt;1000,_xlfn.CONCAT(_xlpm.calc," (",TEXT(_xlpm.perc,"0.0%"),")"),_xlfn.CONCAT(TEXT(_xlpm.calc,"0,000")," (",TEXT(_xlpm.perc,"0.0%"),")")),"-"))</f>
        <v>-</v>
      </c>
      <c r="I48" s="271" t="str" cm="1">
        <f t="array" ref="I48">_xlfn.LET(_xlpm.denom,I$24,_xlpm.calc,IFERROR(ROWS(_xlfn.UNIQUE(_xlfn._xlws.FILTER(Pay_ID,(Pay_Period_End &gt;= I$22) * (Pay_Period_End &lt;= I$23) * (IFERROR(SEARCH(I$1,Pay_Key_Gps),0)&gt;0) * (pp_Rest_Pay_Code = 1) * (pp_Bon_Pay_Code = 1)))),0),_xlpm.perc,_xlpm.calc/_xlpm.denom,IFERROR(IF(_xlpm.calc&lt;1000,_xlfn.CONCAT(_xlpm.calc," (",TEXT(_xlpm.perc,"0.0%"),")"),_xlfn.CONCAT(TEXT(_xlpm.calc,"0,000")," (",TEXT(_xlpm.perc,"0.0%"),")")),"-"))</f>
        <v>-</v>
      </c>
      <c r="J48" s="271" t="str" cm="1">
        <f t="array" ref="J48">_xlfn.LET(_xlpm.denom,J$24,_xlpm.calc,IFERROR(ROWS(_xlfn.UNIQUE(_xlfn._xlws.FILTER(Pay_ID,(Pay_Period_End &gt;= J$22) * (Pay_Period_End &lt;= J$23) * (IFERROR(SEARCH(J$1,Pay_Key_Gps),0)&gt;0) * (pp_Rest_Pay_Code = 1) * (pp_Bon_Pay_Code = 1)))),0),_xlpm.perc,_xlpm.calc/_xlpm.denom,IFERROR(IF(_xlpm.calc&lt;1000,_xlfn.CONCAT(_xlpm.calc," (",TEXT(_xlpm.perc,"0.0%"),")"),_xlfn.CONCAT(TEXT(_xlpm.calc,"0,000")," (",TEXT(_xlpm.perc,"0.0%"),")")),"-"))</f>
        <v>-</v>
      </c>
      <c r="K48" s="271" t="str" cm="1">
        <f t="array" ref="K48">_xlfn.LET(_xlpm.denom,K$24,_xlpm.calc,IFERROR(ROWS(_xlfn.UNIQUE(_xlfn._xlws.FILTER(Pay_ID,(Pay_Period_End &gt;= K$22) * (Pay_Period_End &lt;= K$23) * (IFERROR(SEARCH(K$1,Pay_Key_Gps),0)&gt;0) * (pp_Rest_Pay_Code = 1) * (pp_Bon_Pay_Code = 1)))),0),_xlpm.perc,_xlpm.calc/_xlpm.denom,IFERROR(IF(_xlpm.calc&lt;1000,_xlfn.CONCAT(_xlpm.calc," (",TEXT(_xlpm.perc,"0.0%"),")"),_xlfn.CONCAT(TEXT(_xlpm.calc,"0,000")," (",TEXT(_xlpm.perc,"0.0%"),")")),"-"))</f>
        <v>-</v>
      </c>
      <c r="L48" s="271" t="str" cm="1">
        <f t="array" ref="L48">_xlfn.LET(_xlpm.denom,L$24,_xlpm.calc,IFERROR(ROWS(_xlfn.UNIQUE(_xlfn._xlws.FILTER(Pay_ID,(Pay_Period_End &gt;= L$22) * (Pay_Period_End &lt;= L$23) * (IFERROR(SEARCH(L$1,Pay_Key_Gps),0)&gt;0) * (pp_Rest_Pay_Code = 1) * (pp_Bon_Pay_Code = 1)))),0),_xlpm.perc,_xlpm.calc/_xlpm.denom,IFERROR(IF(_xlpm.calc&lt;1000,_xlfn.CONCAT(_xlpm.calc," (",TEXT(_xlpm.perc,"0.0%"),")"),_xlfn.CONCAT(TEXT(_xlpm.calc,"0,000")," (",TEXT(_xlpm.perc,"0.0%"),")")),"-"))</f>
        <v>-</v>
      </c>
      <c r="M48" s="216" t="str" cm="1">
        <f t="array" ref="M48">_xlfn.LET(_xlpm.denom,M$24,_xlpm.calc,IFERROR(ROWS(_xlfn.UNIQUE(_xlfn._xlws.FILTER(Pay_ID,(Pay_Period_End &gt;= M$22) * (Pay_Period_End &lt;= M$23) * (IFERROR(SEARCH(M$1,Pay_Key_Gps),0)&gt;0) * (pp_Rest_Pay_Code = 1) * (pp_Bon_Pay_Code = 1)))),0),_xlpm.perc,_xlpm.calc/_xlpm.denom,IFERROR(IF(_xlpm.calc&lt;1000,_xlfn.CONCAT(_xlpm.calc," (",TEXT(_xlpm.perc,"0.0%"),")"),_xlfn.CONCAT(TEXT(_xlpm.calc,"0,000")," (",TEXT(_xlpm.perc,"0.0%"),")")),"-"))</f>
        <v>-</v>
      </c>
      <c r="N48" s="272" t="s">
        <v>128</v>
      </c>
      <c r="O48" s="74"/>
      <c r="Q48" s="75" t="str">
        <f t="shared" si="22"/>
        <v/>
      </c>
      <c r="R48" s="76" t="str">
        <f t="shared" si="23"/>
        <v/>
      </c>
      <c r="S48" s="64" t="str">
        <f t="shared" si="15"/>
        <v/>
      </c>
      <c r="T48" s="42" t="str">
        <f t="shared" si="24"/>
        <v/>
      </c>
      <c r="U48" s="42" t="str">
        <f t="shared" si="25"/>
        <v/>
      </c>
      <c r="V48" s="42" t="str">
        <f t="shared" si="26"/>
        <v/>
      </c>
      <c r="W48" s="42" t="str">
        <f t="shared" si="8"/>
        <v/>
      </c>
      <c r="X48" s="42" t="str">
        <f t="shared" si="9"/>
        <v/>
      </c>
      <c r="Y48" s="42" t="str">
        <f t="shared" si="10"/>
        <v/>
      </c>
      <c r="Z48" s="42" t="str">
        <f t="shared" si="11"/>
        <v/>
      </c>
      <c r="AA48" s="42" t="str">
        <f t="shared" si="12"/>
        <v/>
      </c>
      <c r="AB48" s="42" t="str">
        <f t="shared" si="13"/>
        <v/>
      </c>
      <c r="AC48" s="42" t="str">
        <f t="shared" si="27"/>
        <v/>
      </c>
    </row>
    <row r="49" spans="1:29" outlineLevel="1" x14ac:dyDescent="0.3">
      <c r="A49" s="83">
        <v>1</v>
      </c>
      <c r="B49" s="314"/>
      <c r="C49" s="270" t="s">
        <v>555</v>
      </c>
      <c r="D49" s="214" t="str">
        <f t="shared" si="30"/>
        <v>-</v>
      </c>
      <c r="E49" s="271" t="str" cm="1">
        <f t="array" ref="E49">_xlfn.LET(_xlpm.denom,E$24,_xlpm.calc,IFERROR(ROWS(_xlfn.UNIQUE(_xlfn._xlws.FILTER(Pay_ID,(Pay_Period_End &gt;= E$22) * (Pay_Period_End &lt;= E$23) * (IFERROR(SEARCH(E$1,Pay_Key_Gps),0)&gt;0) * (pp_Sick_Pay_Code = 1) * (pp_Bon_Pay_Code = 1)))),0),_xlpm.perc,_xlpm.calc/_xlpm.denom,IFERROR(IF(_xlpm.calc&lt;1000,_xlfn.CONCAT(_xlpm.calc," (",TEXT(_xlpm.perc,"0.0%"),")"),_xlfn.CONCAT(TEXT(_xlpm.calc,"0,000")," (",TEXT(_xlpm.perc,"0.0%"),")")),"-"))</f>
        <v>-</v>
      </c>
      <c r="F49" s="271" t="str" cm="1">
        <f t="array" ref="F49">_xlfn.LET(_xlpm.denom,F$24,_xlpm.calc,IFERROR(ROWS(_xlfn.UNIQUE(_xlfn._xlws.FILTER(Pay_ID,(Pay_Period_End &gt;= F$22) * (Pay_Period_End &lt;= F$23) * (IFERROR(SEARCH(F$1,Pay_Key_Gps),0)&gt;0) * (pp_Sick_Pay_Code = 1) * (pp_Bon_Pay_Code = 1)))),0),_xlpm.perc,_xlpm.calc/_xlpm.denom,IFERROR(IF(_xlpm.calc&lt;1000,_xlfn.CONCAT(_xlpm.calc," (",TEXT(_xlpm.perc,"0.0%"),")"),_xlfn.CONCAT(TEXT(_xlpm.calc,"0,000")," (",TEXT(_xlpm.perc,"0.0%"),")")),"-"))</f>
        <v>-</v>
      </c>
      <c r="G49" s="271" t="str" cm="1">
        <f t="array" ref="G49">_xlfn.LET(_xlpm.denom,G$24,_xlpm.calc,IFERROR(ROWS(_xlfn.UNIQUE(_xlfn._xlws.FILTER(Pay_ID,(Pay_Period_End &gt;= G$22) * (Pay_Period_End &lt;= G$23) * (IFERROR(SEARCH(G$1,Pay_Key_Gps),0)&gt;0) * (pp_Sick_Pay_Code = 1) * (pp_Bon_Pay_Code = 1)))),0),_xlpm.perc,_xlpm.calc/_xlpm.denom,IFERROR(IF(_xlpm.calc&lt;1000,_xlfn.CONCAT(_xlpm.calc," (",TEXT(_xlpm.perc,"0.0%"),")"),_xlfn.CONCAT(TEXT(_xlpm.calc,"0,000")," (",TEXT(_xlpm.perc,"0.0%"),")")),"-"))</f>
        <v>-</v>
      </c>
      <c r="H49" s="271" t="str" cm="1">
        <f t="array" ref="H49">_xlfn.LET(_xlpm.denom,H$24,_xlpm.calc,IFERROR(ROWS(_xlfn.UNIQUE(_xlfn._xlws.FILTER(Pay_ID,(Pay_Period_End &gt;= H$22) * (Pay_Period_End &lt;= H$23) * (IFERROR(SEARCH(H$1,Pay_Key_Gps),0)&gt;0) * (pp_Sick_Pay_Code = 1) * (pp_Bon_Pay_Code = 1)))),0),_xlpm.perc,_xlpm.calc/_xlpm.denom,IFERROR(IF(_xlpm.calc&lt;1000,_xlfn.CONCAT(_xlpm.calc," (",TEXT(_xlpm.perc,"0.0%"),")"),_xlfn.CONCAT(TEXT(_xlpm.calc,"0,000")," (",TEXT(_xlpm.perc,"0.0%"),")")),"-"))</f>
        <v>-</v>
      </c>
      <c r="I49" s="271" t="str" cm="1">
        <f t="array" ref="I49">_xlfn.LET(_xlpm.denom,I$24,_xlpm.calc,IFERROR(ROWS(_xlfn.UNIQUE(_xlfn._xlws.FILTER(Pay_ID,(Pay_Period_End &gt;= I$22) * (Pay_Period_End &lt;= I$23) * (IFERROR(SEARCH(I$1,Pay_Key_Gps),0)&gt;0) * (pp_Sick_Pay_Code = 1) * (pp_Bon_Pay_Code = 1)))),0),_xlpm.perc,_xlpm.calc/_xlpm.denom,IFERROR(IF(_xlpm.calc&lt;1000,_xlfn.CONCAT(_xlpm.calc," (",TEXT(_xlpm.perc,"0.0%"),")"),_xlfn.CONCAT(TEXT(_xlpm.calc,"0,000")," (",TEXT(_xlpm.perc,"0.0%"),")")),"-"))</f>
        <v>-</v>
      </c>
      <c r="J49" s="271" t="str" cm="1">
        <f t="array" ref="J49">_xlfn.LET(_xlpm.denom,J$24,_xlpm.calc,IFERROR(ROWS(_xlfn.UNIQUE(_xlfn._xlws.FILTER(Pay_ID,(Pay_Period_End &gt;= J$22) * (Pay_Period_End &lt;= J$23) * (IFERROR(SEARCH(J$1,Pay_Key_Gps),0)&gt;0) * (pp_Sick_Pay_Code = 1) * (pp_Bon_Pay_Code = 1)))),0),_xlpm.perc,_xlpm.calc/_xlpm.denom,IFERROR(IF(_xlpm.calc&lt;1000,_xlfn.CONCAT(_xlpm.calc," (",TEXT(_xlpm.perc,"0.0%"),")"),_xlfn.CONCAT(TEXT(_xlpm.calc,"0,000")," (",TEXT(_xlpm.perc,"0.0%"),")")),"-"))</f>
        <v>-</v>
      </c>
      <c r="K49" s="271" t="str" cm="1">
        <f t="array" ref="K49">_xlfn.LET(_xlpm.denom,K$24,_xlpm.calc,IFERROR(ROWS(_xlfn.UNIQUE(_xlfn._xlws.FILTER(Pay_ID,(Pay_Period_End &gt;= K$22) * (Pay_Period_End &lt;= K$23) * (IFERROR(SEARCH(K$1,Pay_Key_Gps),0)&gt;0) * (pp_Sick_Pay_Code = 1) * (pp_Bon_Pay_Code = 1)))),0),_xlpm.perc,_xlpm.calc/_xlpm.denom,IFERROR(IF(_xlpm.calc&lt;1000,_xlfn.CONCAT(_xlpm.calc," (",TEXT(_xlpm.perc,"0.0%"),")"),_xlfn.CONCAT(TEXT(_xlpm.calc,"0,000")," (",TEXT(_xlpm.perc,"0.0%"),")")),"-"))</f>
        <v>-</v>
      </c>
      <c r="L49" s="271" t="str" cm="1">
        <f t="array" ref="L49">_xlfn.LET(_xlpm.denom,L$24,_xlpm.calc,IFERROR(ROWS(_xlfn.UNIQUE(_xlfn._xlws.FILTER(Pay_ID,(Pay_Period_End &gt;= L$22) * (Pay_Period_End &lt;= L$23) * (IFERROR(SEARCH(L$1,Pay_Key_Gps),0)&gt;0) * (pp_Sick_Pay_Code = 1) * (pp_Bon_Pay_Code = 1)))),0),_xlpm.perc,_xlpm.calc/_xlpm.denom,IFERROR(IF(_xlpm.calc&lt;1000,_xlfn.CONCAT(_xlpm.calc," (",TEXT(_xlpm.perc,"0.0%"),")"),_xlfn.CONCAT(TEXT(_xlpm.calc,"0,000")," (",TEXT(_xlpm.perc,"0.0%"),")")),"-"))</f>
        <v>-</v>
      </c>
      <c r="M49" s="216" t="str" cm="1">
        <f t="array" ref="M49">_xlfn.LET(_xlpm.denom,M$24,_xlpm.calc,IFERROR(ROWS(_xlfn.UNIQUE(_xlfn._xlws.FILTER(Pay_ID,(Pay_Period_End &gt;= M$22) * (Pay_Period_End &lt;= M$23) * (IFERROR(SEARCH(M$1,Pay_Key_Gps),0)&gt;0) * (pp_Sick_Pay_Code = 1) * (pp_Bon_Pay_Code = 1)))),0),_xlpm.perc,_xlpm.calc/_xlpm.denom,IFERROR(IF(_xlpm.calc&lt;1000,_xlfn.CONCAT(_xlpm.calc," (",TEXT(_xlpm.perc,"0.0%"),")"),_xlfn.CONCAT(TEXT(_xlpm.calc,"0,000")," (",TEXT(_xlpm.perc,"0.0%"),")")),"-"))</f>
        <v>-</v>
      </c>
      <c r="N49" s="272" t="s">
        <v>128</v>
      </c>
      <c r="O49" s="74"/>
      <c r="Q49" s="75" t="str">
        <f t="shared" si="22"/>
        <v/>
      </c>
      <c r="R49" s="76" t="str">
        <f t="shared" si="23"/>
        <v/>
      </c>
      <c r="S49" s="64" t="str">
        <f t="shared" si="15"/>
        <v/>
      </c>
      <c r="T49" s="42" t="str">
        <f t="shared" si="24"/>
        <v/>
      </c>
      <c r="U49" s="42" t="str">
        <f t="shared" si="25"/>
        <v/>
      </c>
      <c r="V49" s="42" t="str">
        <f t="shared" si="26"/>
        <v/>
      </c>
      <c r="W49" s="42" t="str">
        <f t="shared" si="8"/>
        <v/>
      </c>
      <c r="X49" s="42" t="str">
        <f t="shared" si="9"/>
        <v/>
      </c>
      <c r="Y49" s="42" t="str">
        <f t="shared" si="10"/>
        <v/>
      </c>
      <c r="Z49" s="42" t="str">
        <f t="shared" si="11"/>
        <v/>
      </c>
      <c r="AA49" s="42" t="str">
        <f t="shared" si="12"/>
        <v/>
      </c>
      <c r="AB49" s="42" t="str">
        <f t="shared" si="13"/>
        <v/>
      </c>
      <c r="AC49" s="42" t="str">
        <f t="shared" si="27"/>
        <v/>
      </c>
    </row>
    <row r="50" spans="1:29" outlineLevel="1" x14ac:dyDescent="0.3">
      <c r="A50" s="83">
        <v>1</v>
      </c>
      <c r="B50" s="314"/>
      <c r="C50" s="270" t="s">
        <v>556</v>
      </c>
      <c r="D50" s="214" t="str">
        <f t="shared" si="30"/>
        <v>-</v>
      </c>
      <c r="E50" s="271" t="str" cm="1">
        <f t="array" ref="E50">_xlfn.LET(_xlpm.denom,E$24,_xlpm.calc,IFERROR(ROWS(_xlfn.UNIQUE(_xlfn._xlws.FILTER(Pay_ID,(Pay_Period_End &gt;= E$22) * (Pay_Period_End &lt;= E$23) * (IFERROR(SEARCH(E$1,Pay_Key_Gps),0)&gt;0) * (pp_Diff_Pay_Code = 1) * (pp_OT_Pay_Code = 1)))),0),_xlpm.perc,_xlpm.calc/_xlpm.denom,IFERROR(IF(_xlpm.calc&lt;1000,_xlfn.CONCAT(_xlpm.calc," (",TEXT(_xlpm.perc,"0.0%"),")"),_xlfn.CONCAT(TEXT(_xlpm.calc,"0,000")," (",TEXT(_xlpm.perc,"0.0%"),")")),"-"))</f>
        <v>-</v>
      </c>
      <c r="F50" s="271" t="str" cm="1">
        <f t="array" ref="F50">_xlfn.LET(_xlpm.denom,F$24,_xlpm.calc,IFERROR(ROWS(_xlfn.UNIQUE(_xlfn._xlws.FILTER(Pay_ID,(Pay_Period_End &gt;= F$22) * (Pay_Period_End &lt;= F$23) * (IFERROR(SEARCH(F$1,Pay_Key_Gps),0)&gt;0) * (pp_Diff_Pay_Code = 1) * (pp_OT_Pay_Code = 1)))),0),_xlpm.perc,_xlpm.calc/_xlpm.denom,IFERROR(IF(_xlpm.calc&lt;1000,_xlfn.CONCAT(_xlpm.calc," (",TEXT(_xlpm.perc,"0.0%"),")"),_xlfn.CONCAT(TEXT(_xlpm.calc,"0,000")," (",TEXT(_xlpm.perc,"0.0%"),")")),"-"))</f>
        <v>-</v>
      </c>
      <c r="G50" s="271" t="str" cm="1">
        <f t="array" ref="G50">_xlfn.LET(_xlpm.denom,G$24,_xlpm.calc,IFERROR(ROWS(_xlfn.UNIQUE(_xlfn._xlws.FILTER(Pay_ID,(Pay_Period_End &gt;= G$22) * (Pay_Period_End &lt;= G$23) * (IFERROR(SEARCH(G$1,Pay_Key_Gps),0)&gt;0) * (pp_Diff_Pay_Code = 1) * (pp_OT_Pay_Code = 1)))),0),_xlpm.perc,_xlpm.calc/_xlpm.denom,IFERROR(IF(_xlpm.calc&lt;1000,_xlfn.CONCAT(_xlpm.calc," (",TEXT(_xlpm.perc,"0.0%"),")"),_xlfn.CONCAT(TEXT(_xlpm.calc,"0,000")," (",TEXT(_xlpm.perc,"0.0%"),")")),"-"))</f>
        <v>-</v>
      </c>
      <c r="H50" s="271" t="str" cm="1">
        <f t="array" ref="H50">_xlfn.LET(_xlpm.denom,H$24,_xlpm.calc,IFERROR(ROWS(_xlfn.UNIQUE(_xlfn._xlws.FILTER(Pay_ID,(Pay_Period_End &gt;= H$22) * (Pay_Period_End &lt;= H$23) * (IFERROR(SEARCH(H$1,Pay_Key_Gps),0)&gt;0) * (pp_Diff_Pay_Code = 1) * (pp_OT_Pay_Code = 1)))),0),_xlpm.perc,_xlpm.calc/_xlpm.denom,IFERROR(IF(_xlpm.calc&lt;1000,_xlfn.CONCAT(_xlpm.calc," (",TEXT(_xlpm.perc,"0.0%"),")"),_xlfn.CONCAT(TEXT(_xlpm.calc,"0,000")," (",TEXT(_xlpm.perc,"0.0%"),")")),"-"))</f>
        <v>-</v>
      </c>
      <c r="I50" s="271" t="str" cm="1">
        <f t="array" ref="I50">_xlfn.LET(_xlpm.denom,I$24,_xlpm.calc,IFERROR(ROWS(_xlfn.UNIQUE(_xlfn._xlws.FILTER(Pay_ID,(Pay_Period_End &gt;= I$22) * (Pay_Period_End &lt;= I$23) * (IFERROR(SEARCH(I$1,Pay_Key_Gps),0)&gt;0) * (pp_Diff_Pay_Code = 1) * (pp_OT_Pay_Code = 1)))),0),_xlpm.perc,_xlpm.calc/_xlpm.denom,IFERROR(IF(_xlpm.calc&lt;1000,_xlfn.CONCAT(_xlpm.calc," (",TEXT(_xlpm.perc,"0.0%"),")"),_xlfn.CONCAT(TEXT(_xlpm.calc,"0,000")," (",TEXT(_xlpm.perc,"0.0%"),")")),"-"))</f>
        <v>-</v>
      </c>
      <c r="J50" s="271" t="str" cm="1">
        <f t="array" ref="J50">_xlfn.LET(_xlpm.denom,J$24,_xlpm.calc,IFERROR(ROWS(_xlfn.UNIQUE(_xlfn._xlws.FILTER(Pay_ID,(Pay_Period_End &gt;= J$22) * (Pay_Period_End &lt;= J$23) * (IFERROR(SEARCH(J$1,Pay_Key_Gps),0)&gt;0) * (pp_Diff_Pay_Code = 1) * (pp_OT_Pay_Code = 1)))),0),_xlpm.perc,_xlpm.calc/_xlpm.denom,IFERROR(IF(_xlpm.calc&lt;1000,_xlfn.CONCAT(_xlpm.calc," (",TEXT(_xlpm.perc,"0.0%"),")"),_xlfn.CONCAT(TEXT(_xlpm.calc,"0,000")," (",TEXT(_xlpm.perc,"0.0%"),")")),"-"))</f>
        <v>-</v>
      </c>
      <c r="K50" s="271" t="str" cm="1">
        <f t="array" ref="K50">_xlfn.LET(_xlpm.denom,K$24,_xlpm.calc,IFERROR(ROWS(_xlfn.UNIQUE(_xlfn._xlws.FILTER(Pay_ID,(Pay_Period_End &gt;= K$22) * (Pay_Period_End &lt;= K$23) * (IFERROR(SEARCH(K$1,Pay_Key_Gps),0)&gt;0) * (pp_Diff_Pay_Code = 1) * (pp_OT_Pay_Code = 1)))),0),_xlpm.perc,_xlpm.calc/_xlpm.denom,IFERROR(IF(_xlpm.calc&lt;1000,_xlfn.CONCAT(_xlpm.calc," (",TEXT(_xlpm.perc,"0.0%"),")"),_xlfn.CONCAT(TEXT(_xlpm.calc,"0,000")," (",TEXT(_xlpm.perc,"0.0%"),")")),"-"))</f>
        <v>-</v>
      </c>
      <c r="L50" s="271" t="str" cm="1">
        <f t="array" ref="L50">_xlfn.LET(_xlpm.denom,L$24,_xlpm.calc,IFERROR(ROWS(_xlfn.UNIQUE(_xlfn._xlws.FILTER(Pay_ID,(Pay_Period_End &gt;= L$22) * (Pay_Period_End &lt;= L$23) * (IFERROR(SEARCH(L$1,Pay_Key_Gps),0)&gt;0) * (pp_Diff_Pay_Code = 1) * (pp_OT_Pay_Code = 1)))),0),_xlpm.perc,_xlpm.calc/_xlpm.denom,IFERROR(IF(_xlpm.calc&lt;1000,_xlfn.CONCAT(_xlpm.calc," (",TEXT(_xlpm.perc,"0.0%"),")"),_xlfn.CONCAT(TEXT(_xlpm.calc,"0,000")," (",TEXT(_xlpm.perc,"0.0%"),")")),"-"))</f>
        <v>-</v>
      </c>
      <c r="M50" s="216" t="str" cm="1">
        <f t="array" ref="M50">_xlfn.LET(_xlpm.denom,M$24,_xlpm.calc,IFERROR(ROWS(_xlfn.UNIQUE(_xlfn._xlws.FILTER(Pay_ID,(Pay_Period_End &gt;= M$22) * (Pay_Period_End &lt;= M$23) * (IFERROR(SEARCH(M$1,Pay_Key_Gps),0)&gt;0) * (pp_Diff_Pay_Code = 1) * (pp_OT_Pay_Code = 1)))),0),_xlpm.perc,_xlpm.calc/_xlpm.denom,IFERROR(IF(_xlpm.calc&lt;1000,_xlfn.CONCAT(_xlpm.calc," (",TEXT(_xlpm.perc,"0.0%"),")"),_xlfn.CONCAT(TEXT(_xlpm.calc,"0,000")," (",TEXT(_xlpm.perc,"0.0%"),")")),"-"))</f>
        <v>-</v>
      </c>
      <c r="N50" s="272" t="s">
        <v>128</v>
      </c>
      <c r="O50" s="74"/>
      <c r="Q50" s="75" t="str">
        <f t="shared" si="22"/>
        <v/>
      </c>
      <c r="R50" s="76" t="str">
        <f t="shared" si="23"/>
        <v/>
      </c>
      <c r="S50" s="64" t="str">
        <f t="shared" si="15"/>
        <v/>
      </c>
      <c r="T50" s="42" t="str">
        <f t="shared" si="24"/>
        <v/>
      </c>
      <c r="U50" s="42" t="str">
        <f t="shared" si="25"/>
        <v/>
      </c>
      <c r="V50" s="42" t="str">
        <f t="shared" si="26"/>
        <v/>
      </c>
      <c r="W50" s="42" t="str">
        <f t="shared" si="8"/>
        <v/>
      </c>
      <c r="X50" s="42" t="str">
        <f t="shared" si="9"/>
        <v/>
      </c>
      <c r="Y50" s="42" t="str">
        <f t="shared" si="10"/>
        <v/>
      </c>
      <c r="Z50" s="42" t="str">
        <f t="shared" si="11"/>
        <v/>
      </c>
      <c r="AA50" s="42" t="str">
        <f t="shared" si="12"/>
        <v/>
      </c>
      <c r="AB50" s="42" t="str">
        <f t="shared" si="13"/>
        <v/>
      </c>
      <c r="AC50" s="42" t="str">
        <f t="shared" si="27"/>
        <v/>
      </c>
    </row>
    <row r="51" spans="1:29" outlineLevel="1" x14ac:dyDescent="0.3">
      <c r="A51" s="83">
        <v>1</v>
      </c>
      <c r="B51" s="314"/>
      <c r="C51" s="270" t="s">
        <v>558</v>
      </c>
      <c r="D51" s="214" t="str">
        <f t="shared" si="30"/>
        <v>-</v>
      </c>
      <c r="E51" s="271" t="str" cm="1">
        <f t="array" ref="E51">_xlfn.LET(_xlpm.denom,E$24,_xlpm.calc,IFERROR(ROWS(_xlfn.UNIQUE(_xlfn._xlws.FILTER(Pay_ID,(Pay_Period_End &gt;= E$22) * (Pay_Period_End &lt;= E$23) * (IFERROR(SEARCH(E$1,Pay_Key_Gps),0)&gt;0) * (pp_Diff_Pay_Code = 1) * (pp_Meal_Pay_Code = 1)))),0),_xlpm.perc,_xlpm.calc/_xlpm.denom,IFERROR(IF(_xlpm.calc&lt;1000,_xlfn.CONCAT(_xlpm.calc," (",TEXT(_xlpm.perc,"0.0%"),")"),_xlfn.CONCAT(TEXT(_xlpm.calc,"0,000")," (",TEXT(_xlpm.perc,"0.0%"),")")),"-"))</f>
        <v>-</v>
      </c>
      <c r="F51" s="271" t="str" cm="1">
        <f t="array" ref="F51">_xlfn.LET(_xlpm.denom,F$24,_xlpm.calc,IFERROR(ROWS(_xlfn.UNIQUE(_xlfn._xlws.FILTER(Pay_ID,(Pay_Period_End &gt;= F$22) * (Pay_Period_End &lt;= F$23) * (IFERROR(SEARCH(F$1,Pay_Key_Gps),0)&gt;0) * (pp_Diff_Pay_Code = 1) * (pp_Meal_Pay_Code = 1)))),0),_xlpm.perc,_xlpm.calc/_xlpm.denom,IFERROR(IF(_xlpm.calc&lt;1000,_xlfn.CONCAT(_xlpm.calc," (",TEXT(_xlpm.perc,"0.0%"),")"),_xlfn.CONCAT(TEXT(_xlpm.calc,"0,000")," (",TEXT(_xlpm.perc,"0.0%"),")")),"-"))</f>
        <v>-</v>
      </c>
      <c r="G51" s="271" t="str" cm="1">
        <f t="array" ref="G51">_xlfn.LET(_xlpm.denom,G$24,_xlpm.calc,IFERROR(ROWS(_xlfn.UNIQUE(_xlfn._xlws.FILTER(Pay_ID,(Pay_Period_End &gt;= G$22) * (Pay_Period_End &lt;= G$23) * (IFERROR(SEARCH(G$1,Pay_Key_Gps),0)&gt;0) * (pp_Diff_Pay_Code = 1) * (pp_Meal_Pay_Code = 1)))),0),_xlpm.perc,_xlpm.calc/_xlpm.denom,IFERROR(IF(_xlpm.calc&lt;1000,_xlfn.CONCAT(_xlpm.calc," (",TEXT(_xlpm.perc,"0.0%"),")"),_xlfn.CONCAT(TEXT(_xlpm.calc,"0,000")," (",TEXT(_xlpm.perc,"0.0%"),")")),"-"))</f>
        <v>-</v>
      </c>
      <c r="H51" s="271" t="str" cm="1">
        <f t="array" ref="H51">_xlfn.LET(_xlpm.denom,H$24,_xlpm.calc,IFERROR(ROWS(_xlfn.UNIQUE(_xlfn._xlws.FILTER(Pay_ID,(Pay_Period_End &gt;= H$22) * (Pay_Period_End &lt;= H$23) * (IFERROR(SEARCH(H$1,Pay_Key_Gps),0)&gt;0) * (pp_Diff_Pay_Code = 1) * (pp_Meal_Pay_Code = 1)))),0),_xlpm.perc,_xlpm.calc/_xlpm.denom,IFERROR(IF(_xlpm.calc&lt;1000,_xlfn.CONCAT(_xlpm.calc," (",TEXT(_xlpm.perc,"0.0%"),")"),_xlfn.CONCAT(TEXT(_xlpm.calc,"0,000")," (",TEXT(_xlpm.perc,"0.0%"),")")),"-"))</f>
        <v>-</v>
      </c>
      <c r="I51" s="271" t="str" cm="1">
        <f t="array" ref="I51">_xlfn.LET(_xlpm.denom,I$24,_xlpm.calc,IFERROR(ROWS(_xlfn.UNIQUE(_xlfn._xlws.FILTER(Pay_ID,(Pay_Period_End &gt;= I$22) * (Pay_Period_End &lt;= I$23) * (IFERROR(SEARCH(I$1,Pay_Key_Gps),0)&gt;0) * (pp_Diff_Pay_Code = 1) * (pp_Meal_Pay_Code = 1)))),0),_xlpm.perc,_xlpm.calc/_xlpm.denom,IFERROR(IF(_xlpm.calc&lt;1000,_xlfn.CONCAT(_xlpm.calc," (",TEXT(_xlpm.perc,"0.0%"),")"),_xlfn.CONCAT(TEXT(_xlpm.calc,"0,000")," (",TEXT(_xlpm.perc,"0.0%"),")")),"-"))</f>
        <v>-</v>
      </c>
      <c r="J51" s="271" t="str" cm="1">
        <f t="array" ref="J51">_xlfn.LET(_xlpm.denom,J$24,_xlpm.calc,IFERROR(ROWS(_xlfn.UNIQUE(_xlfn._xlws.FILTER(Pay_ID,(Pay_Period_End &gt;= J$22) * (Pay_Period_End &lt;= J$23) * (IFERROR(SEARCH(J$1,Pay_Key_Gps),0)&gt;0) * (pp_Diff_Pay_Code = 1) * (pp_Meal_Pay_Code = 1)))),0),_xlpm.perc,_xlpm.calc/_xlpm.denom,IFERROR(IF(_xlpm.calc&lt;1000,_xlfn.CONCAT(_xlpm.calc," (",TEXT(_xlpm.perc,"0.0%"),")"),_xlfn.CONCAT(TEXT(_xlpm.calc,"0,000")," (",TEXT(_xlpm.perc,"0.0%"),")")),"-"))</f>
        <v>-</v>
      </c>
      <c r="K51" s="271" t="str" cm="1">
        <f t="array" ref="K51">_xlfn.LET(_xlpm.denom,K$24,_xlpm.calc,IFERROR(ROWS(_xlfn.UNIQUE(_xlfn._xlws.FILTER(Pay_ID,(Pay_Period_End &gt;= K$22) * (Pay_Period_End &lt;= K$23) * (IFERROR(SEARCH(K$1,Pay_Key_Gps),0)&gt;0) * (pp_Diff_Pay_Code = 1) * (pp_Meal_Pay_Code = 1)))),0),_xlpm.perc,_xlpm.calc/_xlpm.denom,IFERROR(IF(_xlpm.calc&lt;1000,_xlfn.CONCAT(_xlpm.calc," (",TEXT(_xlpm.perc,"0.0%"),")"),_xlfn.CONCAT(TEXT(_xlpm.calc,"0,000")," (",TEXT(_xlpm.perc,"0.0%"),")")),"-"))</f>
        <v>-</v>
      </c>
      <c r="L51" s="271" t="str" cm="1">
        <f t="array" ref="L51">_xlfn.LET(_xlpm.denom,L$24,_xlpm.calc,IFERROR(ROWS(_xlfn.UNIQUE(_xlfn._xlws.FILTER(Pay_ID,(Pay_Period_End &gt;= L$22) * (Pay_Period_End &lt;= L$23) * (IFERROR(SEARCH(L$1,Pay_Key_Gps),0)&gt;0) * (pp_Diff_Pay_Code = 1) * (pp_Meal_Pay_Code = 1)))),0),_xlpm.perc,_xlpm.calc/_xlpm.denom,IFERROR(IF(_xlpm.calc&lt;1000,_xlfn.CONCAT(_xlpm.calc," (",TEXT(_xlpm.perc,"0.0%"),")"),_xlfn.CONCAT(TEXT(_xlpm.calc,"0,000")," (",TEXT(_xlpm.perc,"0.0%"),")")),"-"))</f>
        <v>-</v>
      </c>
      <c r="M51" s="216" t="str" cm="1">
        <f t="array" ref="M51">_xlfn.LET(_xlpm.denom,M$24,_xlpm.calc,IFERROR(ROWS(_xlfn.UNIQUE(_xlfn._xlws.FILTER(Pay_ID,(Pay_Period_End &gt;= M$22) * (Pay_Period_End &lt;= M$23) * (IFERROR(SEARCH(M$1,Pay_Key_Gps),0)&gt;0) * (pp_Diff_Pay_Code = 1) * (pp_Meal_Pay_Code = 1)))),0),_xlpm.perc,_xlpm.calc/_xlpm.denom,IFERROR(IF(_xlpm.calc&lt;1000,_xlfn.CONCAT(_xlpm.calc," (",TEXT(_xlpm.perc,"0.0%"),")"),_xlfn.CONCAT(TEXT(_xlpm.calc,"0,000")," (",TEXT(_xlpm.perc,"0.0%"),")")),"-"))</f>
        <v>-</v>
      </c>
      <c r="N51" s="272" t="s">
        <v>128</v>
      </c>
      <c r="O51" s="74"/>
      <c r="Q51" s="75" t="str">
        <f t="shared" si="22"/>
        <v/>
      </c>
      <c r="R51" s="76" t="str">
        <f t="shared" si="23"/>
        <v/>
      </c>
      <c r="S51" s="64" t="str">
        <f t="shared" si="15"/>
        <v/>
      </c>
      <c r="T51" s="42" t="str">
        <f t="shared" si="24"/>
        <v/>
      </c>
      <c r="U51" s="42" t="str">
        <f t="shared" si="25"/>
        <v/>
      </c>
      <c r="V51" s="42" t="str">
        <f t="shared" si="26"/>
        <v/>
      </c>
      <c r="W51" s="42" t="str">
        <f t="shared" si="8"/>
        <v/>
      </c>
      <c r="X51" s="42" t="str">
        <f t="shared" si="9"/>
        <v/>
      </c>
      <c r="Y51" s="42" t="str">
        <f t="shared" si="10"/>
        <v/>
      </c>
      <c r="Z51" s="42" t="str">
        <f t="shared" si="11"/>
        <v/>
      </c>
      <c r="AA51" s="42" t="str">
        <f t="shared" si="12"/>
        <v/>
      </c>
      <c r="AB51" s="42" t="str">
        <f t="shared" si="13"/>
        <v/>
      </c>
      <c r="AC51" s="42" t="str">
        <f t="shared" si="27"/>
        <v/>
      </c>
    </row>
    <row r="52" spans="1:29" outlineLevel="1" x14ac:dyDescent="0.3">
      <c r="A52" s="83">
        <v>1</v>
      </c>
      <c r="B52" s="314"/>
      <c r="C52" s="270" t="s">
        <v>559</v>
      </c>
      <c r="D52" s="214" t="str">
        <f t="shared" si="30"/>
        <v>-</v>
      </c>
      <c r="E52" s="271" t="str" cm="1">
        <f t="array" ref="E52">_xlfn.LET(_xlpm.denom,E$24,_xlpm.calc,IFERROR(ROWS(_xlfn.UNIQUE(_xlfn._xlws.FILTER(Pay_ID,(Pay_Period_End &gt;= E$22) * (Pay_Period_End &lt;= E$23) * (IFERROR(SEARCH(E$1,Pay_Key_Gps),0)&gt;0) * (pp_Diff_Pay_Code = 1) * (pp_Rest_Pay_Code = 1)))),0),_xlpm.perc,_xlpm.calc/_xlpm.denom,IFERROR(IF(_xlpm.calc&lt;1000,_xlfn.CONCAT(_xlpm.calc," (",TEXT(_xlpm.perc,"0.0%"),")"),_xlfn.CONCAT(TEXT(_xlpm.calc,"0,000")," (",TEXT(_xlpm.perc,"0.0%"),")")),"-"))</f>
        <v>-</v>
      </c>
      <c r="F52" s="271" t="str" cm="1">
        <f t="array" ref="F52">_xlfn.LET(_xlpm.denom,F$24,_xlpm.calc,IFERROR(ROWS(_xlfn.UNIQUE(_xlfn._xlws.FILTER(Pay_ID,(Pay_Period_End &gt;= F$22) * (Pay_Period_End &lt;= F$23) * (IFERROR(SEARCH(F$1,Pay_Key_Gps),0)&gt;0) * (pp_Diff_Pay_Code = 1) * (pp_Rest_Pay_Code = 1)))),0),_xlpm.perc,_xlpm.calc/_xlpm.denom,IFERROR(IF(_xlpm.calc&lt;1000,_xlfn.CONCAT(_xlpm.calc," (",TEXT(_xlpm.perc,"0.0%"),")"),_xlfn.CONCAT(TEXT(_xlpm.calc,"0,000")," (",TEXT(_xlpm.perc,"0.0%"),")")),"-"))</f>
        <v>-</v>
      </c>
      <c r="G52" s="271" t="str" cm="1">
        <f t="array" ref="G52">_xlfn.LET(_xlpm.denom,G$24,_xlpm.calc,IFERROR(ROWS(_xlfn.UNIQUE(_xlfn._xlws.FILTER(Pay_ID,(Pay_Period_End &gt;= G$22) * (Pay_Period_End &lt;= G$23) * (IFERROR(SEARCH(G$1,Pay_Key_Gps),0)&gt;0) * (pp_Diff_Pay_Code = 1) * (pp_Rest_Pay_Code = 1)))),0),_xlpm.perc,_xlpm.calc/_xlpm.denom,IFERROR(IF(_xlpm.calc&lt;1000,_xlfn.CONCAT(_xlpm.calc," (",TEXT(_xlpm.perc,"0.0%"),")"),_xlfn.CONCAT(TEXT(_xlpm.calc,"0,000")," (",TEXT(_xlpm.perc,"0.0%"),")")),"-"))</f>
        <v>-</v>
      </c>
      <c r="H52" s="271" t="str" cm="1">
        <f t="array" ref="H52">_xlfn.LET(_xlpm.denom,H$24,_xlpm.calc,IFERROR(ROWS(_xlfn.UNIQUE(_xlfn._xlws.FILTER(Pay_ID,(Pay_Period_End &gt;= H$22) * (Pay_Period_End &lt;= H$23) * (IFERROR(SEARCH(H$1,Pay_Key_Gps),0)&gt;0) * (pp_Diff_Pay_Code = 1) * (pp_Rest_Pay_Code = 1)))),0),_xlpm.perc,_xlpm.calc/_xlpm.denom,IFERROR(IF(_xlpm.calc&lt;1000,_xlfn.CONCAT(_xlpm.calc," (",TEXT(_xlpm.perc,"0.0%"),")"),_xlfn.CONCAT(TEXT(_xlpm.calc,"0,000")," (",TEXT(_xlpm.perc,"0.0%"),")")),"-"))</f>
        <v>-</v>
      </c>
      <c r="I52" s="271" t="str" cm="1">
        <f t="array" ref="I52">_xlfn.LET(_xlpm.denom,I$24,_xlpm.calc,IFERROR(ROWS(_xlfn.UNIQUE(_xlfn._xlws.FILTER(Pay_ID,(Pay_Period_End &gt;= I$22) * (Pay_Period_End &lt;= I$23) * (IFERROR(SEARCH(I$1,Pay_Key_Gps),0)&gt;0) * (pp_Diff_Pay_Code = 1) * (pp_Rest_Pay_Code = 1)))),0),_xlpm.perc,_xlpm.calc/_xlpm.denom,IFERROR(IF(_xlpm.calc&lt;1000,_xlfn.CONCAT(_xlpm.calc," (",TEXT(_xlpm.perc,"0.0%"),")"),_xlfn.CONCAT(TEXT(_xlpm.calc,"0,000")," (",TEXT(_xlpm.perc,"0.0%"),")")),"-"))</f>
        <v>-</v>
      </c>
      <c r="J52" s="271" t="str" cm="1">
        <f t="array" ref="J52">_xlfn.LET(_xlpm.denom,J$24,_xlpm.calc,IFERROR(ROWS(_xlfn.UNIQUE(_xlfn._xlws.FILTER(Pay_ID,(Pay_Period_End &gt;= J$22) * (Pay_Period_End &lt;= J$23) * (IFERROR(SEARCH(J$1,Pay_Key_Gps),0)&gt;0) * (pp_Diff_Pay_Code = 1) * (pp_Rest_Pay_Code = 1)))),0),_xlpm.perc,_xlpm.calc/_xlpm.denom,IFERROR(IF(_xlpm.calc&lt;1000,_xlfn.CONCAT(_xlpm.calc," (",TEXT(_xlpm.perc,"0.0%"),")"),_xlfn.CONCAT(TEXT(_xlpm.calc,"0,000")," (",TEXT(_xlpm.perc,"0.0%"),")")),"-"))</f>
        <v>-</v>
      </c>
      <c r="K52" s="271" t="str" cm="1">
        <f t="array" ref="K52">_xlfn.LET(_xlpm.denom,K$24,_xlpm.calc,IFERROR(ROWS(_xlfn.UNIQUE(_xlfn._xlws.FILTER(Pay_ID,(Pay_Period_End &gt;= K$22) * (Pay_Period_End &lt;= K$23) * (IFERROR(SEARCH(K$1,Pay_Key_Gps),0)&gt;0) * (pp_Diff_Pay_Code = 1) * (pp_Rest_Pay_Code = 1)))),0),_xlpm.perc,_xlpm.calc/_xlpm.denom,IFERROR(IF(_xlpm.calc&lt;1000,_xlfn.CONCAT(_xlpm.calc," (",TEXT(_xlpm.perc,"0.0%"),")"),_xlfn.CONCAT(TEXT(_xlpm.calc,"0,000")," (",TEXT(_xlpm.perc,"0.0%"),")")),"-"))</f>
        <v>-</v>
      </c>
      <c r="L52" s="271" t="str" cm="1">
        <f t="array" ref="L52">_xlfn.LET(_xlpm.denom,L$24,_xlpm.calc,IFERROR(ROWS(_xlfn.UNIQUE(_xlfn._xlws.FILTER(Pay_ID,(Pay_Period_End &gt;= L$22) * (Pay_Period_End &lt;= L$23) * (IFERROR(SEARCH(L$1,Pay_Key_Gps),0)&gt;0) * (pp_Diff_Pay_Code = 1) * (pp_Rest_Pay_Code = 1)))),0),_xlpm.perc,_xlpm.calc/_xlpm.denom,IFERROR(IF(_xlpm.calc&lt;1000,_xlfn.CONCAT(_xlpm.calc," (",TEXT(_xlpm.perc,"0.0%"),")"),_xlfn.CONCAT(TEXT(_xlpm.calc,"0,000")," (",TEXT(_xlpm.perc,"0.0%"),")")),"-"))</f>
        <v>-</v>
      </c>
      <c r="M52" s="216" t="str" cm="1">
        <f t="array" ref="M52">_xlfn.LET(_xlpm.denom,M$24,_xlpm.calc,IFERROR(ROWS(_xlfn.UNIQUE(_xlfn._xlws.FILTER(Pay_ID,(Pay_Period_End &gt;= M$22) * (Pay_Period_End &lt;= M$23) * (IFERROR(SEARCH(M$1,Pay_Key_Gps),0)&gt;0) * (pp_Diff_Pay_Code = 1) * (pp_Rest_Pay_Code = 1)))),0),_xlpm.perc,_xlpm.calc/_xlpm.denom,IFERROR(IF(_xlpm.calc&lt;1000,_xlfn.CONCAT(_xlpm.calc," (",TEXT(_xlpm.perc,"0.0%"),")"),_xlfn.CONCAT(TEXT(_xlpm.calc,"0,000")," (",TEXT(_xlpm.perc,"0.0%"),")")),"-"))</f>
        <v>-</v>
      </c>
      <c r="N52" s="272" t="s">
        <v>128</v>
      </c>
      <c r="O52" s="74"/>
      <c r="Q52" s="75" t="str">
        <f t="shared" si="22"/>
        <v/>
      </c>
      <c r="R52" s="76" t="str">
        <f t="shared" si="23"/>
        <v/>
      </c>
      <c r="S52" s="64" t="str">
        <f t="shared" si="15"/>
        <v/>
      </c>
      <c r="T52" s="42" t="str">
        <f t="shared" si="24"/>
        <v/>
      </c>
      <c r="U52" s="42" t="str">
        <f t="shared" si="25"/>
        <v/>
      </c>
      <c r="V52" s="42" t="str">
        <f t="shared" si="26"/>
        <v/>
      </c>
      <c r="W52" s="42" t="str">
        <f t="shared" si="8"/>
        <v/>
      </c>
      <c r="X52" s="42" t="str">
        <f t="shared" si="9"/>
        <v/>
      </c>
      <c r="Y52" s="42" t="str">
        <f t="shared" si="10"/>
        <v/>
      </c>
      <c r="Z52" s="42" t="str">
        <f t="shared" si="11"/>
        <v/>
      </c>
      <c r="AA52" s="42" t="str">
        <f t="shared" si="12"/>
        <v/>
      </c>
      <c r="AB52" s="42" t="str">
        <f t="shared" si="13"/>
        <v/>
      </c>
      <c r="AC52" s="42" t="str">
        <f t="shared" si="27"/>
        <v/>
      </c>
    </row>
    <row r="53" spans="1:29" outlineLevel="1" x14ac:dyDescent="0.3">
      <c r="A53" s="83">
        <v>1</v>
      </c>
      <c r="B53" s="314"/>
      <c r="C53" s="270" t="s">
        <v>557</v>
      </c>
      <c r="D53" s="214" t="str">
        <f t="shared" si="30"/>
        <v>-</v>
      </c>
      <c r="E53" s="271" t="str" cm="1">
        <f t="array" ref="E53">_xlfn.LET(_xlpm.denom,E$24,_xlpm.calc,IFERROR(ROWS(_xlfn.UNIQUE(_xlfn._xlws.FILTER(Pay_ID,(Pay_Period_End &gt;= E$22) * (Pay_Period_End &lt;= E$23) * (IFERROR(SEARCH(E$1,Pay_Key_Gps),0)&gt;0) * (pp_Diff_Pay_Code = 1) * (pp_Sick_Pay_Code = 1)))),0),_xlpm.perc,_xlpm.calc/_xlpm.denom,IFERROR(IF(_xlpm.calc&lt;1000,_xlfn.CONCAT(_xlpm.calc," (",TEXT(_xlpm.perc,"0.0%"),")"),_xlfn.CONCAT(TEXT(_xlpm.calc,"0,000")," (",TEXT(_xlpm.perc,"0.0%"),")")),"-"))</f>
        <v>-</v>
      </c>
      <c r="F53" s="271" t="str" cm="1">
        <f t="array" ref="F53">_xlfn.LET(_xlpm.denom,F$24,_xlpm.calc,IFERROR(ROWS(_xlfn.UNIQUE(_xlfn._xlws.FILTER(Pay_ID,(Pay_Period_End &gt;= F$22) * (Pay_Period_End &lt;= F$23) * (IFERROR(SEARCH(F$1,Pay_Key_Gps),0)&gt;0) * (pp_Diff_Pay_Code = 1) * (pp_Sick_Pay_Code = 1)))),0),_xlpm.perc,_xlpm.calc/_xlpm.denom,IFERROR(IF(_xlpm.calc&lt;1000,_xlfn.CONCAT(_xlpm.calc," (",TEXT(_xlpm.perc,"0.0%"),")"),_xlfn.CONCAT(TEXT(_xlpm.calc,"0,000")," (",TEXT(_xlpm.perc,"0.0%"),")")),"-"))</f>
        <v>-</v>
      </c>
      <c r="G53" s="271" t="str" cm="1">
        <f t="array" ref="G53">_xlfn.LET(_xlpm.denom,G$24,_xlpm.calc,IFERROR(ROWS(_xlfn.UNIQUE(_xlfn._xlws.FILTER(Pay_ID,(Pay_Period_End &gt;= G$22) * (Pay_Period_End &lt;= G$23) * (IFERROR(SEARCH(G$1,Pay_Key_Gps),0)&gt;0) * (pp_Diff_Pay_Code = 1) * (pp_Sick_Pay_Code = 1)))),0),_xlpm.perc,_xlpm.calc/_xlpm.denom,IFERROR(IF(_xlpm.calc&lt;1000,_xlfn.CONCAT(_xlpm.calc," (",TEXT(_xlpm.perc,"0.0%"),")"),_xlfn.CONCAT(TEXT(_xlpm.calc,"0,000")," (",TEXT(_xlpm.perc,"0.0%"),")")),"-"))</f>
        <v>-</v>
      </c>
      <c r="H53" s="271" t="str" cm="1">
        <f t="array" ref="H53">_xlfn.LET(_xlpm.denom,H$24,_xlpm.calc,IFERROR(ROWS(_xlfn.UNIQUE(_xlfn._xlws.FILTER(Pay_ID,(Pay_Period_End &gt;= H$22) * (Pay_Period_End &lt;= H$23) * (IFERROR(SEARCH(H$1,Pay_Key_Gps),0)&gt;0) * (pp_Diff_Pay_Code = 1) * (pp_Sick_Pay_Code = 1)))),0),_xlpm.perc,_xlpm.calc/_xlpm.denom,IFERROR(IF(_xlpm.calc&lt;1000,_xlfn.CONCAT(_xlpm.calc," (",TEXT(_xlpm.perc,"0.0%"),")"),_xlfn.CONCAT(TEXT(_xlpm.calc,"0,000")," (",TEXT(_xlpm.perc,"0.0%"),")")),"-"))</f>
        <v>-</v>
      </c>
      <c r="I53" s="271" t="str" cm="1">
        <f t="array" ref="I53">_xlfn.LET(_xlpm.denom,I$24,_xlpm.calc,IFERROR(ROWS(_xlfn.UNIQUE(_xlfn._xlws.FILTER(Pay_ID,(Pay_Period_End &gt;= I$22) * (Pay_Period_End &lt;= I$23) * (IFERROR(SEARCH(I$1,Pay_Key_Gps),0)&gt;0) * (pp_Diff_Pay_Code = 1) * (pp_Sick_Pay_Code = 1)))),0),_xlpm.perc,_xlpm.calc/_xlpm.denom,IFERROR(IF(_xlpm.calc&lt;1000,_xlfn.CONCAT(_xlpm.calc," (",TEXT(_xlpm.perc,"0.0%"),")"),_xlfn.CONCAT(TEXT(_xlpm.calc,"0,000")," (",TEXT(_xlpm.perc,"0.0%"),")")),"-"))</f>
        <v>-</v>
      </c>
      <c r="J53" s="271" t="str" cm="1">
        <f t="array" ref="J53">_xlfn.LET(_xlpm.denom,J$24,_xlpm.calc,IFERROR(ROWS(_xlfn.UNIQUE(_xlfn._xlws.FILTER(Pay_ID,(Pay_Period_End &gt;= J$22) * (Pay_Period_End &lt;= J$23) * (IFERROR(SEARCH(J$1,Pay_Key_Gps),0)&gt;0) * (pp_Diff_Pay_Code = 1) * (pp_Sick_Pay_Code = 1)))),0),_xlpm.perc,_xlpm.calc/_xlpm.denom,IFERROR(IF(_xlpm.calc&lt;1000,_xlfn.CONCAT(_xlpm.calc," (",TEXT(_xlpm.perc,"0.0%"),")"),_xlfn.CONCAT(TEXT(_xlpm.calc,"0,000")," (",TEXT(_xlpm.perc,"0.0%"),")")),"-"))</f>
        <v>-</v>
      </c>
      <c r="K53" s="271" t="str" cm="1">
        <f t="array" ref="K53">_xlfn.LET(_xlpm.denom,K$24,_xlpm.calc,IFERROR(ROWS(_xlfn.UNIQUE(_xlfn._xlws.FILTER(Pay_ID,(Pay_Period_End &gt;= K$22) * (Pay_Period_End &lt;= K$23) * (IFERROR(SEARCH(K$1,Pay_Key_Gps),0)&gt;0) * (pp_Diff_Pay_Code = 1) * (pp_Sick_Pay_Code = 1)))),0),_xlpm.perc,_xlpm.calc/_xlpm.denom,IFERROR(IF(_xlpm.calc&lt;1000,_xlfn.CONCAT(_xlpm.calc," (",TEXT(_xlpm.perc,"0.0%"),")"),_xlfn.CONCAT(TEXT(_xlpm.calc,"0,000")," (",TEXT(_xlpm.perc,"0.0%"),")")),"-"))</f>
        <v>-</v>
      </c>
      <c r="L53" s="271" t="str" cm="1">
        <f t="array" ref="L53">_xlfn.LET(_xlpm.denom,L$24,_xlpm.calc,IFERROR(ROWS(_xlfn.UNIQUE(_xlfn._xlws.FILTER(Pay_ID,(Pay_Period_End &gt;= L$22) * (Pay_Period_End &lt;= L$23) * (IFERROR(SEARCH(L$1,Pay_Key_Gps),0)&gt;0) * (pp_Diff_Pay_Code = 1) * (pp_Sick_Pay_Code = 1)))),0),_xlpm.perc,_xlpm.calc/_xlpm.denom,IFERROR(IF(_xlpm.calc&lt;1000,_xlfn.CONCAT(_xlpm.calc," (",TEXT(_xlpm.perc,"0.0%"),")"),_xlfn.CONCAT(TEXT(_xlpm.calc,"0,000")," (",TEXT(_xlpm.perc,"0.0%"),")")),"-"))</f>
        <v>-</v>
      </c>
      <c r="M53" s="216" t="str" cm="1">
        <f t="array" ref="M53">_xlfn.LET(_xlpm.denom,M$24,_xlpm.calc,IFERROR(ROWS(_xlfn.UNIQUE(_xlfn._xlws.FILTER(Pay_ID,(Pay_Period_End &gt;= M$22) * (Pay_Period_End &lt;= M$23) * (IFERROR(SEARCH(M$1,Pay_Key_Gps),0)&gt;0) * (pp_Diff_Pay_Code = 1) * (pp_Sick_Pay_Code = 1)))),0),_xlpm.perc,_xlpm.calc/_xlpm.denom,IFERROR(IF(_xlpm.calc&lt;1000,_xlfn.CONCAT(_xlpm.calc," (",TEXT(_xlpm.perc,"0.0%"),")"),_xlfn.CONCAT(TEXT(_xlpm.calc,"0,000")," (",TEXT(_xlpm.perc,"0.0%"),")")),"-"))</f>
        <v>-</v>
      </c>
      <c r="N53" s="272" t="s">
        <v>128</v>
      </c>
      <c r="O53" s="74"/>
      <c r="Q53" s="75" t="str">
        <f t="shared" si="22"/>
        <v/>
      </c>
      <c r="R53" s="76" t="str">
        <f t="shared" si="23"/>
        <v/>
      </c>
      <c r="S53" s="64" t="str">
        <f t="shared" si="15"/>
        <v/>
      </c>
      <c r="T53" s="42" t="str">
        <f t="shared" si="24"/>
        <v/>
      </c>
      <c r="U53" s="42" t="str">
        <f t="shared" si="25"/>
        <v/>
      </c>
      <c r="V53" s="42" t="str">
        <f t="shared" si="26"/>
        <v/>
      </c>
      <c r="W53" s="42" t="str">
        <f t="shared" si="8"/>
        <v/>
      </c>
      <c r="X53" s="42" t="str">
        <f t="shared" si="9"/>
        <v/>
      </c>
      <c r="Y53" s="42" t="str">
        <f t="shared" si="10"/>
        <v/>
      </c>
      <c r="Z53" s="42" t="str">
        <f t="shared" si="11"/>
        <v/>
      </c>
      <c r="AA53" s="42" t="str">
        <f t="shared" si="12"/>
        <v/>
      </c>
      <c r="AB53" s="42" t="str">
        <f t="shared" si="13"/>
        <v/>
      </c>
      <c r="AC53" s="42" t="str">
        <f t="shared" si="27"/>
        <v/>
      </c>
    </row>
    <row r="54" spans="1:29" outlineLevel="1" x14ac:dyDescent="0.25">
      <c r="A54" s="42">
        <v>1</v>
      </c>
      <c r="B54" s="314"/>
      <c r="C54" s="273" t="s">
        <v>90</v>
      </c>
      <c r="D54" s="217" t="str">
        <f t="shared" ref="D54:D61" ca="1" si="31">_xlfn.LET(_xlpm.denom,D$26,_xlpm.calc,ROUND($Q54*_xlpm.denom,0),_xlpm.perc,_xlpm.calc/_xlpm.denom,IFERROR(IF(_xlpm.calc&lt;1000,_xlfn.CONCAT(_xlpm.calc," (",TEXT(_xlpm.perc,"0.0%"),")"),_xlfn.CONCAT(TEXT(_xlpm.calc,"0,000")," (",TEXT(_xlpm.perc,"0.0%"),")")),"-"))</f>
        <v>-</v>
      </c>
      <c r="E54" s="274" t="str" cm="1">
        <f t="array" ref="E54">_xlfn.LET(_xlpm.denom,E$26,_xlpm.calc,IFERROR(ROWS(_xlfn.UNIQUE(_xlfn._xlws.FILTER(Pay_ID_Period_End,(Pay_Period_End &gt;= E$22) * (Pay_Period_End &lt;= E$23) * (IFERROR(SEARCH(E$1,Pay_Key_Gps),0)&gt;0) * (pp_Bon_Pay_Code = 1) * (pp_OT_Pay_Code = 1)))),0),_xlpm.perc,_xlpm.calc/_xlpm.denom,IFERROR(IF(_xlpm.calc&lt;1000,_xlfn.CONCAT(_xlpm.calc," (",TEXT(_xlpm.perc,"0.0%"),")"),_xlfn.CONCAT(TEXT(_xlpm.calc,"0,000")," (",TEXT(_xlpm.perc,"0.0%"),")")),"-"))</f>
        <v>-</v>
      </c>
      <c r="F54" s="274" t="str" cm="1">
        <f t="array" ref="F54">_xlfn.LET(_xlpm.denom,F$26,_xlpm.calc,IFERROR(ROWS(_xlfn.UNIQUE(_xlfn._xlws.FILTER(Pay_ID_Period_End,(Pay_Period_End &gt;= F$22) * (Pay_Period_End &lt;= F$23) * (IFERROR(SEARCH(F$1,Pay_Key_Gps),0)&gt;0) * (pp_Bon_Pay_Code = 1) * (pp_OT_Pay_Code = 1)))),0),_xlpm.perc,_xlpm.calc/_xlpm.denom,IFERROR(IF(_xlpm.calc&lt;1000,_xlfn.CONCAT(_xlpm.calc," (",TEXT(_xlpm.perc,"0.0%"),")"),_xlfn.CONCAT(TEXT(_xlpm.calc,"0,000")," (",TEXT(_xlpm.perc,"0.0%"),")")),"-"))</f>
        <v>-</v>
      </c>
      <c r="G54" s="274" t="str" cm="1">
        <f t="array" ref="G54">_xlfn.LET(_xlpm.denom,G$26,_xlpm.calc,IFERROR(ROWS(_xlfn.UNIQUE(_xlfn._xlws.FILTER(Pay_ID_Period_End,(Pay_Period_End &gt;= G$22) * (Pay_Period_End &lt;= G$23) * (IFERROR(SEARCH(G$1,Pay_Key_Gps),0)&gt;0) * (pp_Bon_Pay_Code = 1) * (pp_OT_Pay_Code = 1)))),0),_xlpm.perc,_xlpm.calc/_xlpm.denom,IFERROR(IF(_xlpm.calc&lt;1000,_xlfn.CONCAT(_xlpm.calc," (",TEXT(_xlpm.perc,"0.0%"),")"),_xlfn.CONCAT(TEXT(_xlpm.calc,"0,000")," (",TEXT(_xlpm.perc,"0.0%"),")")),"-"))</f>
        <v>-</v>
      </c>
      <c r="H54" s="274" t="str" cm="1">
        <f t="array" ref="H54">_xlfn.LET(_xlpm.denom,H$26,_xlpm.calc,IFERROR(ROWS(_xlfn.UNIQUE(_xlfn._xlws.FILTER(Pay_ID_Period_End,(Pay_Period_End &gt;= H$22) * (Pay_Period_End &lt;= H$23) * (IFERROR(SEARCH(H$1,Pay_Key_Gps),0)&gt;0) * (pp_Bon_Pay_Code = 1) * (pp_OT_Pay_Code = 1)))),0),_xlpm.perc,_xlpm.calc/_xlpm.denom,IFERROR(IF(_xlpm.calc&lt;1000,_xlfn.CONCAT(_xlpm.calc," (",TEXT(_xlpm.perc,"0.0%"),")"),_xlfn.CONCAT(TEXT(_xlpm.calc,"0,000")," (",TEXT(_xlpm.perc,"0.0%"),")")),"-"))</f>
        <v>-</v>
      </c>
      <c r="I54" s="274" t="str" cm="1">
        <f t="array" ref="I54">_xlfn.LET(_xlpm.denom,I$26,_xlpm.calc,IFERROR(ROWS(_xlfn.UNIQUE(_xlfn._xlws.FILTER(Pay_ID_Period_End,(Pay_Period_End &gt;= I$22) * (Pay_Period_End &lt;= I$23) * (IFERROR(SEARCH(I$1,Pay_Key_Gps),0)&gt;0) * (pp_Bon_Pay_Code = 1) * (pp_OT_Pay_Code = 1)))),0),_xlpm.perc,_xlpm.calc/_xlpm.denom,IFERROR(IF(_xlpm.calc&lt;1000,_xlfn.CONCAT(_xlpm.calc," (",TEXT(_xlpm.perc,"0.0%"),")"),_xlfn.CONCAT(TEXT(_xlpm.calc,"0,000")," (",TEXT(_xlpm.perc,"0.0%"),")")),"-"))</f>
        <v>-</v>
      </c>
      <c r="J54" s="274" t="str" cm="1">
        <f t="array" ref="J54">_xlfn.LET(_xlpm.denom,J$26,_xlpm.calc,IFERROR(ROWS(_xlfn.UNIQUE(_xlfn._xlws.FILTER(Pay_ID_Period_End,(Pay_Period_End &gt;= J$22) * (Pay_Period_End &lt;= J$23) * (IFERROR(SEARCH(J$1,Pay_Key_Gps),0)&gt;0) * (pp_Bon_Pay_Code = 1) * (pp_OT_Pay_Code = 1)))),0),_xlpm.perc,_xlpm.calc/_xlpm.denom,IFERROR(IF(_xlpm.calc&lt;1000,_xlfn.CONCAT(_xlpm.calc," (",TEXT(_xlpm.perc,"0.0%"),")"),_xlfn.CONCAT(TEXT(_xlpm.calc,"0,000")," (",TEXT(_xlpm.perc,"0.0%"),")")),"-"))</f>
        <v>-</v>
      </c>
      <c r="K54" s="274" t="str" cm="1">
        <f t="array" ref="K54">_xlfn.LET(_xlpm.denom,K$26,_xlpm.calc,IFERROR(ROWS(_xlfn.UNIQUE(_xlfn._xlws.FILTER(Pay_ID_Period_End,(Pay_Period_End &gt;= K$22) * (Pay_Period_End &lt;= K$23) * (IFERROR(SEARCH(K$1,Pay_Key_Gps),0)&gt;0) * (pp_Bon_Pay_Code = 1) * (pp_OT_Pay_Code = 1)))),0),_xlpm.perc,_xlpm.calc/_xlpm.denom,IFERROR(IF(_xlpm.calc&lt;1000,_xlfn.CONCAT(_xlpm.calc," (",TEXT(_xlpm.perc,"0.0%"),")"),_xlfn.CONCAT(TEXT(_xlpm.calc,"0,000")," (",TEXT(_xlpm.perc,"0.0%"),")")),"-"))</f>
        <v>-</v>
      </c>
      <c r="L54" s="274" t="str" cm="1">
        <f t="array" ref="L54">_xlfn.LET(_xlpm.denom,L$26,_xlpm.calc,IFERROR(ROWS(_xlfn.UNIQUE(_xlfn._xlws.FILTER(Pay_ID_Period_End,(Pay_Period_End &gt;= L$22) * (Pay_Period_End &lt;= L$23) * (IFERROR(SEARCH(L$1,Pay_Key_Gps),0)&gt;0) * (pp_Bon_Pay_Code = 1) * (pp_OT_Pay_Code = 1)))),0),_xlpm.perc,_xlpm.calc/_xlpm.denom,IFERROR(IF(_xlpm.calc&lt;1000,_xlfn.CONCAT(_xlpm.calc," (",TEXT(_xlpm.perc,"0.0%"),")"),_xlfn.CONCAT(TEXT(_xlpm.calc,"0,000")," (",TEXT(_xlpm.perc,"0.0%"),")")),"-"))</f>
        <v>-</v>
      </c>
      <c r="M54" s="219" t="str" cm="1">
        <f t="array" ref="M54">_xlfn.LET(_xlpm.denom,M$26,_xlpm.calc,IFERROR(ROWS(_xlfn.UNIQUE(_xlfn._xlws.FILTER(Pay_ID_Period_End,(Pay_Period_End &gt;= M$22) * (Pay_Period_End &lt;= M$23) * (IFERROR(SEARCH(M$1,Pay_Key_Gps),0)&gt;0) * (pp_Bon_Pay_Code = 1) * (pp_OT_Pay_Code = 1)))),0),_xlpm.perc,_xlpm.calc/_xlpm.denom,IFERROR(IF(_xlpm.calc&lt;1000,_xlfn.CONCAT(_xlpm.calc," (",TEXT(_xlpm.perc,"0.0%"),")"),_xlfn.CONCAT(TEXT(_xlpm.calc,"0,000")," (",TEXT(_xlpm.perc,"0.0%"),")")),"-"))</f>
        <v>-</v>
      </c>
      <c r="N54" s="275" t="s">
        <v>80</v>
      </c>
      <c r="O54" s="74"/>
      <c r="Q54" s="75" t="str">
        <f t="shared" si="22"/>
        <v/>
      </c>
      <c r="R54" s="76" t="e">
        <f t="shared" si="23"/>
        <v>#VALUE!</v>
      </c>
      <c r="S54" s="64">
        <f t="shared" si="15"/>
        <v>1</v>
      </c>
      <c r="T54" s="42" t="str">
        <f t="shared" ca="1" si="24"/>
        <v>-</v>
      </c>
      <c r="U54" s="42" t="str">
        <f t="shared" si="25"/>
        <v>-</v>
      </c>
      <c r="V54" s="42" t="str">
        <f t="shared" si="26"/>
        <v>-</v>
      </c>
      <c r="W54" s="42" t="str">
        <f t="shared" si="8"/>
        <v>-</v>
      </c>
      <c r="X54" s="42" t="str">
        <f t="shared" si="9"/>
        <v>-</v>
      </c>
      <c r="Y54" s="42" t="str">
        <f t="shared" si="10"/>
        <v>-</v>
      </c>
      <c r="Z54" s="42" t="str">
        <f t="shared" si="11"/>
        <v>-</v>
      </c>
      <c r="AA54" s="42" t="str">
        <f t="shared" si="12"/>
        <v>-</v>
      </c>
      <c r="AB54" s="42" t="str">
        <f t="shared" si="13"/>
        <v>-</v>
      </c>
      <c r="AC54" s="42" t="str">
        <f t="shared" si="27"/>
        <v>-</v>
      </c>
    </row>
    <row r="55" spans="1:29" outlineLevel="1" x14ac:dyDescent="0.3">
      <c r="A55" s="83">
        <v>1</v>
      </c>
      <c r="B55" s="314"/>
      <c r="C55" s="273" t="s">
        <v>91</v>
      </c>
      <c r="D55" s="217" t="str">
        <f t="shared" ca="1" si="31"/>
        <v>-</v>
      </c>
      <c r="E55" s="274" t="str" cm="1">
        <f t="array" ref="E55">_xlfn.LET(_xlpm.denom,E$26,_xlpm.calc,IFERROR(ROWS(_xlfn.UNIQUE(_xlfn._xlws.FILTER(Pay_ID_Period_End,(Pay_Period_End &gt;= E$22) * (Pay_Period_End &lt;= E$23) * (IFERROR(SEARCH(E$1,Pay_Key_Gps),0)&gt;0) * (pp_Meal_Pay_Code = 1) * (pp_Bon_Pay_Code = 1)))),0),_xlpm.perc,_xlpm.calc/_xlpm.denom,IFERROR(IF(_xlpm.calc&lt;1000,_xlfn.CONCAT(_xlpm.calc," (",TEXT(_xlpm.perc,"0.0%"),")"),_xlfn.CONCAT(TEXT(_xlpm.calc,"0,000")," (",TEXT(_xlpm.perc,"0.0%"),")")),"-"))</f>
        <v>-</v>
      </c>
      <c r="F55" s="274" t="str" cm="1">
        <f t="array" ref="F55">_xlfn.LET(_xlpm.denom,F$26,_xlpm.calc,IFERROR(ROWS(_xlfn.UNIQUE(_xlfn._xlws.FILTER(Pay_ID_Period_End,(Pay_Period_End &gt;= F$22) * (Pay_Period_End &lt;= F$23) * (IFERROR(SEARCH(F$1,Pay_Key_Gps),0)&gt;0) * (pp_Meal_Pay_Code = 1) * (pp_Bon_Pay_Code = 1)))),0),_xlpm.perc,_xlpm.calc/_xlpm.denom,IFERROR(IF(_xlpm.calc&lt;1000,_xlfn.CONCAT(_xlpm.calc," (",TEXT(_xlpm.perc,"0.0%"),")"),_xlfn.CONCAT(TEXT(_xlpm.calc,"0,000")," (",TEXT(_xlpm.perc,"0.0%"),")")),"-"))</f>
        <v>-</v>
      </c>
      <c r="G55" s="274" t="str" cm="1">
        <f t="array" ref="G55">_xlfn.LET(_xlpm.denom,G$26,_xlpm.calc,IFERROR(ROWS(_xlfn.UNIQUE(_xlfn._xlws.FILTER(Pay_ID_Period_End,(Pay_Period_End &gt;= G$22) * (Pay_Period_End &lt;= G$23) * (IFERROR(SEARCH(G$1,Pay_Key_Gps),0)&gt;0) * (pp_Meal_Pay_Code = 1) * (pp_Bon_Pay_Code = 1)))),0),_xlpm.perc,_xlpm.calc/_xlpm.denom,IFERROR(IF(_xlpm.calc&lt;1000,_xlfn.CONCAT(_xlpm.calc," (",TEXT(_xlpm.perc,"0.0%"),")"),_xlfn.CONCAT(TEXT(_xlpm.calc,"0,000")," (",TEXT(_xlpm.perc,"0.0%"),")")),"-"))</f>
        <v>-</v>
      </c>
      <c r="H55" s="274" t="str" cm="1">
        <f t="array" ref="H55">_xlfn.LET(_xlpm.denom,H$26,_xlpm.calc,IFERROR(ROWS(_xlfn.UNIQUE(_xlfn._xlws.FILTER(Pay_ID_Period_End,(Pay_Period_End &gt;= H$22) * (Pay_Period_End &lt;= H$23) * (IFERROR(SEARCH(H$1,Pay_Key_Gps),0)&gt;0) * (pp_Meal_Pay_Code = 1) * (pp_Bon_Pay_Code = 1)))),0),_xlpm.perc,_xlpm.calc/_xlpm.denom,IFERROR(IF(_xlpm.calc&lt;1000,_xlfn.CONCAT(_xlpm.calc," (",TEXT(_xlpm.perc,"0.0%"),")"),_xlfn.CONCAT(TEXT(_xlpm.calc,"0,000")," (",TEXT(_xlpm.perc,"0.0%"),")")),"-"))</f>
        <v>-</v>
      </c>
      <c r="I55" s="274" t="str" cm="1">
        <f t="array" ref="I55">_xlfn.LET(_xlpm.denom,I$26,_xlpm.calc,IFERROR(ROWS(_xlfn.UNIQUE(_xlfn._xlws.FILTER(Pay_ID_Period_End,(Pay_Period_End &gt;= I$22) * (Pay_Period_End &lt;= I$23) * (IFERROR(SEARCH(I$1,Pay_Key_Gps),0)&gt;0) * (pp_Meal_Pay_Code = 1) * (pp_Bon_Pay_Code = 1)))),0),_xlpm.perc,_xlpm.calc/_xlpm.denom,IFERROR(IF(_xlpm.calc&lt;1000,_xlfn.CONCAT(_xlpm.calc," (",TEXT(_xlpm.perc,"0.0%"),")"),_xlfn.CONCAT(TEXT(_xlpm.calc,"0,000")," (",TEXT(_xlpm.perc,"0.0%"),")")),"-"))</f>
        <v>-</v>
      </c>
      <c r="J55" s="274" t="str" cm="1">
        <f t="array" ref="J55">_xlfn.LET(_xlpm.denom,J$26,_xlpm.calc,IFERROR(ROWS(_xlfn.UNIQUE(_xlfn._xlws.FILTER(Pay_ID_Period_End,(Pay_Period_End &gt;= J$22) * (Pay_Period_End &lt;= J$23) * (IFERROR(SEARCH(J$1,Pay_Key_Gps),0)&gt;0) * (pp_Meal_Pay_Code = 1) * (pp_Bon_Pay_Code = 1)))),0),_xlpm.perc,_xlpm.calc/_xlpm.denom,IFERROR(IF(_xlpm.calc&lt;1000,_xlfn.CONCAT(_xlpm.calc," (",TEXT(_xlpm.perc,"0.0%"),")"),_xlfn.CONCAT(TEXT(_xlpm.calc,"0,000")," (",TEXT(_xlpm.perc,"0.0%"),")")),"-"))</f>
        <v>-</v>
      </c>
      <c r="K55" s="274" t="str" cm="1">
        <f t="array" ref="K55">_xlfn.LET(_xlpm.denom,K$26,_xlpm.calc,IFERROR(ROWS(_xlfn.UNIQUE(_xlfn._xlws.FILTER(Pay_ID_Period_End,(Pay_Period_End &gt;= K$22) * (Pay_Period_End &lt;= K$23) * (IFERROR(SEARCH(K$1,Pay_Key_Gps),0)&gt;0) * (pp_Meal_Pay_Code = 1) * (pp_Bon_Pay_Code = 1)))),0),_xlpm.perc,_xlpm.calc/_xlpm.denom,IFERROR(IF(_xlpm.calc&lt;1000,_xlfn.CONCAT(_xlpm.calc," (",TEXT(_xlpm.perc,"0.0%"),")"),_xlfn.CONCAT(TEXT(_xlpm.calc,"0,000")," (",TEXT(_xlpm.perc,"0.0%"),")")),"-"))</f>
        <v>-</v>
      </c>
      <c r="L55" s="274" t="str" cm="1">
        <f t="array" ref="L55">_xlfn.LET(_xlpm.denom,L$26,_xlpm.calc,IFERROR(ROWS(_xlfn.UNIQUE(_xlfn._xlws.FILTER(Pay_ID_Period_End,(Pay_Period_End &gt;= L$22) * (Pay_Period_End &lt;= L$23) * (IFERROR(SEARCH(L$1,Pay_Key_Gps),0)&gt;0) * (pp_Meal_Pay_Code = 1) * (pp_Bon_Pay_Code = 1)))),0),_xlpm.perc,_xlpm.calc/_xlpm.denom,IFERROR(IF(_xlpm.calc&lt;1000,_xlfn.CONCAT(_xlpm.calc," (",TEXT(_xlpm.perc,"0.0%"),")"),_xlfn.CONCAT(TEXT(_xlpm.calc,"0,000")," (",TEXT(_xlpm.perc,"0.0%"),")")),"-"))</f>
        <v>-</v>
      </c>
      <c r="M55" s="219" t="str" cm="1">
        <f t="array" ref="M55">_xlfn.LET(_xlpm.denom,M$26,_xlpm.calc,IFERROR(ROWS(_xlfn.UNIQUE(_xlfn._xlws.FILTER(Pay_ID_Period_End,(Pay_Period_End &gt;= M$22) * (Pay_Period_End &lt;= M$23) * (IFERROR(SEARCH(M$1,Pay_Key_Gps),0)&gt;0) * (pp_Meal_Pay_Code = 1) * (pp_Bon_Pay_Code = 1)))),0),_xlpm.perc,_xlpm.calc/_xlpm.denom,IFERROR(IF(_xlpm.calc&lt;1000,_xlfn.CONCAT(_xlpm.calc," (",TEXT(_xlpm.perc,"0.0%"),")"),_xlfn.CONCAT(TEXT(_xlpm.calc,"0,000")," (",TEXT(_xlpm.perc,"0.0%"),")")),"-"))</f>
        <v>-</v>
      </c>
      <c r="N55" s="275" t="s">
        <v>80</v>
      </c>
      <c r="O55" s="74"/>
      <c r="Q55" s="75" t="str">
        <f t="shared" si="22"/>
        <v/>
      </c>
      <c r="R55" s="76" t="e">
        <f t="shared" si="23"/>
        <v>#VALUE!</v>
      </c>
      <c r="S55" s="64">
        <f t="shared" si="15"/>
        <v>1</v>
      </c>
      <c r="T55" s="42" t="str">
        <f t="shared" ca="1" si="24"/>
        <v>-</v>
      </c>
      <c r="U55" s="42" t="str">
        <f t="shared" si="25"/>
        <v>-</v>
      </c>
      <c r="V55" s="42" t="str">
        <f t="shared" si="26"/>
        <v>-</v>
      </c>
      <c r="W55" s="42" t="str">
        <f t="shared" si="8"/>
        <v>-</v>
      </c>
      <c r="X55" s="42" t="str">
        <f t="shared" si="9"/>
        <v>-</v>
      </c>
      <c r="Y55" s="42" t="str">
        <f t="shared" si="10"/>
        <v>-</v>
      </c>
      <c r="Z55" s="42" t="str">
        <f t="shared" si="11"/>
        <v>-</v>
      </c>
      <c r="AA55" s="42" t="str">
        <f t="shared" si="12"/>
        <v>-</v>
      </c>
      <c r="AB55" s="42" t="str">
        <f t="shared" si="13"/>
        <v>-</v>
      </c>
      <c r="AC55" s="42" t="str">
        <f t="shared" si="27"/>
        <v>-</v>
      </c>
    </row>
    <row r="56" spans="1:29" outlineLevel="1" x14ac:dyDescent="0.3">
      <c r="A56" s="83">
        <v>1</v>
      </c>
      <c r="B56" s="314"/>
      <c r="C56" s="273" t="s">
        <v>586</v>
      </c>
      <c r="D56" s="217" t="str">
        <f t="shared" ca="1" si="31"/>
        <v>-</v>
      </c>
      <c r="E56" s="274" t="str" cm="1">
        <f t="array" ref="E56">_xlfn.LET(_xlpm.denom,E$26,_xlpm.calc,IFERROR(ROWS(_xlfn.UNIQUE(_xlfn._xlws.FILTER(Pay_ID_Period_End,(Pay_Period_End &gt;= E$22) * (Pay_Period_End &lt;= E$23) * (IFERROR(SEARCH(E$1,Pay_Key_Gps),0)&gt;0) * (pp_Rest_Pay_Code = 1) * (pp_Bon_Pay_Code = 1)))),0),_xlpm.perc,_xlpm.calc/_xlpm.denom,IFERROR(IF(_xlpm.calc&lt;1000,_xlfn.CONCAT(_xlpm.calc," (",TEXT(_xlpm.perc,"0.0%"),")"),_xlfn.CONCAT(TEXT(_xlpm.calc,"0,000")," (",TEXT(_xlpm.perc,"0.0%"),")")),"-"))</f>
        <v>-</v>
      </c>
      <c r="F56" s="274" t="str" cm="1">
        <f t="array" ref="F56">_xlfn.LET(_xlpm.denom,F$26,_xlpm.calc,IFERROR(ROWS(_xlfn.UNIQUE(_xlfn._xlws.FILTER(Pay_ID_Period_End,(Pay_Period_End &gt;= F$22) * (Pay_Period_End &lt;= F$23) * (IFERROR(SEARCH(F$1,Pay_Key_Gps),0)&gt;0) * (pp_Rest_Pay_Code = 1) * (pp_Bon_Pay_Code = 1)))),0),_xlpm.perc,_xlpm.calc/_xlpm.denom,IFERROR(IF(_xlpm.calc&lt;1000,_xlfn.CONCAT(_xlpm.calc," (",TEXT(_xlpm.perc,"0.0%"),")"),_xlfn.CONCAT(TEXT(_xlpm.calc,"0,000")," (",TEXT(_xlpm.perc,"0.0%"),")")),"-"))</f>
        <v>-</v>
      </c>
      <c r="G56" s="274" t="str" cm="1">
        <f t="array" ref="G56">_xlfn.LET(_xlpm.denom,G$26,_xlpm.calc,IFERROR(ROWS(_xlfn.UNIQUE(_xlfn._xlws.FILTER(Pay_ID_Period_End,(Pay_Period_End &gt;= G$22) * (Pay_Period_End &lt;= G$23) * (IFERROR(SEARCH(G$1,Pay_Key_Gps),0)&gt;0) * (pp_Rest_Pay_Code = 1) * (pp_Bon_Pay_Code = 1)))),0),_xlpm.perc,_xlpm.calc/_xlpm.denom,IFERROR(IF(_xlpm.calc&lt;1000,_xlfn.CONCAT(_xlpm.calc," (",TEXT(_xlpm.perc,"0.0%"),")"),_xlfn.CONCAT(TEXT(_xlpm.calc,"0,000")," (",TEXT(_xlpm.perc,"0.0%"),")")),"-"))</f>
        <v>-</v>
      </c>
      <c r="H56" s="274" t="str" cm="1">
        <f t="array" ref="H56">_xlfn.LET(_xlpm.denom,H$26,_xlpm.calc,IFERROR(ROWS(_xlfn.UNIQUE(_xlfn._xlws.FILTER(Pay_ID_Period_End,(Pay_Period_End &gt;= H$22) * (Pay_Period_End &lt;= H$23) * (IFERROR(SEARCH(H$1,Pay_Key_Gps),0)&gt;0) * (pp_Rest_Pay_Code = 1) * (pp_Bon_Pay_Code = 1)))),0),_xlpm.perc,_xlpm.calc/_xlpm.denom,IFERROR(IF(_xlpm.calc&lt;1000,_xlfn.CONCAT(_xlpm.calc," (",TEXT(_xlpm.perc,"0.0%"),")"),_xlfn.CONCAT(TEXT(_xlpm.calc,"0,000")," (",TEXT(_xlpm.perc,"0.0%"),")")),"-"))</f>
        <v>-</v>
      </c>
      <c r="I56" s="274" t="str" cm="1">
        <f t="array" ref="I56">_xlfn.LET(_xlpm.denom,I$26,_xlpm.calc,IFERROR(ROWS(_xlfn.UNIQUE(_xlfn._xlws.FILTER(Pay_ID_Period_End,(Pay_Period_End &gt;= I$22) * (Pay_Period_End &lt;= I$23) * (IFERROR(SEARCH(I$1,Pay_Key_Gps),0)&gt;0) * (pp_Rest_Pay_Code = 1) * (pp_Bon_Pay_Code = 1)))),0),_xlpm.perc,_xlpm.calc/_xlpm.denom,IFERROR(IF(_xlpm.calc&lt;1000,_xlfn.CONCAT(_xlpm.calc," (",TEXT(_xlpm.perc,"0.0%"),")"),_xlfn.CONCAT(TEXT(_xlpm.calc,"0,000")," (",TEXT(_xlpm.perc,"0.0%"),")")),"-"))</f>
        <v>-</v>
      </c>
      <c r="J56" s="274" t="str" cm="1">
        <f t="array" ref="J56">_xlfn.LET(_xlpm.denom,J$26,_xlpm.calc,IFERROR(ROWS(_xlfn.UNIQUE(_xlfn._xlws.FILTER(Pay_ID_Period_End,(Pay_Period_End &gt;= J$22) * (Pay_Period_End &lt;= J$23) * (IFERROR(SEARCH(J$1,Pay_Key_Gps),0)&gt;0) * (pp_Rest_Pay_Code = 1) * (pp_Bon_Pay_Code = 1)))),0),_xlpm.perc,_xlpm.calc/_xlpm.denom,IFERROR(IF(_xlpm.calc&lt;1000,_xlfn.CONCAT(_xlpm.calc," (",TEXT(_xlpm.perc,"0.0%"),")"),_xlfn.CONCAT(TEXT(_xlpm.calc,"0,000")," (",TEXT(_xlpm.perc,"0.0%"),")")),"-"))</f>
        <v>-</v>
      </c>
      <c r="K56" s="274" t="str" cm="1">
        <f t="array" ref="K56">_xlfn.LET(_xlpm.denom,K$26,_xlpm.calc,IFERROR(ROWS(_xlfn.UNIQUE(_xlfn._xlws.FILTER(Pay_ID_Period_End,(Pay_Period_End &gt;= K$22) * (Pay_Period_End &lt;= K$23) * (IFERROR(SEARCH(K$1,Pay_Key_Gps),0)&gt;0) * (pp_Rest_Pay_Code = 1) * (pp_Bon_Pay_Code = 1)))),0),_xlpm.perc,_xlpm.calc/_xlpm.denom,IFERROR(IF(_xlpm.calc&lt;1000,_xlfn.CONCAT(_xlpm.calc," (",TEXT(_xlpm.perc,"0.0%"),")"),_xlfn.CONCAT(TEXT(_xlpm.calc,"0,000")," (",TEXT(_xlpm.perc,"0.0%"),")")),"-"))</f>
        <v>-</v>
      </c>
      <c r="L56" s="274" t="str" cm="1">
        <f t="array" ref="L56">_xlfn.LET(_xlpm.denom,L$26,_xlpm.calc,IFERROR(ROWS(_xlfn.UNIQUE(_xlfn._xlws.FILTER(Pay_ID_Period_End,(Pay_Period_End &gt;= L$22) * (Pay_Period_End &lt;= L$23) * (IFERROR(SEARCH(L$1,Pay_Key_Gps),0)&gt;0) * (pp_Rest_Pay_Code = 1) * (pp_Bon_Pay_Code = 1)))),0),_xlpm.perc,_xlpm.calc/_xlpm.denom,IFERROR(IF(_xlpm.calc&lt;1000,_xlfn.CONCAT(_xlpm.calc," (",TEXT(_xlpm.perc,"0.0%"),")"),_xlfn.CONCAT(TEXT(_xlpm.calc,"0,000")," (",TEXT(_xlpm.perc,"0.0%"),")")),"-"))</f>
        <v>-</v>
      </c>
      <c r="M56" s="219" t="str" cm="1">
        <f t="array" ref="M56">_xlfn.LET(_xlpm.denom,M$26,_xlpm.calc,IFERROR(ROWS(_xlfn.UNIQUE(_xlfn._xlws.FILTER(Pay_ID_Period_End,(Pay_Period_End &gt;= M$22) * (Pay_Period_End &lt;= M$23) * (IFERROR(SEARCH(M$1,Pay_Key_Gps),0)&gt;0) * (pp_Rest_Pay_Code = 1) * (pp_Bon_Pay_Code = 1)))),0),_xlpm.perc,_xlpm.calc/_xlpm.denom,IFERROR(IF(_xlpm.calc&lt;1000,_xlfn.CONCAT(_xlpm.calc," (",TEXT(_xlpm.perc,"0.0%"),")"),_xlfn.CONCAT(TEXT(_xlpm.calc,"0,000")," (",TEXT(_xlpm.perc,"0.0%"),")")),"-"))</f>
        <v>-</v>
      </c>
      <c r="N56" s="275" t="s">
        <v>80</v>
      </c>
      <c r="O56" s="74"/>
      <c r="Q56" s="75" t="str">
        <f t="shared" si="22"/>
        <v/>
      </c>
      <c r="R56" s="76" t="e">
        <f t="shared" si="23"/>
        <v>#VALUE!</v>
      </c>
      <c r="S56" s="64">
        <f t="shared" si="15"/>
        <v>1</v>
      </c>
      <c r="T56" s="42" t="str">
        <f t="shared" ca="1" si="24"/>
        <v>-</v>
      </c>
      <c r="U56" s="42" t="str">
        <f t="shared" si="25"/>
        <v>-</v>
      </c>
      <c r="V56" s="42" t="str">
        <f t="shared" si="26"/>
        <v>-</v>
      </c>
      <c r="W56" s="42" t="str">
        <f t="shared" si="8"/>
        <v>-</v>
      </c>
      <c r="X56" s="42" t="str">
        <f t="shared" si="9"/>
        <v>-</v>
      </c>
      <c r="Y56" s="42" t="str">
        <f t="shared" si="10"/>
        <v>-</v>
      </c>
      <c r="Z56" s="42" t="str">
        <f t="shared" si="11"/>
        <v>-</v>
      </c>
      <c r="AA56" s="42" t="str">
        <f t="shared" si="12"/>
        <v>-</v>
      </c>
      <c r="AB56" s="42" t="str">
        <f t="shared" si="13"/>
        <v>-</v>
      </c>
      <c r="AC56" s="42" t="str">
        <f t="shared" si="27"/>
        <v>-</v>
      </c>
    </row>
    <row r="57" spans="1:29" outlineLevel="1" x14ac:dyDescent="0.3">
      <c r="A57" s="83">
        <v>1</v>
      </c>
      <c r="B57" s="314"/>
      <c r="C57" s="273" t="s">
        <v>92</v>
      </c>
      <c r="D57" s="217" t="str">
        <f t="shared" ca="1" si="31"/>
        <v>-</v>
      </c>
      <c r="E57" s="274" t="str" cm="1">
        <f t="array" ref="E57">_xlfn.LET(_xlpm.denom,E$26,_xlpm.calc,IFERROR(ROWS(_xlfn.UNIQUE(_xlfn._xlws.FILTER(Pay_ID_Period_End,(Pay_Period_End &gt;= E$22) * (Pay_Period_End &lt;= E$23) * (IFERROR(SEARCH(E$1,Pay_Key_Gps),0)&gt;0) * (pp_Sick_Pay_Code = 1) * (pp_Bon_Pay_Code = 1)))),0),_xlpm.perc,_xlpm.calc/_xlpm.denom,IFERROR(IF(_xlpm.calc&lt;1000,_xlfn.CONCAT(_xlpm.calc," (",TEXT(_xlpm.perc,"0.0%"),")"),_xlfn.CONCAT(TEXT(_xlpm.calc,"0,000")," (",TEXT(_xlpm.perc,"0.0%"),")")),"-"))</f>
        <v>-</v>
      </c>
      <c r="F57" s="274" t="str" cm="1">
        <f t="array" ref="F57">_xlfn.LET(_xlpm.denom,F$26,_xlpm.calc,IFERROR(ROWS(_xlfn.UNIQUE(_xlfn._xlws.FILTER(Pay_ID_Period_End,(Pay_Period_End &gt;= F$22) * (Pay_Period_End &lt;= F$23) * (IFERROR(SEARCH(F$1,Pay_Key_Gps),0)&gt;0) * (pp_Sick_Pay_Code = 1) * (pp_Bon_Pay_Code = 1)))),0),_xlpm.perc,_xlpm.calc/_xlpm.denom,IFERROR(IF(_xlpm.calc&lt;1000,_xlfn.CONCAT(_xlpm.calc," (",TEXT(_xlpm.perc,"0.0%"),")"),_xlfn.CONCAT(TEXT(_xlpm.calc,"0,000")," (",TEXT(_xlpm.perc,"0.0%"),")")),"-"))</f>
        <v>-</v>
      </c>
      <c r="G57" s="274" t="str" cm="1">
        <f t="array" ref="G57">_xlfn.LET(_xlpm.denom,G$26,_xlpm.calc,IFERROR(ROWS(_xlfn.UNIQUE(_xlfn._xlws.FILTER(Pay_ID_Period_End,(Pay_Period_End &gt;= G$22) * (Pay_Period_End &lt;= G$23) * (IFERROR(SEARCH(G$1,Pay_Key_Gps),0)&gt;0) * (pp_Sick_Pay_Code = 1) * (pp_Bon_Pay_Code = 1)))),0),_xlpm.perc,_xlpm.calc/_xlpm.denom,IFERROR(IF(_xlpm.calc&lt;1000,_xlfn.CONCAT(_xlpm.calc," (",TEXT(_xlpm.perc,"0.0%"),")"),_xlfn.CONCAT(TEXT(_xlpm.calc,"0,000")," (",TEXT(_xlpm.perc,"0.0%"),")")),"-"))</f>
        <v>-</v>
      </c>
      <c r="H57" s="274" t="str" cm="1">
        <f t="array" ref="H57">_xlfn.LET(_xlpm.denom,H$26,_xlpm.calc,IFERROR(ROWS(_xlfn.UNIQUE(_xlfn._xlws.FILTER(Pay_ID_Period_End,(Pay_Period_End &gt;= H$22) * (Pay_Period_End &lt;= H$23) * (IFERROR(SEARCH(H$1,Pay_Key_Gps),0)&gt;0) * (pp_Sick_Pay_Code = 1) * (pp_Bon_Pay_Code = 1)))),0),_xlpm.perc,_xlpm.calc/_xlpm.denom,IFERROR(IF(_xlpm.calc&lt;1000,_xlfn.CONCAT(_xlpm.calc," (",TEXT(_xlpm.perc,"0.0%"),")"),_xlfn.CONCAT(TEXT(_xlpm.calc,"0,000")," (",TEXT(_xlpm.perc,"0.0%"),")")),"-"))</f>
        <v>-</v>
      </c>
      <c r="I57" s="274" t="str" cm="1">
        <f t="array" ref="I57">_xlfn.LET(_xlpm.denom,I$26,_xlpm.calc,IFERROR(ROWS(_xlfn.UNIQUE(_xlfn._xlws.FILTER(Pay_ID_Period_End,(Pay_Period_End &gt;= I$22) * (Pay_Period_End &lt;= I$23) * (IFERROR(SEARCH(I$1,Pay_Key_Gps),0)&gt;0) * (pp_Sick_Pay_Code = 1) * (pp_Bon_Pay_Code = 1)))),0),_xlpm.perc,_xlpm.calc/_xlpm.denom,IFERROR(IF(_xlpm.calc&lt;1000,_xlfn.CONCAT(_xlpm.calc," (",TEXT(_xlpm.perc,"0.0%"),")"),_xlfn.CONCAT(TEXT(_xlpm.calc,"0,000")," (",TEXT(_xlpm.perc,"0.0%"),")")),"-"))</f>
        <v>-</v>
      </c>
      <c r="J57" s="274" t="str" cm="1">
        <f t="array" ref="J57">_xlfn.LET(_xlpm.denom,J$26,_xlpm.calc,IFERROR(ROWS(_xlfn.UNIQUE(_xlfn._xlws.FILTER(Pay_ID_Period_End,(Pay_Period_End &gt;= J$22) * (Pay_Period_End &lt;= J$23) * (IFERROR(SEARCH(J$1,Pay_Key_Gps),0)&gt;0) * (pp_Sick_Pay_Code = 1) * (pp_Bon_Pay_Code = 1)))),0),_xlpm.perc,_xlpm.calc/_xlpm.denom,IFERROR(IF(_xlpm.calc&lt;1000,_xlfn.CONCAT(_xlpm.calc," (",TEXT(_xlpm.perc,"0.0%"),")"),_xlfn.CONCAT(TEXT(_xlpm.calc,"0,000")," (",TEXT(_xlpm.perc,"0.0%"),")")),"-"))</f>
        <v>-</v>
      </c>
      <c r="K57" s="274" t="str" cm="1">
        <f t="array" ref="K57">_xlfn.LET(_xlpm.denom,K$26,_xlpm.calc,IFERROR(ROWS(_xlfn.UNIQUE(_xlfn._xlws.FILTER(Pay_ID_Period_End,(Pay_Period_End &gt;= K$22) * (Pay_Period_End &lt;= K$23) * (IFERROR(SEARCH(K$1,Pay_Key_Gps),0)&gt;0) * (pp_Sick_Pay_Code = 1) * (pp_Bon_Pay_Code = 1)))),0),_xlpm.perc,_xlpm.calc/_xlpm.denom,IFERROR(IF(_xlpm.calc&lt;1000,_xlfn.CONCAT(_xlpm.calc," (",TEXT(_xlpm.perc,"0.0%"),")"),_xlfn.CONCAT(TEXT(_xlpm.calc,"0,000")," (",TEXT(_xlpm.perc,"0.0%"),")")),"-"))</f>
        <v>-</v>
      </c>
      <c r="L57" s="274" t="str" cm="1">
        <f t="array" ref="L57">_xlfn.LET(_xlpm.denom,L$26,_xlpm.calc,IFERROR(ROWS(_xlfn.UNIQUE(_xlfn._xlws.FILTER(Pay_ID_Period_End,(Pay_Period_End &gt;= L$22) * (Pay_Period_End &lt;= L$23) * (IFERROR(SEARCH(L$1,Pay_Key_Gps),0)&gt;0) * (pp_Sick_Pay_Code = 1) * (pp_Bon_Pay_Code = 1)))),0),_xlpm.perc,_xlpm.calc/_xlpm.denom,IFERROR(IF(_xlpm.calc&lt;1000,_xlfn.CONCAT(_xlpm.calc," (",TEXT(_xlpm.perc,"0.0%"),")"),_xlfn.CONCAT(TEXT(_xlpm.calc,"0,000")," (",TEXT(_xlpm.perc,"0.0%"),")")),"-"))</f>
        <v>-</v>
      </c>
      <c r="M57" s="219" t="str" cm="1">
        <f t="array" ref="M57">_xlfn.LET(_xlpm.denom,M$26,_xlpm.calc,IFERROR(ROWS(_xlfn.UNIQUE(_xlfn._xlws.FILTER(Pay_ID_Period_End,(Pay_Period_End &gt;= M$22) * (Pay_Period_End &lt;= M$23) * (IFERROR(SEARCH(M$1,Pay_Key_Gps),0)&gt;0) * (pp_Sick_Pay_Code = 1) * (pp_Bon_Pay_Code = 1)))),0),_xlpm.perc,_xlpm.calc/_xlpm.denom,IFERROR(IF(_xlpm.calc&lt;1000,_xlfn.CONCAT(_xlpm.calc," (",TEXT(_xlpm.perc,"0.0%"),")"),_xlfn.CONCAT(TEXT(_xlpm.calc,"0,000")," (",TEXT(_xlpm.perc,"0.0%"),")")),"-"))</f>
        <v>-</v>
      </c>
      <c r="N57" s="275" t="s">
        <v>80</v>
      </c>
      <c r="O57" s="74"/>
      <c r="Q57" s="75" t="str">
        <f t="shared" si="22"/>
        <v/>
      </c>
      <c r="R57" s="76" t="e">
        <f t="shared" si="23"/>
        <v>#VALUE!</v>
      </c>
      <c r="S57" s="64">
        <f t="shared" si="15"/>
        <v>1</v>
      </c>
      <c r="T57" s="42" t="str">
        <f t="shared" ca="1" si="24"/>
        <v>-</v>
      </c>
      <c r="U57" s="42" t="str">
        <f t="shared" si="25"/>
        <v>-</v>
      </c>
      <c r="V57" s="42" t="str">
        <f t="shared" si="26"/>
        <v>-</v>
      </c>
      <c r="W57" s="42" t="str">
        <f t="shared" si="8"/>
        <v>-</v>
      </c>
      <c r="X57" s="42" t="str">
        <f t="shared" si="9"/>
        <v>-</v>
      </c>
      <c r="Y57" s="42" t="str">
        <f t="shared" si="10"/>
        <v>-</v>
      </c>
      <c r="Z57" s="42" t="str">
        <f t="shared" si="11"/>
        <v>-</v>
      </c>
      <c r="AA57" s="42" t="str">
        <f t="shared" si="12"/>
        <v>-</v>
      </c>
      <c r="AB57" s="42" t="str">
        <f t="shared" si="13"/>
        <v>-</v>
      </c>
      <c r="AC57" s="42" t="str">
        <f t="shared" si="27"/>
        <v>-</v>
      </c>
    </row>
    <row r="58" spans="1:29" outlineLevel="1" x14ac:dyDescent="0.3">
      <c r="A58" s="83">
        <v>1</v>
      </c>
      <c r="B58" s="314"/>
      <c r="C58" s="273" t="s">
        <v>93</v>
      </c>
      <c r="D58" s="217" t="str">
        <f t="shared" ca="1" si="31"/>
        <v>-</v>
      </c>
      <c r="E58" s="274" t="str" cm="1">
        <f t="array" ref="E58">_xlfn.LET(_xlpm.denom,E$26,_xlpm.calc,IFERROR(ROWS(_xlfn.UNIQUE(_xlfn._xlws.FILTER(Pay_ID_Period_End,(Pay_Period_End &gt;= E$22) * (Pay_Period_End &lt;= E$23) * (IFERROR(SEARCH(E$1,Pay_Key_Gps),0)&gt;0) * (pp_Diff_Pay_Code = 1) * (pp_OT_Pay_Code = 1)))),0),_xlpm.perc,_xlpm.calc/_xlpm.denom,IFERROR(IF(_xlpm.calc&lt;1000,_xlfn.CONCAT(_xlpm.calc," (",TEXT(_xlpm.perc,"0.0%"),")"),_xlfn.CONCAT(TEXT(_xlpm.calc,"0,000")," (",TEXT(_xlpm.perc,"0.0%"),")")),"-"))</f>
        <v>-</v>
      </c>
      <c r="F58" s="274" t="str" cm="1">
        <f t="array" ref="F58">_xlfn.LET(_xlpm.denom,F$26,_xlpm.calc,IFERROR(ROWS(_xlfn.UNIQUE(_xlfn._xlws.FILTER(Pay_ID_Period_End,(Pay_Period_End &gt;= F$22) * (Pay_Period_End &lt;= F$23) * (IFERROR(SEARCH(F$1,Pay_Key_Gps),0)&gt;0) * (pp_Diff_Pay_Code = 1) * (pp_OT_Pay_Code = 1)))),0),_xlpm.perc,_xlpm.calc/_xlpm.denom,IFERROR(IF(_xlpm.calc&lt;1000,_xlfn.CONCAT(_xlpm.calc," (",TEXT(_xlpm.perc,"0.0%"),")"),_xlfn.CONCAT(TEXT(_xlpm.calc,"0,000")," (",TEXT(_xlpm.perc,"0.0%"),")")),"-"))</f>
        <v>-</v>
      </c>
      <c r="G58" s="274" t="str" cm="1">
        <f t="array" ref="G58">_xlfn.LET(_xlpm.denom,G$26,_xlpm.calc,IFERROR(ROWS(_xlfn.UNIQUE(_xlfn._xlws.FILTER(Pay_ID_Period_End,(Pay_Period_End &gt;= G$22) * (Pay_Period_End &lt;= G$23) * (IFERROR(SEARCH(G$1,Pay_Key_Gps),0)&gt;0) * (pp_Diff_Pay_Code = 1) * (pp_OT_Pay_Code = 1)))),0),_xlpm.perc,_xlpm.calc/_xlpm.denom,IFERROR(IF(_xlpm.calc&lt;1000,_xlfn.CONCAT(_xlpm.calc," (",TEXT(_xlpm.perc,"0.0%"),")"),_xlfn.CONCAT(TEXT(_xlpm.calc,"0,000")," (",TEXT(_xlpm.perc,"0.0%"),")")),"-"))</f>
        <v>-</v>
      </c>
      <c r="H58" s="274" t="str" cm="1">
        <f t="array" ref="H58">_xlfn.LET(_xlpm.denom,H$26,_xlpm.calc,IFERROR(ROWS(_xlfn.UNIQUE(_xlfn._xlws.FILTER(Pay_ID_Period_End,(Pay_Period_End &gt;= H$22) * (Pay_Period_End &lt;= H$23) * (IFERROR(SEARCH(H$1,Pay_Key_Gps),0)&gt;0) * (pp_Diff_Pay_Code = 1) * (pp_OT_Pay_Code = 1)))),0),_xlpm.perc,_xlpm.calc/_xlpm.denom,IFERROR(IF(_xlpm.calc&lt;1000,_xlfn.CONCAT(_xlpm.calc," (",TEXT(_xlpm.perc,"0.0%"),")"),_xlfn.CONCAT(TEXT(_xlpm.calc,"0,000")," (",TEXT(_xlpm.perc,"0.0%"),")")),"-"))</f>
        <v>-</v>
      </c>
      <c r="I58" s="274" t="str" cm="1">
        <f t="array" ref="I58">_xlfn.LET(_xlpm.denom,I$26,_xlpm.calc,IFERROR(ROWS(_xlfn.UNIQUE(_xlfn._xlws.FILTER(Pay_ID_Period_End,(Pay_Period_End &gt;= I$22) * (Pay_Period_End &lt;= I$23) * (IFERROR(SEARCH(I$1,Pay_Key_Gps),0)&gt;0) * (pp_Diff_Pay_Code = 1) * (pp_OT_Pay_Code = 1)))),0),_xlpm.perc,_xlpm.calc/_xlpm.denom,IFERROR(IF(_xlpm.calc&lt;1000,_xlfn.CONCAT(_xlpm.calc," (",TEXT(_xlpm.perc,"0.0%"),")"),_xlfn.CONCAT(TEXT(_xlpm.calc,"0,000")," (",TEXT(_xlpm.perc,"0.0%"),")")),"-"))</f>
        <v>-</v>
      </c>
      <c r="J58" s="274" t="str" cm="1">
        <f t="array" ref="J58">_xlfn.LET(_xlpm.denom,J$26,_xlpm.calc,IFERROR(ROWS(_xlfn.UNIQUE(_xlfn._xlws.FILTER(Pay_ID_Period_End,(Pay_Period_End &gt;= J$22) * (Pay_Period_End &lt;= J$23) * (IFERROR(SEARCH(J$1,Pay_Key_Gps),0)&gt;0) * (pp_Diff_Pay_Code = 1) * (pp_OT_Pay_Code = 1)))),0),_xlpm.perc,_xlpm.calc/_xlpm.denom,IFERROR(IF(_xlpm.calc&lt;1000,_xlfn.CONCAT(_xlpm.calc," (",TEXT(_xlpm.perc,"0.0%"),")"),_xlfn.CONCAT(TEXT(_xlpm.calc,"0,000")," (",TEXT(_xlpm.perc,"0.0%"),")")),"-"))</f>
        <v>-</v>
      </c>
      <c r="K58" s="274" t="str" cm="1">
        <f t="array" ref="K58">_xlfn.LET(_xlpm.denom,K$26,_xlpm.calc,IFERROR(ROWS(_xlfn.UNIQUE(_xlfn._xlws.FILTER(Pay_ID_Period_End,(Pay_Period_End &gt;= K$22) * (Pay_Period_End &lt;= K$23) * (IFERROR(SEARCH(K$1,Pay_Key_Gps),0)&gt;0) * (pp_Diff_Pay_Code = 1) * (pp_OT_Pay_Code = 1)))),0),_xlpm.perc,_xlpm.calc/_xlpm.denom,IFERROR(IF(_xlpm.calc&lt;1000,_xlfn.CONCAT(_xlpm.calc," (",TEXT(_xlpm.perc,"0.0%"),")"),_xlfn.CONCAT(TEXT(_xlpm.calc,"0,000")," (",TEXT(_xlpm.perc,"0.0%"),")")),"-"))</f>
        <v>-</v>
      </c>
      <c r="L58" s="274" t="str" cm="1">
        <f t="array" ref="L58">_xlfn.LET(_xlpm.denom,L$26,_xlpm.calc,IFERROR(ROWS(_xlfn.UNIQUE(_xlfn._xlws.FILTER(Pay_ID_Period_End,(Pay_Period_End &gt;= L$22) * (Pay_Period_End &lt;= L$23) * (IFERROR(SEARCH(L$1,Pay_Key_Gps),0)&gt;0) * (pp_Diff_Pay_Code = 1) * (pp_OT_Pay_Code = 1)))),0),_xlpm.perc,_xlpm.calc/_xlpm.denom,IFERROR(IF(_xlpm.calc&lt;1000,_xlfn.CONCAT(_xlpm.calc," (",TEXT(_xlpm.perc,"0.0%"),")"),_xlfn.CONCAT(TEXT(_xlpm.calc,"0,000")," (",TEXT(_xlpm.perc,"0.0%"),")")),"-"))</f>
        <v>-</v>
      </c>
      <c r="M58" s="219" t="str" cm="1">
        <f t="array" ref="M58">_xlfn.LET(_xlpm.denom,M$26,_xlpm.calc,IFERROR(ROWS(_xlfn.UNIQUE(_xlfn._xlws.FILTER(Pay_ID_Period_End,(Pay_Period_End &gt;= M$22) * (Pay_Period_End &lt;= M$23) * (IFERROR(SEARCH(M$1,Pay_Key_Gps),0)&gt;0) * (pp_Diff_Pay_Code = 1) * (pp_OT_Pay_Code = 1)))),0),_xlpm.perc,_xlpm.calc/_xlpm.denom,IFERROR(IF(_xlpm.calc&lt;1000,_xlfn.CONCAT(_xlpm.calc," (",TEXT(_xlpm.perc,"0.0%"),")"),_xlfn.CONCAT(TEXT(_xlpm.calc,"0,000")," (",TEXT(_xlpm.perc,"0.0%"),")")),"-"))</f>
        <v>-</v>
      </c>
      <c r="N58" s="275" t="s">
        <v>80</v>
      </c>
      <c r="O58" s="74"/>
      <c r="Q58" s="75" t="str">
        <f t="shared" si="22"/>
        <v/>
      </c>
      <c r="R58" s="76" t="e">
        <f t="shared" si="23"/>
        <v>#VALUE!</v>
      </c>
      <c r="S58" s="64">
        <f t="shared" si="15"/>
        <v>1</v>
      </c>
      <c r="T58" s="42" t="str">
        <f t="shared" ca="1" si="24"/>
        <v>-</v>
      </c>
      <c r="U58" s="42" t="str">
        <f t="shared" si="25"/>
        <v>-</v>
      </c>
      <c r="V58" s="42" t="str">
        <f t="shared" si="26"/>
        <v>-</v>
      </c>
      <c r="W58" s="42" t="str">
        <f t="shared" si="8"/>
        <v>-</v>
      </c>
      <c r="X58" s="42" t="str">
        <f t="shared" si="9"/>
        <v>-</v>
      </c>
      <c r="Y58" s="42" t="str">
        <f t="shared" si="10"/>
        <v>-</v>
      </c>
      <c r="Z58" s="42" t="str">
        <f t="shared" si="11"/>
        <v>-</v>
      </c>
      <c r="AA58" s="42" t="str">
        <f t="shared" si="12"/>
        <v>-</v>
      </c>
      <c r="AB58" s="42" t="str">
        <f t="shared" si="13"/>
        <v>-</v>
      </c>
      <c r="AC58" s="42" t="str">
        <f t="shared" si="27"/>
        <v>-</v>
      </c>
    </row>
    <row r="59" spans="1:29" outlineLevel="1" x14ac:dyDescent="0.3">
      <c r="A59" s="83">
        <v>1</v>
      </c>
      <c r="B59" s="314"/>
      <c r="C59" s="273" t="s">
        <v>560</v>
      </c>
      <c r="D59" s="217" t="str">
        <f t="shared" ca="1" si="31"/>
        <v>-</v>
      </c>
      <c r="E59" s="274" t="str" cm="1">
        <f t="array" ref="E59">_xlfn.LET(_xlpm.denom,E$26,_xlpm.calc,IFERROR(ROWS(_xlfn.UNIQUE(_xlfn._xlws.FILTER(Pay_ID_Period_End,(Pay_Period_End &gt;= E$22) * (Pay_Period_End &lt;= E$23) * (IFERROR(SEARCH(E$1,Pay_Key_Gps),0)&gt;0) * (pp_Diff_Pay_Code = 1) * (pp_Meal_Pay_Code = 1)))),0),_xlpm.perc,_xlpm.calc/_xlpm.denom,IFERROR(IF(_xlpm.calc&lt;1000,_xlfn.CONCAT(_xlpm.calc," (",TEXT(_xlpm.perc,"0.0%"),")"),_xlfn.CONCAT(TEXT(_xlpm.calc,"0,000")," (",TEXT(_xlpm.perc,"0.0%"),")")),"-"))</f>
        <v>-</v>
      </c>
      <c r="F59" s="274" t="str" cm="1">
        <f t="array" ref="F59">_xlfn.LET(_xlpm.denom,F$26,_xlpm.calc,IFERROR(ROWS(_xlfn.UNIQUE(_xlfn._xlws.FILTER(Pay_ID_Period_End,(Pay_Period_End &gt;= F$22) * (Pay_Period_End &lt;= F$23) * (IFERROR(SEARCH(F$1,Pay_Key_Gps),0)&gt;0) * (pp_Diff_Pay_Code = 1) * (pp_Meal_Pay_Code = 1)))),0),_xlpm.perc,_xlpm.calc/_xlpm.denom,IFERROR(IF(_xlpm.calc&lt;1000,_xlfn.CONCAT(_xlpm.calc," (",TEXT(_xlpm.perc,"0.0%"),")"),_xlfn.CONCAT(TEXT(_xlpm.calc,"0,000")," (",TEXT(_xlpm.perc,"0.0%"),")")),"-"))</f>
        <v>-</v>
      </c>
      <c r="G59" s="274" t="str" cm="1">
        <f t="array" ref="G59">_xlfn.LET(_xlpm.denom,G$26,_xlpm.calc,IFERROR(ROWS(_xlfn.UNIQUE(_xlfn._xlws.FILTER(Pay_ID_Period_End,(Pay_Period_End &gt;= G$22) * (Pay_Period_End &lt;= G$23) * (IFERROR(SEARCH(G$1,Pay_Key_Gps),0)&gt;0) * (pp_Diff_Pay_Code = 1) * (pp_Meal_Pay_Code = 1)))),0),_xlpm.perc,_xlpm.calc/_xlpm.denom,IFERROR(IF(_xlpm.calc&lt;1000,_xlfn.CONCAT(_xlpm.calc," (",TEXT(_xlpm.perc,"0.0%"),")"),_xlfn.CONCAT(TEXT(_xlpm.calc,"0,000")," (",TEXT(_xlpm.perc,"0.0%"),")")),"-"))</f>
        <v>-</v>
      </c>
      <c r="H59" s="274" t="str" cm="1">
        <f t="array" ref="H59">_xlfn.LET(_xlpm.denom,H$26,_xlpm.calc,IFERROR(ROWS(_xlfn.UNIQUE(_xlfn._xlws.FILTER(Pay_ID_Period_End,(Pay_Period_End &gt;= H$22) * (Pay_Period_End &lt;= H$23) * (IFERROR(SEARCH(H$1,Pay_Key_Gps),0)&gt;0) * (pp_Diff_Pay_Code = 1) * (pp_Meal_Pay_Code = 1)))),0),_xlpm.perc,_xlpm.calc/_xlpm.denom,IFERROR(IF(_xlpm.calc&lt;1000,_xlfn.CONCAT(_xlpm.calc," (",TEXT(_xlpm.perc,"0.0%"),")"),_xlfn.CONCAT(TEXT(_xlpm.calc,"0,000")," (",TEXT(_xlpm.perc,"0.0%"),")")),"-"))</f>
        <v>-</v>
      </c>
      <c r="I59" s="274" t="str" cm="1">
        <f t="array" ref="I59">_xlfn.LET(_xlpm.denom,I$26,_xlpm.calc,IFERROR(ROWS(_xlfn.UNIQUE(_xlfn._xlws.FILTER(Pay_ID_Period_End,(Pay_Period_End &gt;= I$22) * (Pay_Period_End &lt;= I$23) * (IFERROR(SEARCH(I$1,Pay_Key_Gps),0)&gt;0) * (pp_Diff_Pay_Code = 1) * (pp_Meal_Pay_Code = 1)))),0),_xlpm.perc,_xlpm.calc/_xlpm.denom,IFERROR(IF(_xlpm.calc&lt;1000,_xlfn.CONCAT(_xlpm.calc," (",TEXT(_xlpm.perc,"0.0%"),")"),_xlfn.CONCAT(TEXT(_xlpm.calc,"0,000")," (",TEXT(_xlpm.perc,"0.0%"),")")),"-"))</f>
        <v>-</v>
      </c>
      <c r="J59" s="274" t="str" cm="1">
        <f t="array" ref="J59">_xlfn.LET(_xlpm.denom,J$26,_xlpm.calc,IFERROR(ROWS(_xlfn.UNIQUE(_xlfn._xlws.FILTER(Pay_ID_Period_End,(Pay_Period_End &gt;= J$22) * (Pay_Period_End &lt;= J$23) * (IFERROR(SEARCH(J$1,Pay_Key_Gps),0)&gt;0) * (pp_Diff_Pay_Code = 1) * (pp_Meal_Pay_Code = 1)))),0),_xlpm.perc,_xlpm.calc/_xlpm.denom,IFERROR(IF(_xlpm.calc&lt;1000,_xlfn.CONCAT(_xlpm.calc," (",TEXT(_xlpm.perc,"0.0%"),")"),_xlfn.CONCAT(TEXT(_xlpm.calc,"0,000")," (",TEXT(_xlpm.perc,"0.0%"),")")),"-"))</f>
        <v>-</v>
      </c>
      <c r="K59" s="274" t="str" cm="1">
        <f t="array" ref="K59">_xlfn.LET(_xlpm.denom,K$26,_xlpm.calc,IFERROR(ROWS(_xlfn.UNIQUE(_xlfn._xlws.FILTER(Pay_ID_Period_End,(Pay_Period_End &gt;= K$22) * (Pay_Period_End &lt;= K$23) * (IFERROR(SEARCH(K$1,Pay_Key_Gps),0)&gt;0) * (pp_Diff_Pay_Code = 1) * (pp_Meal_Pay_Code = 1)))),0),_xlpm.perc,_xlpm.calc/_xlpm.denom,IFERROR(IF(_xlpm.calc&lt;1000,_xlfn.CONCAT(_xlpm.calc," (",TEXT(_xlpm.perc,"0.0%"),")"),_xlfn.CONCAT(TEXT(_xlpm.calc,"0,000")," (",TEXT(_xlpm.perc,"0.0%"),")")),"-"))</f>
        <v>-</v>
      </c>
      <c r="L59" s="274" t="str" cm="1">
        <f t="array" ref="L59">_xlfn.LET(_xlpm.denom,L$26,_xlpm.calc,IFERROR(ROWS(_xlfn.UNIQUE(_xlfn._xlws.FILTER(Pay_ID_Period_End,(Pay_Period_End &gt;= L$22) * (Pay_Period_End &lt;= L$23) * (IFERROR(SEARCH(L$1,Pay_Key_Gps),0)&gt;0) * (pp_Diff_Pay_Code = 1) * (pp_Meal_Pay_Code = 1)))),0),_xlpm.perc,_xlpm.calc/_xlpm.denom,IFERROR(IF(_xlpm.calc&lt;1000,_xlfn.CONCAT(_xlpm.calc," (",TEXT(_xlpm.perc,"0.0%"),")"),_xlfn.CONCAT(TEXT(_xlpm.calc,"0,000")," (",TEXT(_xlpm.perc,"0.0%"),")")),"-"))</f>
        <v>-</v>
      </c>
      <c r="M59" s="219" t="str" cm="1">
        <f t="array" ref="M59">_xlfn.LET(_xlpm.denom,M$26,_xlpm.calc,IFERROR(ROWS(_xlfn.UNIQUE(_xlfn._xlws.FILTER(Pay_ID_Period_End,(Pay_Period_End &gt;= M$22) * (Pay_Period_End &lt;= M$23) * (IFERROR(SEARCH(M$1,Pay_Key_Gps),0)&gt;0) * (pp_Diff_Pay_Code = 1) * (pp_Meal_Pay_Code = 1)))),0),_xlpm.perc,_xlpm.calc/_xlpm.denom,IFERROR(IF(_xlpm.calc&lt;1000,_xlfn.CONCAT(_xlpm.calc," (",TEXT(_xlpm.perc,"0.0%"),")"),_xlfn.CONCAT(TEXT(_xlpm.calc,"0,000")," (",TEXT(_xlpm.perc,"0.0%"),")")),"-"))</f>
        <v>-</v>
      </c>
      <c r="N59" s="275" t="s">
        <v>80</v>
      </c>
      <c r="O59" s="74"/>
      <c r="Q59" s="75" t="str">
        <f t="shared" si="22"/>
        <v/>
      </c>
      <c r="R59" s="76" t="e">
        <f t="shared" si="23"/>
        <v>#VALUE!</v>
      </c>
      <c r="S59" s="64">
        <f t="shared" si="15"/>
        <v>1</v>
      </c>
      <c r="T59" s="42" t="str">
        <f t="shared" ca="1" si="24"/>
        <v>-</v>
      </c>
      <c r="U59" s="42" t="str">
        <f t="shared" si="25"/>
        <v>-</v>
      </c>
      <c r="V59" s="42" t="str">
        <f t="shared" si="26"/>
        <v>-</v>
      </c>
      <c r="W59" s="42" t="str">
        <f t="shared" si="8"/>
        <v>-</v>
      </c>
      <c r="X59" s="42" t="str">
        <f t="shared" si="9"/>
        <v>-</v>
      </c>
      <c r="Y59" s="42" t="str">
        <f t="shared" si="10"/>
        <v>-</v>
      </c>
      <c r="Z59" s="42" t="str">
        <f t="shared" si="11"/>
        <v>-</v>
      </c>
      <c r="AA59" s="42" t="str">
        <f t="shared" si="12"/>
        <v>-</v>
      </c>
      <c r="AB59" s="42" t="str">
        <f t="shared" si="13"/>
        <v>-</v>
      </c>
      <c r="AC59" s="42" t="str">
        <f t="shared" si="27"/>
        <v>-</v>
      </c>
    </row>
    <row r="60" spans="1:29" outlineLevel="1" x14ac:dyDescent="0.3">
      <c r="A60" s="83">
        <v>1</v>
      </c>
      <c r="B60" s="314"/>
      <c r="C60" s="273" t="s">
        <v>561</v>
      </c>
      <c r="D60" s="217" t="str">
        <f t="shared" ca="1" si="31"/>
        <v>-</v>
      </c>
      <c r="E60" s="274" t="str" cm="1">
        <f t="array" ref="E60">_xlfn.LET(_xlpm.denom,E$26,_xlpm.calc,IFERROR(ROWS(_xlfn.UNIQUE(_xlfn._xlws.FILTER(Pay_ID_Period_End,(Pay_Period_End &gt;= E$22) * (Pay_Period_End &lt;= E$23) * (IFERROR(SEARCH(E$1,Pay_Key_Gps),0)&gt;0) * (pp_Diff_Pay_Code = 1) * (pp_Rest_Pay_Code = 1)))),0),_xlpm.perc,_xlpm.calc/_xlpm.denom,IFERROR(IF(_xlpm.calc&lt;1000,_xlfn.CONCAT(_xlpm.calc," (",TEXT(_xlpm.perc,"0.0%"),")"),_xlfn.CONCAT(TEXT(_xlpm.calc,"0,000")," (",TEXT(_xlpm.perc,"0.0%"),")")),"-"))</f>
        <v>-</v>
      </c>
      <c r="F60" s="274" t="str" cm="1">
        <f t="array" ref="F60">_xlfn.LET(_xlpm.denom,F$26,_xlpm.calc,IFERROR(ROWS(_xlfn.UNIQUE(_xlfn._xlws.FILTER(Pay_ID_Period_End,(Pay_Period_End &gt;= F$22) * (Pay_Period_End &lt;= F$23) * (IFERROR(SEARCH(F$1,Pay_Key_Gps),0)&gt;0) * (pp_Diff_Pay_Code = 1) * (pp_Rest_Pay_Code = 1)))),0),_xlpm.perc,_xlpm.calc/_xlpm.denom,IFERROR(IF(_xlpm.calc&lt;1000,_xlfn.CONCAT(_xlpm.calc," (",TEXT(_xlpm.perc,"0.0%"),")"),_xlfn.CONCAT(TEXT(_xlpm.calc,"0,000")," (",TEXT(_xlpm.perc,"0.0%"),")")),"-"))</f>
        <v>-</v>
      </c>
      <c r="G60" s="274" t="str" cm="1">
        <f t="array" ref="G60">_xlfn.LET(_xlpm.denom,G$26,_xlpm.calc,IFERROR(ROWS(_xlfn.UNIQUE(_xlfn._xlws.FILTER(Pay_ID_Period_End,(Pay_Period_End &gt;= G$22) * (Pay_Period_End &lt;= G$23) * (IFERROR(SEARCH(G$1,Pay_Key_Gps),0)&gt;0) * (pp_Diff_Pay_Code = 1) * (pp_Rest_Pay_Code = 1)))),0),_xlpm.perc,_xlpm.calc/_xlpm.denom,IFERROR(IF(_xlpm.calc&lt;1000,_xlfn.CONCAT(_xlpm.calc," (",TEXT(_xlpm.perc,"0.0%"),")"),_xlfn.CONCAT(TEXT(_xlpm.calc,"0,000")," (",TEXT(_xlpm.perc,"0.0%"),")")),"-"))</f>
        <v>-</v>
      </c>
      <c r="H60" s="274" t="str" cm="1">
        <f t="array" ref="H60">_xlfn.LET(_xlpm.denom,H$26,_xlpm.calc,IFERROR(ROWS(_xlfn.UNIQUE(_xlfn._xlws.FILTER(Pay_ID_Period_End,(Pay_Period_End &gt;= H$22) * (Pay_Period_End &lt;= H$23) * (IFERROR(SEARCH(H$1,Pay_Key_Gps),0)&gt;0) * (pp_Diff_Pay_Code = 1) * (pp_Rest_Pay_Code = 1)))),0),_xlpm.perc,_xlpm.calc/_xlpm.denom,IFERROR(IF(_xlpm.calc&lt;1000,_xlfn.CONCAT(_xlpm.calc," (",TEXT(_xlpm.perc,"0.0%"),")"),_xlfn.CONCAT(TEXT(_xlpm.calc,"0,000")," (",TEXT(_xlpm.perc,"0.0%"),")")),"-"))</f>
        <v>-</v>
      </c>
      <c r="I60" s="274" t="str" cm="1">
        <f t="array" ref="I60">_xlfn.LET(_xlpm.denom,I$26,_xlpm.calc,IFERROR(ROWS(_xlfn.UNIQUE(_xlfn._xlws.FILTER(Pay_ID_Period_End,(Pay_Period_End &gt;= I$22) * (Pay_Period_End &lt;= I$23) * (IFERROR(SEARCH(I$1,Pay_Key_Gps),0)&gt;0) * (pp_Diff_Pay_Code = 1) * (pp_Rest_Pay_Code = 1)))),0),_xlpm.perc,_xlpm.calc/_xlpm.denom,IFERROR(IF(_xlpm.calc&lt;1000,_xlfn.CONCAT(_xlpm.calc," (",TEXT(_xlpm.perc,"0.0%"),")"),_xlfn.CONCAT(TEXT(_xlpm.calc,"0,000")," (",TEXT(_xlpm.perc,"0.0%"),")")),"-"))</f>
        <v>-</v>
      </c>
      <c r="J60" s="274" t="str" cm="1">
        <f t="array" ref="J60">_xlfn.LET(_xlpm.denom,J$26,_xlpm.calc,IFERROR(ROWS(_xlfn.UNIQUE(_xlfn._xlws.FILTER(Pay_ID_Period_End,(Pay_Period_End &gt;= J$22) * (Pay_Period_End &lt;= J$23) * (IFERROR(SEARCH(J$1,Pay_Key_Gps),0)&gt;0) * (pp_Diff_Pay_Code = 1) * (pp_Rest_Pay_Code = 1)))),0),_xlpm.perc,_xlpm.calc/_xlpm.denom,IFERROR(IF(_xlpm.calc&lt;1000,_xlfn.CONCAT(_xlpm.calc," (",TEXT(_xlpm.perc,"0.0%"),")"),_xlfn.CONCAT(TEXT(_xlpm.calc,"0,000")," (",TEXT(_xlpm.perc,"0.0%"),")")),"-"))</f>
        <v>-</v>
      </c>
      <c r="K60" s="274" t="str" cm="1">
        <f t="array" ref="K60">_xlfn.LET(_xlpm.denom,K$26,_xlpm.calc,IFERROR(ROWS(_xlfn.UNIQUE(_xlfn._xlws.FILTER(Pay_ID_Period_End,(Pay_Period_End &gt;= K$22) * (Pay_Period_End &lt;= K$23) * (IFERROR(SEARCH(K$1,Pay_Key_Gps),0)&gt;0) * (pp_Diff_Pay_Code = 1) * (pp_Rest_Pay_Code = 1)))),0),_xlpm.perc,_xlpm.calc/_xlpm.denom,IFERROR(IF(_xlpm.calc&lt;1000,_xlfn.CONCAT(_xlpm.calc," (",TEXT(_xlpm.perc,"0.0%"),")"),_xlfn.CONCAT(TEXT(_xlpm.calc,"0,000")," (",TEXT(_xlpm.perc,"0.0%"),")")),"-"))</f>
        <v>-</v>
      </c>
      <c r="L60" s="274" t="str" cm="1">
        <f t="array" ref="L60">_xlfn.LET(_xlpm.denom,L$26,_xlpm.calc,IFERROR(ROWS(_xlfn.UNIQUE(_xlfn._xlws.FILTER(Pay_ID_Period_End,(Pay_Period_End &gt;= L$22) * (Pay_Period_End &lt;= L$23) * (IFERROR(SEARCH(L$1,Pay_Key_Gps),0)&gt;0) * (pp_Diff_Pay_Code = 1) * (pp_Rest_Pay_Code = 1)))),0),_xlpm.perc,_xlpm.calc/_xlpm.denom,IFERROR(IF(_xlpm.calc&lt;1000,_xlfn.CONCAT(_xlpm.calc," (",TEXT(_xlpm.perc,"0.0%"),")"),_xlfn.CONCAT(TEXT(_xlpm.calc,"0,000")," (",TEXT(_xlpm.perc,"0.0%"),")")),"-"))</f>
        <v>-</v>
      </c>
      <c r="M60" s="219" t="str" cm="1">
        <f t="array" ref="M60">_xlfn.LET(_xlpm.denom,M$26,_xlpm.calc,IFERROR(ROWS(_xlfn.UNIQUE(_xlfn._xlws.FILTER(Pay_ID_Period_End,(Pay_Period_End &gt;= M$22) * (Pay_Period_End &lt;= M$23) * (IFERROR(SEARCH(M$1,Pay_Key_Gps),0)&gt;0) * (pp_Diff_Pay_Code = 1) * (pp_Rest_Pay_Code = 1)))),0),_xlpm.perc,_xlpm.calc/_xlpm.denom,IFERROR(IF(_xlpm.calc&lt;1000,_xlfn.CONCAT(_xlpm.calc," (",TEXT(_xlpm.perc,"0.0%"),")"),_xlfn.CONCAT(TEXT(_xlpm.calc,"0,000")," (",TEXT(_xlpm.perc,"0.0%"),")")),"-"))</f>
        <v>-</v>
      </c>
      <c r="N60" s="275" t="s">
        <v>80</v>
      </c>
      <c r="O60" s="74"/>
      <c r="Q60" s="75" t="str">
        <f t="shared" si="22"/>
        <v/>
      </c>
      <c r="R60" s="76" t="e">
        <f t="shared" si="23"/>
        <v>#VALUE!</v>
      </c>
      <c r="S60" s="64">
        <f t="shared" si="15"/>
        <v>1</v>
      </c>
      <c r="T60" s="42" t="str">
        <f t="shared" ca="1" si="24"/>
        <v>-</v>
      </c>
      <c r="U60" s="42" t="str">
        <f t="shared" si="25"/>
        <v>-</v>
      </c>
      <c r="V60" s="42" t="str">
        <f t="shared" si="26"/>
        <v>-</v>
      </c>
      <c r="W60" s="42" t="str">
        <f t="shared" si="8"/>
        <v>-</v>
      </c>
      <c r="X60" s="42" t="str">
        <f t="shared" si="9"/>
        <v>-</v>
      </c>
      <c r="Y60" s="42" t="str">
        <f t="shared" si="10"/>
        <v>-</v>
      </c>
      <c r="Z60" s="42" t="str">
        <f t="shared" si="11"/>
        <v>-</v>
      </c>
      <c r="AA60" s="42" t="str">
        <f t="shared" si="12"/>
        <v>-</v>
      </c>
      <c r="AB60" s="42" t="str">
        <f t="shared" si="13"/>
        <v>-</v>
      </c>
      <c r="AC60" s="42" t="str">
        <f t="shared" si="27"/>
        <v>-</v>
      </c>
    </row>
    <row r="61" spans="1:29" outlineLevel="1" x14ac:dyDescent="0.3">
      <c r="A61" s="83">
        <v>1</v>
      </c>
      <c r="B61" s="314"/>
      <c r="C61" s="273" t="s">
        <v>562</v>
      </c>
      <c r="D61" s="217" t="str">
        <f t="shared" ca="1" si="31"/>
        <v>-</v>
      </c>
      <c r="E61" s="274" t="str" cm="1">
        <f t="array" ref="E61">_xlfn.LET(_xlpm.denom,E$26,_xlpm.calc,IFERROR(ROWS(_xlfn.UNIQUE(_xlfn._xlws.FILTER(Pay_ID_Period_End,(Pay_Period_End &gt;= E$22) * (Pay_Period_End &lt;= E$23) * (IFERROR(SEARCH(E$1,Pay_Key_Gps),0)&gt;0) * (pp_Diff_Pay_Code = 1) * (pp_Sick_Pay_Code = 1)))),0),_xlpm.perc,_xlpm.calc/_xlpm.denom,IFERROR(IF(_xlpm.calc&lt;1000,_xlfn.CONCAT(_xlpm.calc," (",TEXT(_xlpm.perc,"0.0%"),")"),_xlfn.CONCAT(TEXT(_xlpm.calc,"0,000")," (",TEXT(_xlpm.perc,"0.0%"),")")),"-"))</f>
        <v>-</v>
      </c>
      <c r="F61" s="274" t="str" cm="1">
        <f t="array" ref="F61">_xlfn.LET(_xlpm.denom,F$26,_xlpm.calc,IFERROR(ROWS(_xlfn.UNIQUE(_xlfn._xlws.FILTER(Pay_ID_Period_End,(Pay_Period_End &gt;= F$22) * (Pay_Period_End &lt;= F$23) * (IFERROR(SEARCH(F$1,Pay_Key_Gps),0)&gt;0) * (pp_Diff_Pay_Code = 1) * (pp_Sick_Pay_Code = 1)))),0),_xlpm.perc,_xlpm.calc/_xlpm.denom,IFERROR(IF(_xlpm.calc&lt;1000,_xlfn.CONCAT(_xlpm.calc," (",TEXT(_xlpm.perc,"0.0%"),")"),_xlfn.CONCAT(TEXT(_xlpm.calc,"0,000")," (",TEXT(_xlpm.perc,"0.0%"),")")),"-"))</f>
        <v>-</v>
      </c>
      <c r="G61" s="274" t="str" cm="1">
        <f t="array" ref="G61">_xlfn.LET(_xlpm.denom,G$26,_xlpm.calc,IFERROR(ROWS(_xlfn.UNIQUE(_xlfn._xlws.FILTER(Pay_ID_Period_End,(Pay_Period_End &gt;= G$22) * (Pay_Period_End &lt;= G$23) * (IFERROR(SEARCH(G$1,Pay_Key_Gps),0)&gt;0) * (pp_Diff_Pay_Code = 1) * (pp_Sick_Pay_Code = 1)))),0),_xlpm.perc,_xlpm.calc/_xlpm.denom,IFERROR(IF(_xlpm.calc&lt;1000,_xlfn.CONCAT(_xlpm.calc," (",TEXT(_xlpm.perc,"0.0%"),")"),_xlfn.CONCAT(TEXT(_xlpm.calc,"0,000")," (",TEXT(_xlpm.perc,"0.0%"),")")),"-"))</f>
        <v>-</v>
      </c>
      <c r="H61" s="274" t="str" cm="1">
        <f t="array" ref="H61">_xlfn.LET(_xlpm.denom,H$26,_xlpm.calc,IFERROR(ROWS(_xlfn.UNIQUE(_xlfn._xlws.FILTER(Pay_ID_Period_End,(Pay_Period_End &gt;= H$22) * (Pay_Period_End &lt;= H$23) * (IFERROR(SEARCH(H$1,Pay_Key_Gps),0)&gt;0) * (pp_Diff_Pay_Code = 1) * (pp_Sick_Pay_Code = 1)))),0),_xlpm.perc,_xlpm.calc/_xlpm.denom,IFERROR(IF(_xlpm.calc&lt;1000,_xlfn.CONCAT(_xlpm.calc," (",TEXT(_xlpm.perc,"0.0%"),")"),_xlfn.CONCAT(TEXT(_xlpm.calc,"0,000")," (",TEXT(_xlpm.perc,"0.0%"),")")),"-"))</f>
        <v>-</v>
      </c>
      <c r="I61" s="274" t="str" cm="1">
        <f t="array" ref="I61">_xlfn.LET(_xlpm.denom,I$26,_xlpm.calc,IFERROR(ROWS(_xlfn.UNIQUE(_xlfn._xlws.FILTER(Pay_ID_Period_End,(Pay_Period_End &gt;= I$22) * (Pay_Period_End &lt;= I$23) * (IFERROR(SEARCH(I$1,Pay_Key_Gps),0)&gt;0) * (pp_Diff_Pay_Code = 1) * (pp_Sick_Pay_Code = 1)))),0),_xlpm.perc,_xlpm.calc/_xlpm.denom,IFERROR(IF(_xlpm.calc&lt;1000,_xlfn.CONCAT(_xlpm.calc," (",TEXT(_xlpm.perc,"0.0%"),")"),_xlfn.CONCAT(TEXT(_xlpm.calc,"0,000")," (",TEXT(_xlpm.perc,"0.0%"),")")),"-"))</f>
        <v>-</v>
      </c>
      <c r="J61" s="274" t="str" cm="1">
        <f t="array" ref="J61">_xlfn.LET(_xlpm.denom,J$26,_xlpm.calc,IFERROR(ROWS(_xlfn.UNIQUE(_xlfn._xlws.FILTER(Pay_ID_Period_End,(Pay_Period_End &gt;= J$22) * (Pay_Period_End &lt;= J$23) * (IFERROR(SEARCH(J$1,Pay_Key_Gps),0)&gt;0) * (pp_Diff_Pay_Code = 1) * (pp_Sick_Pay_Code = 1)))),0),_xlpm.perc,_xlpm.calc/_xlpm.denom,IFERROR(IF(_xlpm.calc&lt;1000,_xlfn.CONCAT(_xlpm.calc," (",TEXT(_xlpm.perc,"0.0%"),")"),_xlfn.CONCAT(TEXT(_xlpm.calc,"0,000")," (",TEXT(_xlpm.perc,"0.0%"),")")),"-"))</f>
        <v>-</v>
      </c>
      <c r="K61" s="274" t="str" cm="1">
        <f t="array" ref="K61">_xlfn.LET(_xlpm.denom,K$26,_xlpm.calc,IFERROR(ROWS(_xlfn.UNIQUE(_xlfn._xlws.FILTER(Pay_ID_Period_End,(Pay_Period_End &gt;= K$22) * (Pay_Period_End &lt;= K$23) * (IFERROR(SEARCH(K$1,Pay_Key_Gps),0)&gt;0) * (pp_Diff_Pay_Code = 1) * (pp_Sick_Pay_Code = 1)))),0),_xlpm.perc,_xlpm.calc/_xlpm.denom,IFERROR(IF(_xlpm.calc&lt;1000,_xlfn.CONCAT(_xlpm.calc," (",TEXT(_xlpm.perc,"0.0%"),")"),_xlfn.CONCAT(TEXT(_xlpm.calc,"0,000")," (",TEXT(_xlpm.perc,"0.0%"),")")),"-"))</f>
        <v>-</v>
      </c>
      <c r="L61" s="274" t="str" cm="1">
        <f t="array" ref="L61">_xlfn.LET(_xlpm.denom,L$26,_xlpm.calc,IFERROR(ROWS(_xlfn.UNIQUE(_xlfn._xlws.FILTER(Pay_ID_Period_End,(Pay_Period_End &gt;= L$22) * (Pay_Period_End &lt;= L$23) * (IFERROR(SEARCH(L$1,Pay_Key_Gps),0)&gt;0) * (pp_Diff_Pay_Code = 1) * (pp_Sick_Pay_Code = 1)))),0),_xlpm.perc,_xlpm.calc/_xlpm.denom,IFERROR(IF(_xlpm.calc&lt;1000,_xlfn.CONCAT(_xlpm.calc," (",TEXT(_xlpm.perc,"0.0%"),")"),_xlfn.CONCAT(TEXT(_xlpm.calc,"0,000")," (",TEXT(_xlpm.perc,"0.0%"),")")),"-"))</f>
        <v>-</v>
      </c>
      <c r="M61" s="219" t="str" cm="1">
        <f t="array" ref="M61">_xlfn.LET(_xlpm.denom,M$26,_xlpm.calc,IFERROR(ROWS(_xlfn.UNIQUE(_xlfn._xlws.FILTER(Pay_ID_Period_End,(Pay_Period_End &gt;= M$22) * (Pay_Period_End &lt;= M$23) * (IFERROR(SEARCH(M$1,Pay_Key_Gps),0)&gt;0) * (pp_Diff_Pay_Code = 1) * (pp_Sick_Pay_Code = 1)))),0),_xlpm.perc,_xlpm.calc/_xlpm.denom,IFERROR(IF(_xlpm.calc&lt;1000,_xlfn.CONCAT(_xlpm.calc," (",TEXT(_xlpm.perc,"0.0%"),")"),_xlfn.CONCAT(TEXT(_xlpm.calc,"0,000")," (",TEXT(_xlpm.perc,"0.0%"),")")),"-"))</f>
        <v>-</v>
      </c>
      <c r="N61" s="275" t="s">
        <v>80</v>
      </c>
      <c r="O61" s="74"/>
      <c r="Q61" s="75" t="str">
        <f t="shared" si="22"/>
        <v/>
      </c>
      <c r="R61" s="76" t="e">
        <f t="shared" si="23"/>
        <v>#VALUE!</v>
      </c>
      <c r="S61" s="64">
        <f t="shared" si="15"/>
        <v>1</v>
      </c>
      <c r="T61" s="42" t="str">
        <f t="shared" ca="1" si="24"/>
        <v>-</v>
      </c>
      <c r="U61" s="42" t="str">
        <f t="shared" si="25"/>
        <v>-</v>
      </c>
      <c r="V61" s="42" t="str">
        <f t="shared" si="26"/>
        <v>-</v>
      </c>
      <c r="W61" s="42" t="str">
        <f t="shared" si="8"/>
        <v>-</v>
      </c>
      <c r="X61" s="42" t="str">
        <f t="shared" si="9"/>
        <v>-</v>
      </c>
      <c r="Y61" s="42" t="str">
        <f t="shared" si="10"/>
        <v>-</v>
      </c>
      <c r="Z61" s="42" t="str">
        <f t="shared" si="11"/>
        <v>-</v>
      </c>
      <c r="AA61" s="42" t="str">
        <f t="shared" si="12"/>
        <v>-</v>
      </c>
      <c r="AB61" s="42" t="str">
        <f t="shared" si="13"/>
        <v>-</v>
      </c>
      <c r="AC61" s="42" t="str">
        <f t="shared" si="27"/>
        <v>-</v>
      </c>
    </row>
    <row r="62" spans="1:29" x14ac:dyDescent="0.25">
      <c r="A62" s="42">
        <v>1</v>
      </c>
      <c r="B62" s="180"/>
      <c r="C62" s="79"/>
      <c r="D62" s="198"/>
      <c r="E62" s="80"/>
      <c r="F62" s="80"/>
      <c r="G62" s="80"/>
      <c r="H62" s="80"/>
      <c r="I62" s="80"/>
      <c r="J62" s="80"/>
      <c r="K62" s="80"/>
      <c r="L62" s="80"/>
      <c r="M62" s="165"/>
      <c r="N62" s="42"/>
      <c r="O62" s="74"/>
      <c r="Q62" s="75" t="str">
        <f t="shared" si="22"/>
        <v/>
      </c>
      <c r="R62" s="76" t="str">
        <f t="shared" si="23"/>
        <v/>
      </c>
      <c r="S62" s="64" t="str">
        <f t="shared" si="15"/>
        <v/>
      </c>
      <c r="T62" s="42" t="str">
        <f t="shared" si="24"/>
        <v/>
      </c>
      <c r="U62" s="42" t="str">
        <f t="shared" si="25"/>
        <v/>
      </c>
      <c r="V62" s="42" t="str">
        <f t="shared" si="26"/>
        <v/>
      </c>
      <c r="W62" s="42" t="str">
        <f t="shared" si="8"/>
        <v/>
      </c>
      <c r="X62" s="42" t="str">
        <f t="shared" si="9"/>
        <v/>
      </c>
      <c r="Y62" s="42" t="str">
        <f t="shared" si="10"/>
        <v/>
      </c>
      <c r="Z62" s="42" t="str">
        <f t="shared" si="11"/>
        <v/>
      </c>
      <c r="AA62" s="42" t="str">
        <f t="shared" si="12"/>
        <v/>
      </c>
      <c r="AB62" s="42" t="str">
        <f t="shared" si="13"/>
        <v/>
      </c>
      <c r="AC62" s="42" t="str">
        <f t="shared" si="27"/>
        <v/>
      </c>
    </row>
    <row r="63" spans="1:29" ht="28.8" outlineLevel="1" x14ac:dyDescent="0.25">
      <c r="A63" s="42" t="s">
        <v>13</v>
      </c>
      <c r="B63" s="314" t="s">
        <v>94</v>
      </c>
      <c r="C63" s="51" t="s">
        <v>15</v>
      </c>
      <c r="D63" s="193">
        <f t="shared" ref="D63:K64" si="32">_xlfn.LET(_xlpm.calc,_xlfn.XLOOKUP($C63,$C:$C,D:D),IF(IFERROR(SEARCH(" ",_xlpm.calc),0)&gt;0,IFERROR(VALUE(LEFT(_xlpm.calc,SEARCH(" ",_xlpm.calc))),"-"),IFERROR(_xlpm.calc,"-")))</f>
        <v>43466</v>
      </c>
      <c r="E63" s="52" t="str">
        <f t="shared" si="32"/>
        <v>-</v>
      </c>
      <c r="F63" s="52" t="str">
        <f t="shared" si="32"/>
        <v>-</v>
      </c>
      <c r="G63" s="52" t="str">
        <f t="shared" si="32"/>
        <v>-</v>
      </c>
      <c r="H63" s="52" t="str">
        <f t="shared" si="32"/>
        <v>-</v>
      </c>
      <c r="I63" s="52" t="str">
        <f t="shared" si="32"/>
        <v>-</v>
      </c>
      <c r="J63" s="52" t="str">
        <f t="shared" si="32"/>
        <v>-</v>
      </c>
      <c r="K63" s="52" t="str">
        <f t="shared" si="32"/>
        <v>-</v>
      </c>
      <c r="L63" s="52" t="str">
        <f>_xlfn.LET(_xlpm.calc,_xlfn.XLOOKUP($C63,$C:$C,L:L),IF(IFERROR(SEARCH(" ",_xlpm.calc),0)&gt;0,IFERROR(VALUE(LEFT(_xlpm.calc,SEARCH(" ",_xlpm.calc))),"-"),IFERROR(_xlpm.calc,"-")))</f>
        <v>-</v>
      </c>
      <c r="M63" s="154" t="str">
        <f>_xlfn.LET(_xlpm.calc,_xlfn.XLOOKUP($C63,$C:$C,M:M),IF(IFERROR(SEARCH(" ",_xlpm.calc),0)&gt;0,IFERROR(VALUE(LEFT(_xlpm.calc,SEARCH(" ",_xlpm.calc))),"-"),IFERROR(_xlpm.calc,"-")))</f>
        <v>-</v>
      </c>
      <c r="N63" s="53"/>
      <c r="O63" s="74"/>
      <c r="Q63" s="75" t="str">
        <f t="shared" si="22"/>
        <v/>
      </c>
      <c r="R63" s="76" t="str">
        <f t="shared" si="23"/>
        <v/>
      </c>
      <c r="S63" s="64" t="str">
        <f t="shared" si="15"/>
        <v/>
      </c>
      <c r="T63" s="42" t="str">
        <f t="shared" si="24"/>
        <v/>
      </c>
      <c r="U63" s="42" t="str">
        <f t="shared" si="25"/>
        <v/>
      </c>
      <c r="V63" s="42" t="str">
        <f t="shared" si="26"/>
        <v/>
      </c>
      <c r="W63" s="42" t="str">
        <f t="shared" si="8"/>
        <v/>
      </c>
      <c r="X63" s="42" t="str">
        <f t="shared" si="9"/>
        <v/>
      </c>
      <c r="Y63" s="42" t="str">
        <f t="shared" si="10"/>
        <v/>
      </c>
      <c r="Z63" s="42" t="str">
        <f t="shared" si="11"/>
        <v/>
      </c>
      <c r="AA63" s="42" t="str">
        <f t="shared" si="12"/>
        <v/>
      </c>
      <c r="AB63" s="42" t="str">
        <f t="shared" si="13"/>
        <v/>
      </c>
      <c r="AC63" s="42" t="str">
        <f t="shared" si="27"/>
        <v/>
      </c>
    </row>
    <row r="64" spans="1:29" ht="28.8" outlineLevel="1" x14ac:dyDescent="0.25">
      <c r="A64" s="42" t="s">
        <v>13</v>
      </c>
      <c r="B64" s="314"/>
      <c r="C64" s="51" t="s">
        <v>16</v>
      </c>
      <c r="D64" s="193">
        <f t="shared" ca="1" si="32"/>
        <v>46083</v>
      </c>
      <c r="E64" s="52" t="str">
        <f t="shared" si="32"/>
        <v>-</v>
      </c>
      <c r="F64" s="52" t="str">
        <f t="shared" si="32"/>
        <v>-</v>
      </c>
      <c r="G64" s="52" t="str">
        <f t="shared" si="32"/>
        <v>-</v>
      </c>
      <c r="H64" s="52" t="str">
        <f t="shared" si="32"/>
        <v>-</v>
      </c>
      <c r="I64" s="52" t="str">
        <f t="shared" si="32"/>
        <v>-</v>
      </c>
      <c r="J64" s="52" t="str">
        <f t="shared" si="32"/>
        <v>-</v>
      </c>
      <c r="K64" s="52" t="str">
        <f t="shared" si="32"/>
        <v>-</v>
      </c>
      <c r="L64" s="52" t="str">
        <f>_xlfn.LET(_xlpm.calc,_xlfn.XLOOKUP($C64,$C:$C,L:L),IF(IFERROR(SEARCH(" ",_xlpm.calc),0)&gt;0,IFERROR(VALUE(LEFT(_xlpm.calc,SEARCH(" ",_xlpm.calc))),"-"),IFERROR(_xlpm.calc,"-")))</f>
        <v>-</v>
      </c>
      <c r="M64" s="154" t="str">
        <f>_xlfn.LET(_xlpm.calc,_xlfn.XLOOKUP($C64,$C:$C,M:M),IF(IFERROR(SEARCH(" ",_xlpm.calc),0)&gt;0,IFERROR(VALUE(LEFT(_xlpm.calc,SEARCH(" ",_xlpm.calc))),"-"),IFERROR(_xlpm.calc,"-")))</f>
        <v>-</v>
      </c>
      <c r="N64" s="53"/>
      <c r="O64" s="74"/>
      <c r="Q64" s="75" t="str">
        <f t="shared" si="22"/>
        <v/>
      </c>
      <c r="R64" s="76" t="str">
        <f t="shared" si="23"/>
        <v/>
      </c>
      <c r="S64" s="64" t="str">
        <f t="shared" si="15"/>
        <v/>
      </c>
      <c r="T64" s="42" t="str">
        <f t="shared" si="24"/>
        <v/>
      </c>
      <c r="U64" s="42" t="str">
        <f t="shared" si="25"/>
        <v/>
      </c>
      <c r="V64" s="42" t="str">
        <f t="shared" si="26"/>
        <v/>
      </c>
      <c r="W64" s="42" t="str">
        <f t="shared" si="8"/>
        <v/>
      </c>
      <c r="X64" s="42" t="str">
        <f t="shared" si="9"/>
        <v/>
      </c>
      <c r="Y64" s="42" t="str">
        <f t="shared" si="10"/>
        <v/>
      </c>
      <c r="Z64" s="42" t="str">
        <f t="shared" si="11"/>
        <v/>
      </c>
      <c r="AA64" s="42" t="str">
        <f t="shared" si="12"/>
        <v/>
      </c>
      <c r="AB64" s="42" t="str">
        <f t="shared" si="13"/>
        <v/>
      </c>
      <c r="AC64" s="42" t="str">
        <f t="shared" si="27"/>
        <v/>
      </c>
    </row>
    <row r="65" spans="1:37" ht="28.8" outlineLevel="1" x14ac:dyDescent="0.25">
      <c r="A65" s="42" t="s">
        <v>13</v>
      </c>
      <c r="B65" s="314"/>
      <c r="C65" s="55" t="s">
        <v>95</v>
      </c>
      <c r="D65" s="195" t="str">
        <f ca="1">IFERROR(ROUND(E65/E$9*D$9,0),"-")</f>
        <v>-</v>
      </c>
      <c r="E65" s="56" t="str" cm="1">
        <f t="array" ref="E65">IFERROR(SUMIFS(shift_mps,Date,"&gt;="&amp;E$4,Date,"&lt;="&amp;E$5,Key_Gps,"*"&amp;E$1&amp;"*"),"-")</f>
        <v>-</v>
      </c>
      <c r="F65" s="56" t="str" cm="1">
        <f t="array" ref="F65">IFERROR(SUMIFS(shift_mps,Date,"&gt;="&amp;F$4,Date,"&lt;="&amp;F$5,Key_Gps,"*"&amp;F$1&amp;"*"),"-")</f>
        <v>-</v>
      </c>
      <c r="G65" s="56" t="str" cm="1">
        <f t="array" ref="G65">IFERROR(SUMIFS(shift_mps,Date,"&gt;="&amp;G$4,Date,"&lt;="&amp;G$5,Key_Gps,"*"&amp;G$1&amp;"*"),"-")</f>
        <v>-</v>
      </c>
      <c r="H65" s="56" t="str" cm="1">
        <f t="array" ref="H65">IFERROR(SUMIFS(shift_mps,Date,"&gt;="&amp;H$4,Date,"&lt;="&amp;H$5,Key_Gps,"*"&amp;H$1&amp;"*"),"-")</f>
        <v>-</v>
      </c>
      <c r="I65" s="56" t="str" cm="1">
        <f t="array" ref="I65">IFERROR(SUMIFS(shift_mps,Date,"&gt;="&amp;I$4,Date,"&lt;="&amp;I$5,Key_Gps,"*"&amp;I$1&amp;"*"),"-")</f>
        <v>-</v>
      </c>
      <c r="J65" s="56" t="str" cm="1">
        <f t="array" ref="J65">IFERROR(SUMIFS(shift_mps,Date,"&gt;="&amp;J$4,Date,"&lt;="&amp;J$5,Key_Gps,"*"&amp;J$1&amp;"*"),"-")</f>
        <v>-</v>
      </c>
      <c r="K65" s="56" t="str" cm="1">
        <f t="array" ref="K65">IFERROR(SUMIFS(shift_mps,Date,"&gt;="&amp;K$4,Date,"&lt;="&amp;K$5,Key_Gps,"*"&amp;K$1&amp;"*"),"-")</f>
        <v>-</v>
      </c>
      <c r="L65" s="56" t="str" cm="1">
        <f t="array" ref="L65">IFERROR(SUMIFS(shift_mps,Date,"&gt;="&amp;L$4,Date,"&lt;="&amp;L$5,Key_Gps,"*"&amp;L$1&amp;"*"),"-")</f>
        <v>-</v>
      </c>
      <c r="M65" s="155" t="str" cm="1">
        <f t="array" ref="M65">IFERROR(SUMIFS(shift_mps,Date,"&gt;="&amp;M$4,Date,"&lt;="&amp;M$5,Key_Gps,"*"&amp;M$1&amp;"*"),"-")</f>
        <v>-</v>
      </c>
      <c r="N65" s="53"/>
      <c r="O65" s="74"/>
      <c r="Q65" s="75" t="str">
        <f t="shared" si="22"/>
        <v/>
      </c>
      <c r="R65" s="76" t="e">
        <f t="shared" si="23"/>
        <v>#VALUE!</v>
      </c>
      <c r="S65" s="64">
        <f t="shared" si="15"/>
        <v>1</v>
      </c>
      <c r="T65" s="42" t="str">
        <f t="shared" ca="1" si="24"/>
        <v>-</v>
      </c>
      <c r="U65" s="42" t="str">
        <f t="shared" si="25"/>
        <v>-</v>
      </c>
      <c r="V65" s="42" t="str">
        <f t="shared" si="26"/>
        <v>-</v>
      </c>
      <c r="W65" s="42" t="str">
        <f t="shared" si="8"/>
        <v>-</v>
      </c>
      <c r="X65" s="42" t="str">
        <f t="shared" si="9"/>
        <v>-</v>
      </c>
      <c r="Y65" s="42" t="str">
        <f t="shared" si="10"/>
        <v>-</v>
      </c>
      <c r="Z65" s="42" t="str">
        <f t="shared" si="11"/>
        <v>-</v>
      </c>
      <c r="AA65" s="42" t="str">
        <f t="shared" si="12"/>
        <v>-</v>
      </c>
      <c r="AB65" s="42" t="str">
        <f t="shared" si="13"/>
        <v>-</v>
      </c>
      <c r="AC65" s="42" t="str">
        <f t="shared" si="27"/>
        <v>-</v>
      </c>
    </row>
    <row r="66" spans="1:37" ht="28.8" outlineLevel="1" x14ac:dyDescent="0.25">
      <c r="A66" s="42" t="s">
        <v>13</v>
      </c>
      <c r="B66" s="314"/>
      <c r="C66" s="55" t="s">
        <v>96</v>
      </c>
      <c r="D66" s="195" t="str">
        <f ca="1">_xlfn.LET(_xlpm.denom,D$65,_xlpm.calc,ROUND($Q66*_xlpm.denom,0),_xlpm.perc,_xlpm.calc/_xlpm.denom,IFERROR(IF(_xlpm.calc&lt;1000,_xlfn.CONCAT(_xlpm.calc," (",TEXT(_xlpm.perc,"0.0%"),")"),_xlfn.CONCAT(TEXT(_xlpm.calc,"0,000")," (",TEXT(_xlpm.perc,"0.0%"),")")),"-"))</f>
        <v>-</v>
      </c>
      <c r="E66" s="56" t="str" cm="1">
        <f t="array" ref="E66">_xlfn.LET(_xlpm.denom,E$65,_xlpm.calc,SUMIFS(mp_lt_thirty,Date,"&gt;="&amp;E$4,Date,"&lt;="&amp;E$5,Key_Gps,"*"&amp;E$1&amp;"*"),_xlpm.perc,_xlpm.calc/_xlpm.denom,IFERROR(IF(_xlpm.calc&lt;1000,_xlfn.CONCAT(_xlpm.calc," (",TEXT(_xlpm.perc,"0.0%"),")"),_xlfn.CONCAT(TEXT(_xlpm.calc,"0,000")," (",TEXT(_xlpm.perc,"0.0%"),")")),"-"))</f>
        <v>-</v>
      </c>
      <c r="F66" s="56" t="str" cm="1">
        <f t="array" ref="F66">_xlfn.LET(_xlpm.denom,F$65,_xlpm.calc,SUMIFS(mp_lt_thirty,Date,"&gt;="&amp;F$4,Date,"&lt;="&amp;F$5,Key_Gps,"*"&amp;F$1&amp;"*"),_xlpm.perc,_xlpm.calc/_xlpm.denom,IFERROR(IF(_xlpm.calc&lt;1000,_xlfn.CONCAT(_xlpm.calc," (",TEXT(_xlpm.perc,"0.0%"),")"),_xlfn.CONCAT(TEXT(_xlpm.calc,"0,000")," (",TEXT(_xlpm.perc,"0.0%"),")")),"-"))</f>
        <v>-</v>
      </c>
      <c r="G66" s="56" t="str" cm="1">
        <f t="array" ref="G66">_xlfn.LET(_xlpm.denom,G$65,_xlpm.calc,SUMIFS(mp_lt_thirty,Date,"&gt;="&amp;G$4,Date,"&lt;="&amp;G$5,Key_Gps,"*"&amp;G$1&amp;"*"),_xlpm.perc,_xlpm.calc/_xlpm.denom,IFERROR(IF(_xlpm.calc&lt;1000,_xlfn.CONCAT(_xlpm.calc," (",TEXT(_xlpm.perc,"0.0%"),")"),_xlfn.CONCAT(TEXT(_xlpm.calc,"0,000")," (",TEXT(_xlpm.perc,"0.0%"),")")),"-"))</f>
        <v>-</v>
      </c>
      <c r="H66" s="56" t="str" cm="1">
        <f t="array" ref="H66">_xlfn.LET(_xlpm.denom,H$65,_xlpm.calc,SUMIFS(mp_lt_thirty,Date,"&gt;="&amp;H$4,Date,"&lt;="&amp;H$5,Key_Gps,"*"&amp;H$1&amp;"*"),_xlpm.perc,_xlpm.calc/_xlpm.denom,IFERROR(IF(_xlpm.calc&lt;1000,_xlfn.CONCAT(_xlpm.calc," (",TEXT(_xlpm.perc,"0.0%"),")"),_xlfn.CONCAT(TEXT(_xlpm.calc,"0,000")," (",TEXT(_xlpm.perc,"0.0%"),")")),"-"))</f>
        <v>-</v>
      </c>
      <c r="I66" s="56" t="str" cm="1">
        <f t="array" ref="I66">_xlfn.LET(_xlpm.denom,I$65,_xlpm.calc,SUMIFS(mp_lt_thirty,Date,"&gt;="&amp;I$4,Date,"&lt;="&amp;I$5,Key_Gps,"*"&amp;I$1&amp;"*"),_xlpm.perc,_xlpm.calc/_xlpm.denom,IFERROR(IF(_xlpm.calc&lt;1000,_xlfn.CONCAT(_xlpm.calc," (",TEXT(_xlpm.perc,"0.0%"),")"),_xlfn.CONCAT(TEXT(_xlpm.calc,"0,000")," (",TEXT(_xlpm.perc,"0.0%"),")")),"-"))</f>
        <v>-</v>
      </c>
      <c r="J66" s="56" t="str" cm="1">
        <f t="array" ref="J66">_xlfn.LET(_xlpm.denom,J$65,_xlpm.calc,SUMIFS(mp_lt_thirty,Date,"&gt;="&amp;J$4,Date,"&lt;="&amp;J$5,Key_Gps,"*"&amp;J$1&amp;"*"),_xlpm.perc,_xlpm.calc/_xlpm.denom,IFERROR(IF(_xlpm.calc&lt;1000,_xlfn.CONCAT(_xlpm.calc," (",TEXT(_xlpm.perc,"0.0%"),")"),_xlfn.CONCAT(TEXT(_xlpm.calc,"0,000")," (",TEXT(_xlpm.perc,"0.0%"),")")),"-"))</f>
        <v>-</v>
      </c>
      <c r="K66" s="56" t="str" cm="1">
        <f t="array" ref="K66">_xlfn.LET(_xlpm.denom,K$65,_xlpm.calc,SUMIFS(mp_lt_thirty,Date,"&gt;="&amp;K$4,Date,"&lt;="&amp;K$5,Key_Gps,"*"&amp;K$1&amp;"*"),_xlpm.perc,_xlpm.calc/_xlpm.denom,IFERROR(IF(_xlpm.calc&lt;1000,_xlfn.CONCAT(_xlpm.calc," (",TEXT(_xlpm.perc,"0.0%"),")"),_xlfn.CONCAT(TEXT(_xlpm.calc,"0,000")," (",TEXT(_xlpm.perc,"0.0%"),")")),"-"))</f>
        <v>-</v>
      </c>
      <c r="L66" s="56" t="str" cm="1">
        <f t="array" ref="L66">_xlfn.LET(_xlpm.denom,L$65,_xlpm.calc,SUMIFS(mp_lt_thirty,Date,"&gt;="&amp;L$4,Date,"&lt;="&amp;L$5,Key_Gps,"*"&amp;L$1&amp;"*"),_xlpm.perc,_xlpm.calc/_xlpm.denom,IFERROR(IF(_xlpm.calc&lt;1000,_xlfn.CONCAT(_xlpm.calc," (",TEXT(_xlpm.perc,"0.0%"),")"),_xlfn.CONCAT(TEXT(_xlpm.calc,"0,000")," (",TEXT(_xlpm.perc,"0.0%"),")")),"-"))</f>
        <v>-</v>
      </c>
      <c r="M66" s="155" t="str" cm="1">
        <f t="array" ref="M66">_xlfn.LET(_xlpm.denom,M$65,_xlpm.calc,SUMIFS(mp_lt_thirty,Date,"&gt;="&amp;M$4,Date,"&lt;="&amp;M$5,Key_Gps,"*"&amp;M$1&amp;"*"),_xlpm.perc,_xlpm.calc/_xlpm.denom,IFERROR(IF(_xlpm.calc&lt;1000,_xlfn.CONCAT(_xlpm.calc," (",TEXT(_xlpm.perc,"0.0%"),")"),_xlfn.CONCAT(TEXT(_xlpm.calc,"0,000")," (",TEXT(_xlpm.perc,"0.0%"),")")),"-"))</f>
        <v>-</v>
      </c>
      <c r="N66" s="53" t="s">
        <v>97</v>
      </c>
      <c r="O66" s="74"/>
      <c r="Q66" s="75" t="str">
        <f t="shared" si="22"/>
        <v/>
      </c>
      <c r="R66" s="76" t="e">
        <f t="shared" si="23"/>
        <v>#VALUE!</v>
      </c>
      <c r="S66" s="64">
        <f t="shared" si="15"/>
        <v>1</v>
      </c>
      <c r="T66" s="42" t="str">
        <f t="shared" ca="1" si="24"/>
        <v>-</v>
      </c>
      <c r="U66" s="42" t="str">
        <f t="shared" si="25"/>
        <v>-</v>
      </c>
      <c r="V66" s="42" t="str">
        <f t="shared" si="26"/>
        <v>-</v>
      </c>
      <c r="W66" s="42" t="str">
        <f t="shared" si="8"/>
        <v>-</v>
      </c>
      <c r="X66" s="42" t="str">
        <f t="shared" si="9"/>
        <v>-</v>
      </c>
      <c r="Y66" s="42" t="str">
        <f t="shared" si="10"/>
        <v>-</v>
      </c>
      <c r="Z66" s="42" t="str">
        <f t="shared" si="11"/>
        <v>-</v>
      </c>
      <c r="AA66" s="42" t="str">
        <f t="shared" si="12"/>
        <v>-</v>
      </c>
      <c r="AB66" s="42" t="str">
        <f t="shared" si="13"/>
        <v>-</v>
      </c>
      <c r="AC66" s="42" t="str">
        <f t="shared" si="27"/>
        <v>-</v>
      </c>
    </row>
    <row r="67" spans="1:37" ht="28.8" outlineLevel="1" x14ac:dyDescent="0.25">
      <c r="A67" s="42" t="s">
        <v>13</v>
      </c>
      <c r="B67" s="314"/>
      <c r="C67" s="55" t="s">
        <v>98</v>
      </c>
      <c r="D67" s="195" t="str">
        <f ca="1">_xlfn.LET(_xlpm.denom,D$65,_xlpm.calc,ROUND($Q67*_xlpm.denom,0),_xlpm.perc,_xlpm.calc/_xlpm.denom,IFERROR(IF(_xlpm.calc&lt;1000,_xlfn.CONCAT(_xlpm.calc," (",TEXT(_xlpm.perc,"0.0%"),")"),_xlfn.CONCAT(TEXT(_xlpm.calc,"0,000")," (",TEXT(_xlpm.perc,"0.0%"),")")),"-"))</f>
        <v>-</v>
      </c>
      <c r="E67" s="56" t="str" cm="1">
        <f t="array" ref="E67">_xlfn.LET(_xlpm.denom,E$65,_xlpm.calc,SUMIFS(mp_thirty,Date,"&gt;="&amp;E$4,Date,"&lt;="&amp;E$5,Key_Gps,"*"&amp;E$1&amp;"*"),_xlpm.perc,_xlpm.calc/_xlpm.denom,IFERROR(IF(_xlpm.calc&lt;1000,_xlfn.CONCAT(_xlpm.calc," (",TEXT(_xlpm.perc,"0.0%"),")"),_xlfn.CONCAT(TEXT(_xlpm.calc,"0,000")," (",TEXT(_xlpm.perc,"0.0%"),")")),"-"))</f>
        <v>-</v>
      </c>
      <c r="F67" s="56" t="str" cm="1">
        <f t="array" ref="F67">_xlfn.LET(_xlpm.denom,F$65,_xlpm.calc,SUMIFS(mp_thirty,Date,"&gt;="&amp;F$4,Date,"&lt;="&amp;F$5,Key_Gps,"*"&amp;F$1&amp;"*"),_xlpm.perc,_xlpm.calc/_xlpm.denom,IFERROR(IF(_xlpm.calc&lt;1000,_xlfn.CONCAT(_xlpm.calc," (",TEXT(_xlpm.perc,"0.0%"),")"),_xlfn.CONCAT(TEXT(_xlpm.calc,"0,000")," (",TEXT(_xlpm.perc,"0.0%"),")")),"-"))</f>
        <v>-</v>
      </c>
      <c r="G67" s="56" t="str" cm="1">
        <f t="array" ref="G67">_xlfn.LET(_xlpm.denom,G$65,_xlpm.calc,SUMIFS(mp_thirty,Date,"&gt;="&amp;G$4,Date,"&lt;="&amp;G$5,Key_Gps,"*"&amp;G$1&amp;"*"),_xlpm.perc,_xlpm.calc/_xlpm.denom,IFERROR(IF(_xlpm.calc&lt;1000,_xlfn.CONCAT(_xlpm.calc," (",TEXT(_xlpm.perc,"0.0%"),")"),_xlfn.CONCAT(TEXT(_xlpm.calc,"0,000")," (",TEXT(_xlpm.perc,"0.0%"),")")),"-"))</f>
        <v>-</v>
      </c>
      <c r="H67" s="56" t="str" cm="1">
        <f t="array" ref="H67">_xlfn.LET(_xlpm.denom,H$65,_xlpm.calc,SUMIFS(mp_thirty,Date,"&gt;="&amp;H$4,Date,"&lt;="&amp;H$5,Key_Gps,"*"&amp;H$1&amp;"*"),_xlpm.perc,_xlpm.calc/_xlpm.denom,IFERROR(IF(_xlpm.calc&lt;1000,_xlfn.CONCAT(_xlpm.calc," (",TEXT(_xlpm.perc,"0.0%"),")"),_xlfn.CONCAT(TEXT(_xlpm.calc,"0,000")," (",TEXT(_xlpm.perc,"0.0%"),")")),"-"))</f>
        <v>-</v>
      </c>
      <c r="I67" s="56" t="str" cm="1">
        <f t="array" ref="I67">_xlfn.LET(_xlpm.denom,I$65,_xlpm.calc,SUMIFS(mp_thirty,Date,"&gt;="&amp;I$4,Date,"&lt;="&amp;I$5,Key_Gps,"*"&amp;I$1&amp;"*"),_xlpm.perc,_xlpm.calc/_xlpm.denom,IFERROR(IF(_xlpm.calc&lt;1000,_xlfn.CONCAT(_xlpm.calc," (",TEXT(_xlpm.perc,"0.0%"),")"),_xlfn.CONCAT(TEXT(_xlpm.calc,"0,000")," (",TEXT(_xlpm.perc,"0.0%"),")")),"-"))</f>
        <v>-</v>
      </c>
      <c r="J67" s="56" t="str" cm="1">
        <f t="array" ref="J67">_xlfn.LET(_xlpm.denom,J$65,_xlpm.calc,SUMIFS(mp_thirty,Date,"&gt;="&amp;J$4,Date,"&lt;="&amp;J$5,Key_Gps,"*"&amp;J$1&amp;"*"),_xlpm.perc,_xlpm.calc/_xlpm.denom,IFERROR(IF(_xlpm.calc&lt;1000,_xlfn.CONCAT(_xlpm.calc," (",TEXT(_xlpm.perc,"0.0%"),")"),_xlfn.CONCAT(TEXT(_xlpm.calc,"0,000")," (",TEXT(_xlpm.perc,"0.0%"),")")),"-"))</f>
        <v>-</v>
      </c>
      <c r="K67" s="56" t="str" cm="1">
        <f t="array" ref="K67">_xlfn.LET(_xlpm.denom,K$65,_xlpm.calc,SUMIFS(mp_thirty,Date,"&gt;="&amp;K$4,Date,"&lt;="&amp;K$5,Key_Gps,"*"&amp;K$1&amp;"*"),_xlpm.perc,_xlpm.calc/_xlpm.denom,IFERROR(IF(_xlpm.calc&lt;1000,_xlfn.CONCAT(_xlpm.calc," (",TEXT(_xlpm.perc,"0.0%"),")"),_xlfn.CONCAT(TEXT(_xlpm.calc,"0,000")," (",TEXT(_xlpm.perc,"0.0%"),")")),"-"))</f>
        <v>-</v>
      </c>
      <c r="L67" s="56" t="str" cm="1">
        <f t="array" ref="L67">_xlfn.LET(_xlpm.denom,L$65,_xlpm.calc,SUMIFS(mp_thirty,Date,"&gt;="&amp;L$4,Date,"&lt;="&amp;L$5,Key_Gps,"*"&amp;L$1&amp;"*"),_xlpm.perc,_xlpm.calc/_xlpm.denom,IFERROR(IF(_xlpm.calc&lt;1000,_xlfn.CONCAT(_xlpm.calc," (",TEXT(_xlpm.perc,"0.0%"),")"),_xlfn.CONCAT(TEXT(_xlpm.calc,"0,000")," (",TEXT(_xlpm.perc,"0.0%"),")")),"-"))</f>
        <v>-</v>
      </c>
      <c r="M67" s="155" t="str" cm="1">
        <f t="array" ref="M67">_xlfn.LET(_xlpm.denom,M$65,_xlpm.calc,SUMIFS(mp_thirty,Date,"&gt;="&amp;M$4,Date,"&lt;="&amp;M$5,Key_Gps,"*"&amp;M$1&amp;"*"),_xlpm.perc,_xlpm.calc/_xlpm.denom,IFERROR(IF(_xlpm.calc&lt;1000,_xlfn.CONCAT(_xlpm.calc," (",TEXT(_xlpm.perc,"0.0%"),")"),_xlfn.CONCAT(TEXT(_xlpm.calc,"0,000")," (",TEXT(_xlpm.perc,"0.0%"),")")),"-"))</f>
        <v>-</v>
      </c>
      <c r="N67" s="53" t="s">
        <v>97</v>
      </c>
      <c r="O67" s="74"/>
      <c r="Q67" s="75" t="str">
        <f t="shared" si="22"/>
        <v/>
      </c>
      <c r="R67" s="76" t="e">
        <f t="shared" si="23"/>
        <v>#VALUE!</v>
      </c>
      <c r="S67" s="64">
        <f t="shared" si="15"/>
        <v>1</v>
      </c>
      <c r="T67" s="42" t="str">
        <f t="shared" ca="1" si="24"/>
        <v>-</v>
      </c>
      <c r="U67" s="42" t="str">
        <f t="shared" si="25"/>
        <v>-</v>
      </c>
      <c r="V67" s="42" t="str">
        <f t="shared" si="26"/>
        <v>-</v>
      </c>
      <c r="W67" s="42" t="str">
        <f t="shared" si="8"/>
        <v>-</v>
      </c>
      <c r="X67" s="42" t="str">
        <f t="shared" si="9"/>
        <v>-</v>
      </c>
      <c r="Y67" s="42" t="str">
        <f t="shared" si="10"/>
        <v>-</v>
      </c>
      <c r="Z67" s="42" t="str">
        <f t="shared" si="11"/>
        <v>-</v>
      </c>
      <c r="AA67" s="42" t="str">
        <f t="shared" si="12"/>
        <v>-</v>
      </c>
      <c r="AB67" s="42" t="str">
        <f t="shared" si="13"/>
        <v>-</v>
      </c>
      <c r="AC67" s="42" t="str">
        <f t="shared" si="27"/>
        <v>-</v>
      </c>
    </row>
    <row r="68" spans="1:37" ht="28.8" outlineLevel="1" x14ac:dyDescent="0.25">
      <c r="A68" s="42" t="s">
        <v>13</v>
      </c>
      <c r="B68" s="314"/>
      <c r="C68" s="55" t="s">
        <v>99</v>
      </c>
      <c r="D68" s="195" t="str">
        <f ca="1">_xlfn.LET(_xlpm.denom,D$65,_xlpm.calc,ROUND($Q68*_xlpm.denom,0),_xlpm.perc,_xlpm.calc/_xlpm.denom,IFERROR(IF(_xlpm.calc&lt;1000,_xlfn.CONCAT(_xlpm.calc," (",TEXT(_xlpm.perc,"0.0%"),")"),_xlfn.CONCAT(TEXT(_xlpm.calc,"0,000")," (",TEXT(_xlpm.perc,"0.0%"),")")),"-"))</f>
        <v>-</v>
      </c>
      <c r="E68" s="56" t="str" cm="1">
        <f t="array" ref="E68">_xlfn.LET(_xlpm.denom,E$65,_xlpm.calc,SUMIFS(mp_gt_thirty,Date,"&gt;="&amp;E$4,Date,"&lt;="&amp;E$5,Key_Gps,"*"&amp;E$1&amp;"*"),_xlpm.perc,_xlpm.calc/_xlpm.denom,IFERROR(IF(_xlpm.calc&lt;1000,_xlfn.CONCAT(_xlpm.calc," (",TEXT(_xlpm.perc,"0.0%"),")"),_xlfn.CONCAT(TEXT(_xlpm.calc,"0,000")," (",TEXT(_xlpm.perc,"0.0%"),")")),"-"))</f>
        <v>-</v>
      </c>
      <c r="F68" s="56" t="str" cm="1">
        <f t="array" ref="F68">_xlfn.LET(_xlpm.denom,F$65,_xlpm.calc,SUMIFS(mp_gt_thirty,Date,"&gt;="&amp;F$4,Date,"&lt;="&amp;F$5,Key_Gps,"*"&amp;F$1&amp;"*"),_xlpm.perc,_xlpm.calc/_xlpm.denom,IFERROR(IF(_xlpm.calc&lt;1000,_xlfn.CONCAT(_xlpm.calc," (",TEXT(_xlpm.perc,"0.0%"),")"),_xlfn.CONCAT(TEXT(_xlpm.calc,"0,000")," (",TEXT(_xlpm.perc,"0.0%"),")")),"-"))</f>
        <v>-</v>
      </c>
      <c r="G68" s="56" t="str" cm="1">
        <f t="array" ref="G68">_xlfn.LET(_xlpm.denom,G$65,_xlpm.calc,SUMIFS(mp_gt_thirty,Date,"&gt;="&amp;G$4,Date,"&lt;="&amp;G$5,Key_Gps,"*"&amp;G$1&amp;"*"),_xlpm.perc,_xlpm.calc/_xlpm.denom,IFERROR(IF(_xlpm.calc&lt;1000,_xlfn.CONCAT(_xlpm.calc," (",TEXT(_xlpm.perc,"0.0%"),")"),_xlfn.CONCAT(TEXT(_xlpm.calc,"0,000")," (",TEXT(_xlpm.perc,"0.0%"),")")),"-"))</f>
        <v>-</v>
      </c>
      <c r="H68" s="56" t="str" cm="1">
        <f t="array" ref="H68">_xlfn.LET(_xlpm.denom,H$65,_xlpm.calc,SUMIFS(mp_gt_thirty,Date,"&gt;="&amp;H$4,Date,"&lt;="&amp;H$5,Key_Gps,"*"&amp;H$1&amp;"*"),_xlpm.perc,_xlpm.calc/_xlpm.denom,IFERROR(IF(_xlpm.calc&lt;1000,_xlfn.CONCAT(_xlpm.calc," (",TEXT(_xlpm.perc,"0.0%"),")"),_xlfn.CONCAT(TEXT(_xlpm.calc,"0,000")," (",TEXT(_xlpm.perc,"0.0%"),")")),"-"))</f>
        <v>-</v>
      </c>
      <c r="I68" s="56" t="str" cm="1">
        <f t="array" ref="I68">_xlfn.LET(_xlpm.denom,I$65,_xlpm.calc,SUMIFS(mp_gt_thirty,Date,"&gt;="&amp;I$4,Date,"&lt;="&amp;I$5,Key_Gps,"*"&amp;I$1&amp;"*"),_xlpm.perc,_xlpm.calc/_xlpm.denom,IFERROR(IF(_xlpm.calc&lt;1000,_xlfn.CONCAT(_xlpm.calc," (",TEXT(_xlpm.perc,"0.0%"),")"),_xlfn.CONCAT(TEXT(_xlpm.calc,"0,000")," (",TEXT(_xlpm.perc,"0.0%"),")")),"-"))</f>
        <v>-</v>
      </c>
      <c r="J68" s="56" t="str" cm="1">
        <f t="array" ref="J68">_xlfn.LET(_xlpm.denom,J$65,_xlpm.calc,SUMIFS(mp_gt_thirty,Date,"&gt;="&amp;J$4,Date,"&lt;="&amp;J$5,Key_Gps,"*"&amp;J$1&amp;"*"),_xlpm.perc,_xlpm.calc/_xlpm.denom,IFERROR(IF(_xlpm.calc&lt;1000,_xlfn.CONCAT(_xlpm.calc," (",TEXT(_xlpm.perc,"0.0%"),")"),_xlfn.CONCAT(TEXT(_xlpm.calc,"0,000")," (",TEXT(_xlpm.perc,"0.0%"),")")),"-"))</f>
        <v>-</v>
      </c>
      <c r="K68" s="56" t="str" cm="1">
        <f t="array" ref="K68">_xlfn.LET(_xlpm.denom,K$65,_xlpm.calc,SUMIFS(mp_gt_thirty,Date,"&gt;="&amp;K$4,Date,"&lt;="&amp;K$5,Key_Gps,"*"&amp;K$1&amp;"*"),_xlpm.perc,_xlpm.calc/_xlpm.denom,IFERROR(IF(_xlpm.calc&lt;1000,_xlfn.CONCAT(_xlpm.calc," (",TEXT(_xlpm.perc,"0.0%"),")"),_xlfn.CONCAT(TEXT(_xlpm.calc,"0,000")," (",TEXT(_xlpm.perc,"0.0%"),")")),"-"))</f>
        <v>-</v>
      </c>
      <c r="L68" s="56" t="str" cm="1">
        <f t="array" ref="L68">_xlfn.LET(_xlpm.denom,L$65,_xlpm.calc,SUMIFS(mp_gt_thirty,Date,"&gt;="&amp;L$4,Date,"&lt;="&amp;L$5,Key_Gps,"*"&amp;L$1&amp;"*"),_xlpm.perc,_xlpm.calc/_xlpm.denom,IFERROR(IF(_xlpm.calc&lt;1000,_xlfn.CONCAT(_xlpm.calc," (",TEXT(_xlpm.perc,"0.0%"),")"),_xlfn.CONCAT(TEXT(_xlpm.calc,"0,000")," (",TEXT(_xlpm.perc,"0.0%"),")")),"-"))</f>
        <v>-</v>
      </c>
      <c r="M68" s="155" t="str" cm="1">
        <f t="array" ref="M68">_xlfn.LET(_xlpm.denom,M$65,_xlpm.calc,SUMIFS(mp_gt_thirty,Date,"&gt;="&amp;M$4,Date,"&lt;="&amp;M$5,Key_Gps,"*"&amp;M$1&amp;"*"),_xlpm.perc,_xlpm.calc/_xlpm.denom,IFERROR(IF(_xlpm.calc&lt;1000,_xlfn.CONCAT(_xlpm.calc," (",TEXT(_xlpm.perc,"0.0%"),")"),_xlfn.CONCAT(TEXT(_xlpm.calc,"0,000")," (",TEXT(_xlpm.perc,"0.0%"),")")),"-"))</f>
        <v>-</v>
      </c>
      <c r="N68" s="53" t="s">
        <v>97</v>
      </c>
      <c r="O68" s="74"/>
      <c r="Q68" s="75" t="str">
        <f t="shared" ref="Q68:Q93" si="33">IF(IFERROR(SEARCH("(",E68),0)=0,"",VALUE(SUBSTITUTE(RIGHT(E68,LEN(E68)-SEARCH("(",E68)),")","")))</f>
        <v/>
      </c>
      <c r="R68" s="76" t="e">
        <f t="shared" ref="R68:R93" si="34">IF(U68="","",SUM(V68:AB68)-U68)</f>
        <v>#VALUE!</v>
      </c>
      <c r="S68" s="64">
        <f t="shared" si="15"/>
        <v>1</v>
      </c>
      <c r="T68" s="42" t="str">
        <f t="shared" ref="T68:T93" ca="1" si="35">IF($S68&lt;&gt;1,"",IF(IFERROR(SEARCH("(",D68),0)=0,D68,VALUE(TRIM(LEFT(D68,SEARCH(" (",D68))))))</f>
        <v>-</v>
      </c>
      <c r="U68" s="42" t="str">
        <f t="shared" ref="U68:U93" si="36">IF($S68&lt;&gt;1,"",IF(IFERROR(SEARCH("(",E68),0)=0,E68,VALUE(TRIM(LEFT(E68,SEARCH(" (",E68))))))</f>
        <v>-</v>
      </c>
      <c r="V68" s="42" t="str">
        <f t="shared" ref="V68:V93" si="37">IF($S68&lt;&gt;1,"",IF(IFERROR(SEARCH("(",F68),0)=0,F68,VALUE(TRIM(LEFT(F68,SEARCH(" (",F68))))))</f>
        <v>-</v>
      </c>
      <c r="W68" s="42" t="str">
        <f t="shared" ref="W68:W93" si="38">IF($S68&lt;&gt;1,"",IF(IFERROR(SEARCH("(",G68),0)=0,G68,VALUE(TRIM(LEFT(G68,SEARCH(" (",G68))))))</f>
        <v>-</v>
      </c>
      <c r="X68" s="42" t="str">
        <f t="shared" ref="X68:X93" si="39">IF($S68&lt;&gt;1,"",IF(IFERROR(SEARCH("(",H68),0)=0,H68,VALUE(TRIM(LEFT(H68,SEARCH(" (",H68))))))</f>
        <v>-</v>
      </c>
      <c r="Y68" s="42" t="str">
        <f t="shared" ref="Y68:Y93" si="40">IF($S68&lt;&gt;1,"",IF(IFERROR(SEARCH("(",I68),0)=0,I68,VALUE(TRIM(LEFT(I68,SEARCH(" (",I68))))))</f>
        <v>-</v>
      </c>
      <c r="Z68" s="42" t="str">
        <f t="shared" ref="Z68:Z93" si="41">IF($S68&lt;&gt;1,"",IF(IFERROR(SEARCH("(",J68),0)=0,J68,VALUE(TRIM(LEFT(J68,SEARCH(" (",J68))))))</f>
        <v>-</v>
      </c>
      <c r="AA68" s="42" t="str">
        <f t="shared" ref="AA68:AA93" si="42">IF($S68&lt;&gt;1,"",IF(IFERROR(SEARCH("(",K68),0)=0,K68,VALUE(TRIM(LEFT(K68,SEARCH(" (",K68))))))</f>
        <v>-</v>
      </c>
      <c r="AB68" s="42" t="str">
        <f t="shared" ref="AB68:AB93" si="43">IF($S68&lt;&gt;1,"",IF(IFERROR(SEARCH("(",L68),0)=0,L68,VALUE(TRIM(LEFT(L68,SEARCH(" (",L68))))))</f>
        <v>-</v>
      </c>
      <c r="AC68" s="42" t="str">
        <f t="shared" ref="AC68:AC93" si="44">IF($S68&lt;&gt;1,"",IF(IFERROR(SEARCH("(",M68),0)=0,M68,VALUE(TRIM(LEFT(M68,SEARCH(" (",M68))))))</f>
        <v>-</v>
      </c>
    </row>
    <row r="69" spans="1:37" x14ac:dyDescent="0.25">
      <c r="A69" s="42">
        <v>1</v>
      </c>
      <c r="D69" s="190"/>
      <c r="E69" s="57"/>
      <c r="F69" s="57"/>
      <c r="G69" s="57"/>
      <c r="H69" s="57"/>
      <c r="I69" s="57"/>
      <c r="J69" s="57"/>
      <c r="K69" s="57"/>
      <c r="L69" s="57"/>
      <c r="M69" s="152"/>
      <c r="N69" s="57"/>
      <c r="O69" s="74"/>
      <c r="Q69" s="75" t="str">
        <f t="shared" si="33"/>
        <v/>
      </c>
      <c r="R69" s="76" t="str">
        <f t="shared" si="34"/>
        <v/>
      </c>
      <c r="S69" s="64" t="str">
        <f t="shared" si="15"/>
        <v/>
      </c>
      <c r="T69" s="42" t="str">
        <f t="shared" si="35"/>
        <v/>
      </c>
      <c r="U69" s="42" t="str">
        <f t="shared" si="36"/>
        <v/>
      </c>
      <c r="V69" s="42" t="str">
        <f t="shared" si="37"/>
        <v/>
      </c>
      <c r="W69" s="42" t="str">
        <f t="shared" si="38"/>
        <v/>
      </c>
      <c r="X69" s="42" t="str">
        <f t="shared" si="39"/>
        <v/>
      </c>
      <c r="Y69" s="42" t="str">
        <f t="shared" si="40"/>
        <v/>
      </c>
      <c r="Z69" s="42" t="str">
        <f t="shared" si="41"/>
        <v/>
      </c>
      <c r="AA69" s="42" t="str">
        <f t="shared" si="42"/>
        <v/>
      </c>
      <c r="AB69" s="42" t="str">
        <f t="shared" si="43"/>
        <v/>
      </c>
      <c r="AC69" s="42" t="str">
        <f t="shared" si="44"/>
        <v/>
      </c>
    </row>
    <row r="70" spans="1:37" ht="28.8" outlineLevel="1" x14ac:dyDescent="0.25">
      <c r="A70" s="42" t="s">
        <v>13</v>
      </c>
      <c r="B70" s="314" t="s">
        <v>100</v>
      </c>
      <c r="C70" s="51" t="s">
        <v>15</v>
      </c>
      <c r="D70" s="193">
        <f t="shared" ref="D70:K71" si="45">_xlfn.LET(_xlpm.calc,_xlfn.XLOOKUP($C70,$C:$C,D:D),_xlpm.calc)</f>
        <v>43466</v>
      </c>
      <c r="E70" s="52" t="e">
        <f t="shared" si="45"/>
        <v>#NAME?</v>
      </c>
      <c r="F70" s="52" t="e">
        <f t="shared" si="45"/>
        <v>#NAME?</v>
      </c>
      <c r="G70" s="52" t="e">
        <f t="shared" si="45"/>
        <v>#NAME?</v>
      </c>
      <c r="H70" s="52" t="e">
        <f t="shared" si="45"/>
        <v>#NAME?</v>
      </c>
      <c r="I70" s="52" t="e">
        <f t="shared" si="45"/>
        <v>#NAME?</v>
      </c>
      <c r="J70" s="52" t="e">
        <f t="shared" si="45"/>
        <v>#NAME?</v>
      </c>
      <c r="K70" s="52" t="e">
        <f t="shared" si="45"/>
        <v>#NAME?</v>
      </c>
      <c r="L70" s="52" t="e">
        <f>_xlfn.LET(_xlpm.calc,_xlfn.XLOOKUP($C70,$C:$C,L:L),_xlpm.calc)</f>
        <v>#NAME?</v>
      </c>
      <c r="M70" s="154" t="e">
        <f>_xlfn.LET(_xlpm.calc,_xlfn.XLOOKUP($C70,$C:$C,M:M),_xlpm.calc)</f>
        <v>#NAME?</v>
      </c>
      <c r="N70" s="84" t="s">
        <v>24</v>
      </c>
      <c r="O70" s="74"/>
      <c r="P70" s="44"/>
      <c r="Q70" s="75" t="str">
        <f t="shared" si="33"/>
        <v/>
      </c>
      <c r="R70" s="76" t="str">
        <f t="shared" si="34"/>
        <v/>
      </c>
      <c r="S70" s="64" t="str">
        <f t="shared" si="15"/>
        <v/>
      </c>
      <c r="T70" s="42" t="str">
        <f t="shared" si="35"/>
        <v/>
      </c>
      <c r="U70" s="42" t="str">
        <f t="shared" si="36"/>
        <v/>
      </c>
      <c r="V70" s="42" t="str">
        <f t="shared" si="37"/>
        <v/>
      </c>
      <c r="W70" s="42" t="str">
        <f t="shared" si="38"/>
        <v/>
      </c>
      <c r="X70" s="42" t="str">
        <f t="shared" si="39"/>
        <v/>
      </c>
      <c r="Y70" s="42" t="str">
        <f t="shared" si="40"/>
        <v/>
      </c>
      <c r="Z70" s="42" t="str">
        <f t="shared" si="41"/>
        <v/>
      </c>
      <c r="AA70" s="42" t="str">
        <f t="shared" si="42"/>
        <v/>
      </c>
      <c r="AB70" s="42" t="str">
        <f t="shared" si="43"/>
        <v/>
      </c>
      <c r="AC70" s="42" t="str">
        <f t="shared" si="44"/>
        <v/>
      </c>
    </row>
    <row r="71" spans="1:37" ht="28.8" outlineLevel="1" x14ac:dyDescent="0.25">
      <c r="A71" s="42" t="s">
        <v>13</v>
      </c>
      <c r="B71" s="323"/>
      <c r="C71" s="51" t="s">
        <v>16</v>
      </c>
      <c r="D71" s="193">
        <f t="shared" ca="1" si="45"/>
        <v>46083</v>
      </c>
      <c r="E71" s="52" t="e">
        <f t="shared" si="45"/>
        <v>#NAME?</v>
      </c>
      <c r="F71" s="52" t="e">
        <f t="shared" si="45"/>
        <v>#NAME?</v>
      </c>
      <c r="G71" s="52" t="e">
        <f t="shared" si="45"/>
        <v>#NAME?</v>
      </c>
      <c r="H71" s="52" t="e">
        <f t="shared" si="45"/>
        <v>#NAME?</v>
      </c>
      <c r="I71" s="52" t="e">
        <f t="shared" si="45"/>
        <v>#NAME?</v>
      </c>
      <c r="J71" s="52" t="e">
        <f t="shared" si="45"/>
        <v>#NAME?</v>
      </c>
      <c r="K71" s="52" t="e">
        <f t="shared" si="45"/>
        <v>#NAME?</v>
      </c>
      <c r="L71" s="52" t="e">
        <f>_xlfn.LET(_xlpm.calc,_xlfn.XLOOKUP($C71,$C:$C,L:L),_xlpm.calc)</f>
        <v>#NAME?</v>
      </c>
      <c r="M71" s="154" t="e">
        <f>_xlfn.LET(_xlpm.calc,_xlfn.XLOOKUP($C71,$C:$C,M:M),_xlpm.calc)</f>
        <v>#NAME?</v>
      </c>
      <c r="N71" s="53"/>
      <c r="O71" s="74"/>
      <c r="P71" s="44"/>
      <c r="Q71" s="75" t="str">
        <f t="shared" si="33"/>
        <v/>
      </c>
      <c r="R71" s="76" t="str">
        <f t="shared" si="34"/>
        <v/>
      </c>
      <c r="S71" s="64" t="str">
        <f t="shared" si="15"/>
        <v/>
      </c>
      <c r="T71" s="42" t="str">
        <f t="shared" si="35"/>
        <v/>
      </c>
      <c r="U71" s="42" t="str">
        <f t="shared" si="36"/>
        <v/>
      </c>
      <c r="V71" s="42" t="str">
        <f t="shared" si="37"/>
        <v/>
      </c>
      <c r="W71" s="42" t="str">
        <f t="shared" si="38"/>
        <v/>
      </c>
      <c r="X71" s="42" t="str">
        <f t="shared" si="39"/>
        <v/>
      </c>
      <c r="Y71" s="42" t="str">
        <f t="shared" si="40"/>
        <v/>
      </c>
      <c r="Z71" s="42" t="str">
        <f t="shared" si="41"/>
        <v/>
      </c>
      <c r="AA71" s="42" t="str">
        <f t="shared" si="42"/>
        <v/>
      </c>
      <c r="AB71" s="42" t="str">
        <f t="shared" si="43"/>
        <v/>
      </c>
      <c r="AC71" s="42" t="str">
        <f t="shared" si="44"/>
        <v/>
      </c>
    </row>
    <row r="72" spans="1:37" ht="28.8" outlineLevel="1" x14ac:dyDescent="0.25">
      <c r="A72" s="42" t="s">
        <v>13</v>
      </c>
      <c r="B72" s="323"/>
      <c r="C72" s="55" t="s">
        <v>65</v>
      </c>
      <c r="D72" s="195" t="str">
        <f t="shared" ref="D72:K72" ca="1" si="46">_xlfn.LET(_xlpm.calc,_xlfn.XLOOKUP($C72,$C:$C,D:D),IF(IFERROR(SEARCH(" ",_xlpm.calc),0)&gt;0,IFERROR(VALUE(LEFT(_xlpm.calc,SEARCH(" ",_xlpm.calc))),"-"),IFERROR(_xlpm.calc,"-")))</f>
        <v>-</v>
      </c>
      <c r="E72" s="65" t="str">
        <f t="shared" si="46"/>
        <v>-</v>
      </c>
      <c r="F72" s="65" t="str">
        <f t="shared" si="46"/>
        <v>-</v>
      </c>
      <c r="G72" s="65" t="str">
        <f t="shared" si="46"/>
        <v>-</v>
      </c>
      <c r="H72" s="65" t="str">
        <f t="shared" si="46"/>
        <v>-</v>
      </c>
      <c r="I72" s="65" t="str">
        <f t="shared" si="46"/>
        <v>-</v>
      </c>
      <c r="J72" s="65" t="str">
        <f t="shared" si="46"/>
        <v>-</v>
      </c>
      <c r="K72" s="65" t="str">
        <f t="shared" si="46"/>
        <v>-</v>
      </c>
      <c r="L72" s="65" t="str">
        <f>_xlfn.LET(_xlpm.calc,_xlfn.XLOOKUP($C72,$C:$C,L:L),IF(IFERROR(SEARCH(" ",_xlpm.calc),0)&gt;0,IFERROR(VALUE(LEFT(_xlpm.calc,SEARCH(" ",_xlpm.calc))),"-"),IFERROR(_xlpm.calc,"-")))</f>
        <v>-</v>
      </c>
      <c r="M72" s="155" t="str">
        <f>_xlfn.LET(_xlpm.calc,_xlfn.XLOOKUP($C72,$C:$C,M:M),IF(IFERROR(SEARCH(" ",_xlpm.calc),0)&gt;0,IFERROR(VALUE(LEFT(_xlpm.calc,SEARCH(" ",_xlpm.calc))),"-"),IFERROR(_xlpm.calc,"-")))</f>
        <v>-</v>
      </c>
      <c r="N72" s="53"/>
      <c r="O72" s="74"/>
      <c r="Q72" s="75" t="str">
        <f t="shared" si="33"/>
        <v/>
      </c>
      <c r="R72" s="76" t="e">
        <f t="shared" si="34"/>
        <v>#VALUE!</v>
      </c>
      <c r="S72" s="64">
        <f t="shared" si="15"/>
        <v>1</v>
      </c>
      <c r="T72" s="42" t="str">
        <f t="shared" ca="1" si="35"/>
        <v>-</v>
      </c>
      <c r="U72" s="42" t="str">
        <f t="shared" si="36"/>
        <v>-</v>
      </c>
      <c r="V72" s="42" t="str">
        <f t="shared" si="37"/>
        <v>-</v>
      </c>
      <c r="W72" s="42" t="str">
        <f t="shared" si="38"/>
        <v>-</v>
      </c>
      <c r="X72" s="42" t="str">
        <f t="shared" si="39"/>
        <v>-</v>
      </c>
      <c r="Y72" s="42" t="str">
        <f t="shared" si="40"/>
        <v>-</v>
      </c>
      <c r="Z72" s="42" t="str">
        <f t="shared" si="41"/>
        <v>-</v>
      </c>
      <c r="AA72" s="42" t="str">
        <f t="shared" si="42"/>
        <v>-</v>
      </c>
      <c r="AB72" s="42" t="str">
        <f t="shared" si="43"/>
        <v>-</v>
      </c>
      <c r="AC72" s="42" t="str">
        <f t="shared" si="44"/>
        <v>-</v>
      </c>
    </row>
    <row r="73" spans="1:37" ht="28.8" outlineLevel="1" x14ac:dyDescent="0.25">
      <c r="A73" s="42" t="s">
        <v>13</v>
      </c>
      <c r="B73" s="323"/>
      <c r="C73" s="55" t="s">
        <v>101</v>
      </c>
      <c r="D73" s="195" t="str">
        <f ca="1">_xlfn.LET(_xlpm.denom,D72,_xlpm.calc,ROUND($Q73*_xlpm.denom,0),_xlpm.perc,_xlpm.calc/_xlpm.denom,IFERROR(IF(_xlpm.calc&lt;1000,_xlfn.CONCAT(_xlpm.calc," (",TEXT(_xlpm.perc,"0.0%"),")"),_xlfn.CONCAT(TEXT(_xlpm.calc,"0,000")," (",TEXT(_xlpm.perc,"0.0%"),")")),"-"))</f>
        <v>-</v>
      </c>
      <c r="E73" s="56" t="str" cm="1">
        <f t="array" ref="E73">_xlfn.LET(_xlpm.denom,E72,_xlpm.calc,COUNTIFS(MissMP1,1,Date,"&gt;="&amp;E$4,Date,"&lt;="&amp;E$5,Key_Gps,"*"&amp;E$1&amp;"*"),_xlpm.perc,_xlpm.calc/_xlpm.denom,IFERROR(IF(_xlpm.calc&lt;1000,_xlfn.CONCAT(_xlpm.calc," (",TEXT(_xlpm.perc,"0.0%"),")"),_xlfn.CONCAT(TEXT(_xlpm.calc,"0,000")," (",TEXT(_xlpm.perc,"0.0%"),")")),"-"))</f>
        <v>-</v>
      </c>
      <c r="F73" s="56" t="str" cm="1">
        <f t="array" ref="F73">_xlfn.LET(_xlpm.denom,F72,_xlpm.calc,COUNTIFS(MissMP1,1,Date,"&gt;="&amp;F$4,Date,"&lt;="&amp;F$5,Key_Gps,"*"&amp;F$1&amp;"*"),_xlpm.perc,_xlpm.calc/_xlpm.denom,IFERROR(IF(_xlpm.calc&lt;1000,_xlfn.CONCAT(_xlpm.calc," (",TEXT(_xlpm.perc,"0.0%"),")"),_xlfn.CONCAT(TEXT(_xlpm.calc,"0,000")," (",TEXT(_xlpm.perc,"0.0%"),")")),"-"))</f>
        <v>-</v>
      </c>
      <c r="G73" s="56" t="str" cm="1">
        <f t="array" ref="G73">_xlfn.LET(_xlpm.denom,G72,_xlpm.calc,COUNTIFS(MissMP1,1,Date,"&gt;="&amp;G$4,Date,"&lt;="&amp;G$5,Key_Gps,"*"&amp;G$1&amp;"*"),_xlpm.perc,_xlpm.calc/_xlpm.denom,IFERROR(IF(_xlpm.calc&lt;1000,_xlfn.CONCAT(_xlpm.calc," (",TEXT(_xlpm.perc,"0.0%"),")"),_xlfn.CONCAT(TEXT(_xlpm.calc,"0,000")," (",TEXT(_xlpm.perc,"0.0%"),")")),"-"))</f>
        <v>-</v>
      </c>
      <c r="H73" s="56" t="str" cm="1">
        <f t="array" ref="H73">_xlfn.LET(_xlpm.denom,H72,_xlpm.calc,COUNTIFS(MissMP1,1,Date,"&gt;="&amp;H$4,Date,"&lt;="&amp;H$5,Key_Gps,"*"&amp;H$1&amp;"*"),_xlpm.perc,_xlpm.calc/_xlpm.denom,IFERROR(IF(_xlpm.calc&lt;1000,_xlfn.CONCAT(_xlpm.calc," (",TEXT(_xlpm.perc,"0.0%"),")"),_xlfn.CONCAT(TEXT(_xlpm.calc,"0,000")," (",TEXT(_xlpm.perc,"0.0%"),")")),"-"))</f>
        <v>-</v>
      </c>
      <c r="I73" s="56" t="str" cm="1">
        <f t="array" ref="I73">_xlfn.LET(_xlpm.denom,I72,_xlpm.calc,COUNTIFS(MissMP1,1,Date,"&gt;="&amp;I$4,Date,"&lt;="&amp;I$5,Key_Gps,"*"&amp;I$1&amp;"*"),_xlpm.perc,_xlpm.calc/_xlpm.denom,IFERROR(IF(_xlpm.calc&lt;1000,_xlfn.CONCAT(_xlpm.calc," (",TEXT(_xlpm.perc,"0.0%"),")"),_xlfn.CONCAT(TEXT(_xlpm.calc,"0,000")," (",TEXT(_xlpm.perc,"0.0%"),")")),"-"))</f>
        <v>-</v>
      </c>
      <c r="J73" s="56" t="str" cm="1">
        <f t="array" ref="J73">_xlfn.LET(_xlpm.denom,J72,_xlpm.calc,COUNTIFS(MissMP1,1,Date,"&gt;="&amp;J$4,Date,"&lt;="&amp;J$5,Key_Gps,"*"&amp;J$1&amp;"*"),_xlpm.perc,_xlpm.calc/_xlpm.denom,IFERROR(IF(_xlpm.calc&lt;1000,_xlfn.CONCAT(_xlpm.calc," (",TEXT(_xlpm.perc,"0.0%"),")"),_xlfn.CONCAT(TEXT(_xlpm.calc,"0,000")," (",TEXT(_xlpm.perc,"0.0%"),")")),"-"))</f>
        <v>-</v>
      </c>
      <c r="K73" s="56" t="str" cm="1">
        <f t="array" ref="K73">_xlfn.LET(_xlpm.denom,K72,_xlpm.calc,COUNTIFS(MissMP1,1,Date,"&gt;="&amp;K$4,Date,"&lt;="&amp;K$5,Key_Gps,"*"&amp;K$1&amp;"*"),_xlpm.perc,_xlpm.calc/_xlpm.denom,IFERROR(IF(_xlpm.calc&lt;1000,_xlfn.CONCAT(_xlpm.calc," (",TEXT(_xlpm.perc,"0.0%"),")"),_xlfn.CONCAT(TEXT(_xlpm.calc,"0,000")," (",TEXT(_xlpm.perc,"0.0%"),")")),"-"))</f>
        <v>-</v>
      </c>
      <c r="L73" s="56" t="str" cm="1">
        <f t="array" ref="L73">_xlfn.LET(_xlpm.denom,L72,_xlpm.calc,COUNTIFS(MissMP1,1,Date,"&gt;="&amp;L$4,Date,"&lt;="&amp;L$5,Key_Gps,"*"&amp;L$1&amp;"*"),_xlpm.perc,_xlpm.calc/_xlpm.denom,IFERROR(IF(_xlpm.calc&lt;1000,_xlfn.CONCAT(_xlpm.calc," (",TEXT(_xlpm.perc,"0.0%"),")"),_xlfn.CONCAT(TEXT(_xlpm.calc,"0,000")," (",TEXT(_xlpm.perc,"0.0%"),")")),"-"))</f>
        <v>-</v>
      </c>
      <c r="M73" s="155" t="str" cm="1">
        <f t="array" ref="M73">_xlfn.LET(_xlpm.denom,M72,_xlpm.calc,COUNTIFS(MissMP1,1,Date,"&gt;="&amp;M$4,Date,"&lt;="&amp;M$5,Key_Gps,"*"&amp;M$1&amp;"*"),_xlpm.perc,_xlpm.calc/_xlpm.denom,IFERROR(IF(_xlpm.calc&lt;1000,_xlfn.CONCAT(_xlpm.calc," (",TEXT(_xlpm.perc,"0.0%"),")"),_xlfn.CONCAT(TEXT(_xlpm.calc,"0,000")," (",TEXT(_xlpm.perc,"0.0%"),")")),"-"))</f>
        <v>-</v>
      </c>
      <c r="N73" s="53" t="s">
        <v>102</v>
      </c>
      <c r="O73" s="74"/>
      <c r="Q73" s="75" t="str">
        <f t="shared" si="33"/>
        <v/>
      </c>
      <c r="R73" s="76" t="e">
        <f t="shared" si="34"/>
        <v>#VALUE!</v>
      </c>
      <c r="S73" s="64">
        <f t="shared" ref="S73:S158" si="47">IF($C73="","",IF(OR(IFERROR(SEARCH("min wage",LOWER($C73)),0)&gt;0, IFERROR(SEARCH(" per ",LOWER($C73)),0)&gt;0, IFERROR(SEARCH("penalt",LOWER($C73)),0)&gt;0,IFERROR(SEARCH("total",LOWER($C73)),0)&gt;0,IFERROR(SEARCH("interest",LOWER($C73)),0)&gt;0,IFERROR(SEARCH("date",LOWER($C73)),0)&gt;0,IFERROR(SEARCH("employee",LOWER($C73)),0)&gt;0,IFERROR(SEARCH("average",LOWER($C73)),0)&gt;0,IFERROR(SEARCH("median",LOWER($C73)),0)&gt;0),"",1))</f>
        <v>1</v>
      </c>
      <c r="T73" s="42" t="str">
        <f t="shared" ca="1" si="35"/>
        <v>-</v>
      </c>
      <c r="U73" s="42" t="str">
        <f t="shared" si="36"/>
        <v>-</v>
      </c>
      <c r="V73" s="42" t="str">
        <f t="shared" si="37"/>
        <v>-</v>
      </c>
      <c r="W73" s="42" t="str">
        <f t="shared" si="38"/>
        <v>-</v>
      </c>
      <c r="X73" s="42" t="str">
        <f t="shared" si="39"/>
        <v>-</v>
      </c>
      <c r="Y73" s="42" t="str">
        <f t="shared" si="40"/>
        <v>-</v>
      </c>
      <c r="Z73" s="42" t="str">
        <f t="shared" si="41"/>
        <v>-</v>
      </c>
      <c r="AA73" s="42" t="str">
        <f t="shared" si="42"/>
        <v>-</v>
      </c>
      <c r="AB73" s="42" t="str">
        <f t="shared" si="43"/>
        <v>-</v>
      </c>
      <c r="AC73" s="42" t="str">
        <f t="shared" si="44"/>
        <v>-</v>
      </c>
    </row>
    <row r="74" spans="1:37" ht="28.8" outlineLevel="1" x14ac:dyDescent="0.25">
      <c r="A74" s="42" t="s">
        <v>13</v>
      </c>
      <c r="B74" s="323"/>
      <c r="C74" s="55" t="s">
        <v>103</v>
      </c>
      <c r="D74" s="195" t="str">
        <f ca="1">_xlfn.LET(_xlpm.denom,D72,_xlpm.calc,ROUND($Q74*_xlpm.denom,0),_xlpm.perc,_xlpm.calc/_xlpm.denom,IFERROR(IF(_xlpm.calc&lt;1000,_xlfn.CONCAT(_xlpm.calc," (",TEXT(_xlpm.perc,"0.0%"),")"),_xlfn.CONCAT(TEXT(_xlpm.calc,"0,000")," (",TEXT(_xlpm.perc,"0.0%"),")")),"-"))</f>
        <v>-</v>
      </c>
      <c r="E74" s="56" t="str" cm="1">
        <f t="array" ref="E74">_xlfn.LET(_xlpm.denom,E72,_xlpm.calc,COUNTIFS(LateMP1,1,Date,"&gt;="&amp;E$4,Date,"&lt;="&amp;E$5,Key_Gps,"*"&amp;E$1&amp;"*"),_xlpm.perc,_xlpm.calc/_xlpm.denom,IFERROR(IF(_xlpm.calc&lt;1000,_xlfn.CONCAT(_xlpm.calc," (",TEXT(_xlpm.perc,"0.0%"),")"),_xlfn.CONCAT(TEXT(_xlpm.calc,"0,000")," (",TEXT(_xlpm.perc,"0.0%"),")")),"-"))</f>
        <v>-</v>
      </c>
      <c r="F74" s="56" t="str" cm="1">
        <f t="array" ref="F74">_xlfn.LET(_xlpm.denom,F72,_xlpm.calc,COUNTIFS(LateMP1,1,Date,"&gt;="&amp;F$4,Date,"&lt;="&amp;F$5,Key_Gps,"*"&amp;F$1&amp;"*"),_xlpm.perc,_xlpm.calc/_xlpm.denom,IFERROR(IF(_xlpm.calc&lt;1000,_xlfn.CONCAT(_xlpm.calc," (",TEXT(_xlpm.perc,"0.0%"),")"),_xlfn.CONCAT(TEXT(_xlpm.calc,"0,000")," (",TEXT(_xlpm.perc,"0.0%"),")")),"-"))</f>
        <v>-</v>
      </c>
      <c r="G74" s="56" t="str" cm="1">
        <f t="array" ref="G74">_xlfn.LET(_xlpm.denom,G72,_xlpm.calc,COUNTIFS(LateMP1,1,Date,"&gt;="&amp;G$4,Date,"&lt;="&amp;G$5,Key_Gps,"*"&amp;G$1&amp;"*"),_xlpm.perc,_xlpm.calc/_xlpm.denom,IFERROR(IF(_xlpm.calc&lt;1000,_xlfn.CONCAT(_xlpm.calc," (",TEXT(_xlpm.perc,"0.0%"),")"),_xlfn.CONCAT(TEXT(_xlpm.calc,"0,000")," (",TEXT(_xlpm.perc,"0.0%"),")")),"-"))</f>
        <v>-</v>
      </c>
      <c r="H74" s="56" t="str" cm="1">
        <f t="array" ref="H74">_xlfn.LET(_xlpm.denom,H72,_xlpm.calc,COUNTIFS(LateMP1,1,Date,"&gt;="&amp;H$4,Date,"&lt;="&amp;H$5,Key_Gps,"*"&amp;H$1&amp;"*"),_xlpm.perc,_xlpm.calc/_xlpm.denom,IFERROR(IF(_xlpm.calc&lt;1000,_xlfn.CONCAT(_xlpm.calc," (",TEXT(_xlpm.perc,"0.0%"),")"),_xlfn.CONCAT(TEXT(_xlpm.calc,"0,000")," (",TEXT(_xlpm.perc,"0.0%"),")")),"-"))</f>
        <v>-</v>
      </c>
      <c r="I74" s="56" t="str" cm="1">
        <f t="array" ref="I74">_xlfn.LET(_xlpm.denom,I72,_xlpm.calc,COUNTIFS(LateMP1,1,Date,"&gt;="&amp;I$4,Date,"&lt;="&amp;I$5,Key_Gps,"*"&amp;I$1&amp;"*"),_xlpm.perc,_xlpm.calc/_xlpm.denom,IFERROR(IF(_xlpm.calc&lt;1000,_xlfn.CONCAT(_xlpm.calc," (",TEXT(_xlpm.perc,"0.0%"),")"),_xlfn.CONCAT(TEXT(_xlpm.calc,"0,000")," (",TEXT(_xlpm.perc,"0.0%"),")")),"-"))</f>
        <v>-</v>
      </c>
      <c r="J74" s="56" t="str" cm="1">
        <f t="array" ref="J74">_xlfn.LET(_xlpm.denom,J72,_xlpm.calc,COUNTIFS(LateMP1,1,Date,"&gt;="&amp;J$4,Date,"&lt;="&amp;J$5,Key_Gps,"*"&amp;J$1&amp;"*"),_xlpm.perc,_xlpm.calc/_xlpm.denom,IFERROR(IF(_xlpm.calc&lt;1000,_xlfn.CONCAT(_xlpm.calc," (",TEXT(_xlpm.perc,"0.0%"),")"),_xlfn.CONCAT(TEXT(_xlpm.calc,"0,000")," (",TEXT(_xlpm.perc,"0.0%"),")")),"-"))</f>
        <v>-</v>
      </c>
      <c r="K74" s="56" t="str" cm="1">
        <f t="array" ref="K74">_xlfn.LET(_xlpm.denom,K72,_xlpm.calc,COUNTIFS(LateMP1,1,Date,"&gt;="&amp;K$4,Date,"&lt;="&amp;K$5,Key_Gps,"*"&amp;K$1&amp;"*"),_xlpm.perc,_xlpm.calc/_xlpm.denom,IFERROR(IF(_xlpm.calc&lt;1000,_xlfn.CONCAT(_xlpm.calc," (",TEXT(_xlpm.perc,"0.0%"),")"),_xlfn.CONCAT(TEXT(_xlpm.calc,"0,000")," (",TEXT(_xlpm.perc,"0.0%"),")")),"-"))</f>
        <v>-</v>
      </c>
      <c r="L74" s="56" t="str" cm="1">
        <f t="array" ref="L74">_xlfn.LET(_xlpm.denom,L72,_xlpm.calc,COUNTIFS(LateMP1,1,Date,"&gt;="&amp;L$4,Date,"&lt;="&amp;L$5,Key_Gps,"*"&amp;L$1&amp;"*"),_xlpm.perc,_xlpm.calc/_xlpm.denom,IFERROR(IF(_xlpm.calc&lt;1000,_xlfn.CONCAT(_xlpm.calc," (",TEXT(_xlpm.perc,"0.0%"),")"),_xlfn.CONCAT(TEXT(_xlpm.calc,"0,000")," (",TEXT(_xlpm.perc,"0.0%"),")")),"-"))</f>
        <v>-</v>
      </c>
      <c r="M74" s="155" t="str" cm="1">
        <f t="array" ref="M74">_xlfn.LET(_xlpm.denom,M72,_xlpm.calc,COUNTIFS(LateMP1,1,Date,"&gt;="&amp;M$4,Date,"&lt;="&amp;M$5,Key_Gps,"*"&amp;M$1&amp;"*"),_xlpm.perc,_xlpm.calc/_xlpm.denom,IFERROR(IF(_xlpm.calc&lt;1000,_xlfn.CONCAT(_xlpm.calc," (",TEXT(_xlpm.perc,"0.0%"),")"),_xlfn.CONCAT(TEXT(_xlpm.calc,"0,000")," (",TEXT(_xlpm.perc,"0.0%"),")")),"-"))</f>
        <v>-</v>
      </c>
      <c r="N74" s="53" t="s">
        <v>102</v>
      </c>
      <c r="O74" s="74"/>
      <c r="Q74" s="75" t="str">
        <f t="shared" si="33"/>
        <v/>
      </c>
      <c r="R74" s="76" t="e">
        <f t="shared" si="34"/>
        <v>#VALUE!</v>
      </c>
      <c r="S74" s="64">
        <f t="shared" si="47"/>
        <v>1</v>
      </c>
      <c r="T74" s="42" t="str">
        <f t="shared" ca="1" si="35"/>
        <v>-</v>
      </c>
      <c r="U74" s="42" t="str">
        <f t="shared" si="36"/>
        <v>-</v>
      </c>
      <c r="V74" s="42" t="str">
        <f t="shared" si="37"/>
        <v>-</v>
      </c>
      <c r="W74" s="42" t="str">
        <f t="shared" si="38"/>
        <v>-</v>
      </c>
      <c r="X74" s="42" t="str">
        <f t="shared" si="39"/>
        <v>-</v>
      </c>
      <c r="Y74" s="42" t="str">
        <f t="shared" si="40"/>
        <v>-</v>
      </c>
      <c r="Z74" s="42" t="str">
        <f t="shared" si="41"/>
        <v>-</v>
      </c>
      <c r="AA74" s="42" t="str">
        <f t="shared" si="42"/>
        <v>-</v>
      </c>
      <c r="AB74" s="42" t="str">
        <f t="shared" si="43"/>
        <v>-</v>
      </c>
      <c r="AC74" s="42" t="str">
        <f t="shared" si="44"/>
        <v>-</v>
      </c>
    </row>
    <row r="75" spans="1:37" ht="28.8" outlineLevel="1" x14ac:dyDescent="0.25">
      <c r="A75" s="42" t="s">
        <v>13</v>
      </c>
      <c r="B75" s="323"/>
      <c r="C75" s="55" t="s">
        <v>104</v>
      </c>
      <c r="D75" s="195" t="str">
        <f ca="1">_xlfn.LET(_xlpm.denom,D72,_xlpm.calc,ROUND($Q75*_xlpm.denom,0),_xlpm.perc,_xlpm.calc/_xlpm.denom,IFERROR(IF(_xlpm.calc&lt;1000,_xlfn.CONCAT(_xlpm.calc," (",TEXT(_xlpm.perc,"0.0%"),")"),_xlfn.CONCAT(TEXT(_xlpm.calc,"0,000")," (",TEXT(_xlpm.perc,"0.0%"),")")),"-"))</f>
        <v>-</v>
      </c>
      <c r="E75" s="56" t="str" cm="1">
        <f t="array" ref="E75">_xlfn.LET(_xlpm.denom,E72,_xlpm.calc,COUNTIFS(ShortMP1,1,Date,"&gt;="&amp;E$4,Date,"&lt;="&amp;E$5,Key_Gps,"*"&amp;E$1&amp;"*"),_xlpm.perc,_xlpm.calc/_xlpm.denom,IFERROR(IF(_xlpm.calc&lt;1000,_xlfn.CONCAT(_xlpm.calc," (",TEXT(_xlpm.perc,"0.0%"),")"),_xlfn.CONCAT(TEXT(_xlpm.calc,"0,000")," (",TEXT(_xlpm.perc,"0.0%"),")")),"-"))</f>
        <v>-</v>
      </c>
      <c r="F75" s="56" t="str" cm="1">
        <f t="array" ref="F75">_xlfn.LET(_xlpm.denom,F72,_xlpm.calc,COUNTIFS(ShortMP1,1,Date,"&gt;="&amp;F$4,Date,"&lt;="&amp;F$5,Key_Gps,"*"&amp;F$1&amp;"*"),_xlpm.perc,_xlpm.calc/_xlpm.denom,IFERROR(IF(_xlpm.calc&lt;1000,_xlfn.CONCAT(_xlpm.calc," (",TEXT(_xlpm.perc,"0.0%"),")"),_xlfn.CONCAT(TEXT(_xlpm.calc,"0,000")," (",TEXT(_xlpm.perc,"0.0%"),")")),"-"))</f>
        <v>-</v>
      </c>
      <c r="G75" s="56" t="str" cm="1">
        <f t="array" ref="G75">_xlfn.LET(_xlpm.denom,G72,_xlpm.calc,COUNTIFS(ShortMP1,1,Date,"&gt;="&amp;G$4,Date,"&lt;="&amp;G$5,Key_Gps,"*"&amp;G$1&amp;"*"),_xlpm.perc,_xlpm.calc/_xlpm.denom,IFERROR(IF(_xlpm.calc&lt;1000,_xlfn.CONCAT(_xlpm.calc," (",TEXT(_xlpm.perc,"0.0%"),")"),_xlfn.CONCAT(TEXT(_xlpm.calc,"0,000")," (",TEXT(_xlpm.perc,"0.0%"),")")),"-"))</f>
        <v>-</v>
      </c>
      <c r="H75" s="56" t="str" cm="1">
        <f t="array" ref="H75">_xlfn.LET(_xlpm.denom,H72,_xlpm.calc,COUNTIFS(ShortMP1,1,Date,"&gt;="&amp;H$4,Date,"&lt;="&amp;H$5,Key_Gps,"*"&amp;H$1&amp;"*"),_xlpm.perc,_xlpm.calc/_xlpm.denom,IFERROR(IF(_xlpm.calc&lt;1000,_xlfn.CONCAT(_xlpm.calc," (",TEXT(_xlpm.perc,"0.0%"),")"),_xlfn.CONCAT(TEXT(_xlpm.calc,"0,000")," (",TEXT(_xlpm.perc,"0.0%"),")")),"-"))</f>
        <v>-</v>
      </c>
      <c r="I75" s="56" t="str" cm="1">
        <f t="array" ref="I75">_xlfn.LET(_xlpm.denom,I72,_xlpm.calc,COUNTIFS(ShortMP1,1,Date,"&gt;="&amp;I$4,Date,"&lt;="&amp;I$5,Key_Gps,"*"&amp;I$1&amp;"*"),_xlpm.perc,_xlpm.calc/_xlpm.denom,IFERROR(IF(_xlpm.calc&lt;1000,_xlfn.CONCAT(_xlpm.calc," (",TEXT(_xlpm.perc,"0.0%"),")"),_xlfn.CONCAT(TEXT(_xlpm.calc,"0,000")," (",TEXT(_xlpm.perc,"0.0%"),")")),"-"))</f>
        <v>-</v>
      </c>
      <c r="J75" s="56" t="str" cm="1">
        <f t="array" ref="J75">_xlfn.LET(_xlpm.denom,J72,_xlpm.calc,COUNTIFS(ShortMP1,1,Date,"&gt;="&amp;J$4,Date,"&lt;="&amp;J$5,Key_Gps,"*"&amp;J$1&amp;"*"),_xlpm.perc,_xlpm.calc/_xlpm.denom,IFERROR(IF(_xlpm.calc&lt;1000,_xlfn.CONCAT(_xlpm.calc," (",TEXT(_xlpm.perc,"0.0%"),")"),_xlfn.CONCAT(TEXT(_xlpm.calc,"0,000")," (",TEXT(_xlpm.perc,"0.0%"),")")),"-"))</f>
        <v>-</v>
      </c>
      <c r="K75" s="56" t="str" cm="1">
        <f t="array" ref="K75">_xlfn.LET(_xlpm.denom,K72,_xlpm.calc,COUNTIFS(ShortMP1,1,Date,"&gt;="&amp;K$4,Date,"&lt;="&amp;K$5,Key_Gps,"*"&amp;K$1&amp;"*"),_xlpm.perc,_xlpm.calc/_xlpm.denom,IFERROR(IF(_xlpm.calc&lt;1000,_xlfn.CONCAT(_xlpm.calc," (",TEXT(_xlpm.perc,"0.0%"),")"),_xlfn.CONCAT(TEXT(_xlpm.calc,"0,000")," (",TEXT(_xlpm.perc,"0.0%"),")")),"-"))</f>
        <v>-</v>
      </c>
      <c r="L75" s="56" t="str" cm="1">
        <f t="array" ref="L75">_xlfn.LET(_xlpm.denom,L72,_xlpm.calc,COUNTIFS(ShortMP1,1,Date,"&gt;="&amp;L$4,Date,"&lt;="&amp;L$5,Key_Gps,"*"&amp;L$1&amp;"*"),_xlpm.perc,_xlpm.calc/_xlpm.denom,IFERROR(IF(_xlpm.calc&lt;1000,_xlfn.CONCAT(_xlpm.calc," (",TEXT(_xlpm.perc,"0.0%"),")"),_xlfn.CONCAT(TEXT(_xlpm.calc,"0,000")," (",TEXT(_xlpm.perc,"0.0%"),")")),"-"))</f>
        <v>-</v>
      </c>
      <c r="M75" s="155" t="str" cm="1">
        <f t="array" ref="M75">_xlfn.LET(_xlpm.denom,M72,_xlpm.calc,COUNTIFS(ShortMP1,1,Date,"&gt;="&amp;M$4,Date,"&lt;="&amp;M$5,Key_Gps,"*"&amp;M$1&amp;"*"),_xlpm.perc,_xlpm.calc/_xlpm.denom,IFERROR(IF(_xlpm.calc&lt;1000,_xlfn.CONCAT(_xlpm.calc," (",TEXT(_xlpm.perc,"0.0%"),")"),_xlfn.CONCAT(TEXT(_xlpm.calc,"0,000")," (",TEXT(_xlpm.perc,"0.0%"),")")),"-"))</f>
        <v>-</v>
      </c>
      <c r="N75" s="53" t="s">
        <v>102</v>
      </c>
      <c r="O75" s="74"/>
      <c r="Q75" s="75" t="str">
        <f t="shared" si="33"/>
        <v/>
      </c>
      <c r="R75" s="76" t="e">
        <f t="shared" si="34"/>
        <v>#VALUE!</v>
      </c>
      <c r="S75" s="64">
        <f t="shared" si="47"/>
        <v>1</v>
      </c>
      <c r="T75" s="42" t="str">
        <f t="shared" ca="1" si="35"/>
        <v>-</v>
      </c>
      <c r="U75" s="42" t="str">
        <f t="shared" si="36"/>
        <v>-</v>
      </c>
      <c r="V75" s="42" t="str">
        <f t="shared" si="37"/>
        <v>-</v>
      </c>
      <c r="W75" s="42" t="str">
        <f t="shared" si="38"/>
        <v>-</v>
      </c>
      <c r="X75" s="42" t="str">
        <f t="shared" si="39"/>
        <v>-</v>
      </c>
      <c r="Y75" s="42" t="str">
        <f t="shared" si="40"/>
        <v>-</v>
      </c>
      <c r="Z75" s="42" t="str">
        <f t="shared" si="41"/>
        <v>-</v>
      </c>
      <c r="AA75" s="42" t="str">
        <f t="shared" si="42"/>
        <v>-</v>
      </c>
      <c r="AB75" s="42" t="str">
        <f t="shared" si="43"/>
        <v>-</v>
      </c>
      <c r="AC75" s="42" t="str">
        <f t="shared" si="44"/>
        <v>-</v>
      </c>
    </row>
    <row r="76" spans="1:37" ht="28.8" outlineLevel="1" x14ac:dyDescent="0.25">
      <c r="A76" s="42" t="s">
        <v>13</v>
      </c>
      <c r="B76" s="323"/>
      <c r="C76" s="55" t="s">
        <v>69</v>
      </c>
      <c r="D76" s="195" t="str">
        <f t="shared" ref="D76:K76" ca="1" si="48">_xlfn.LET(_xlpm.calc,_xlfn.XLOOKUP($C76,$C:$C,D:D),IF(IFERROR(SEARCH(" ",_xlpm.calc),0)&gt;0,IFERROR(VALUE(LEFT(_xlpm.calc,SEARCH(" ",_xlpm.calc))),"-"),IFERROR(_xlpm.calc,"-")))</f>
        <v>-</v>
      </c>
      <c r="E76" s="65" t="str">
        <f t="shared" si="48"/>
        <v>-</v>
      </c>
      <c r="F76" s="65" t="str">
        <f t="shared" si="48"/>
        <v>-</v>
      </c>
      <c r="G76" s="65" t="str">
        <f t="shared" si="48"/>
        <v>-</v>
      </c>
      <c r="H76" s="65" t="str">
        <f t="shared" si="48"/>
        <v>-</v>
      </c>
      <c r="I76" s="65" t="str">
        <f t="shared" si="48"/>
        <v>-</v>
      </c>
      <c r="J76" s="65" t="str">
        <f t="shared" si="48"/>
        <v>-</v>
      </c>
      <c r="K76" s="65" t="str">
        <f t="shared" si="48"/>
        <v>-</v>
      </c>
      <c r="L76" s="65" t="str">
        <f>_xlfn.LET(_xlpm.calc,_xlfn.XLOOKUP($C76,$C:$C,L:L),IF(IFERROR(SEARCH(" ",_xlpm.calc),0)&gt;0,IFERROR(VALUE(LEFT(_xlpm.calc,SEARCH(" ",_xlpm.calc))),"-"),IFERROR(_xlpm.calc,"-")))</f>
        <v>-</v>
      </c>
      <c r="M76" s="155" t="str">
        <f>_xlfn.LET(_xlpm.calc,_xlfn.XLOOKUP($C76,$C:$C,M:M),IF(IFERROR(SEARCH(" ",_xlpm.calc),0)&gt;0,IFERROR(VALUE(LEFT(_xlpm.calc,SEARCH(" ",_xlpm.calc))),"-"),IFERROR(_xlpm.calc,"-")))</f>
        <v>-</v>
      </c>
      <c r="N76" s="53"/>
      <c r="O76" s="74"/>
      <c r="Q76" s="75" t="str">
        <f t="shared" si="33"/>
        <v/>
      </c>
      <c r="R76" s="76" t="e">
        <f t="shared" si="34"/>
        <v>#VALUE!</v>
      </c>
      <c r="S76" s="64">
        <f t="shared" si="47"/>
        <v>1</v>
      </c>
      <c r="T76" s="42" t="str">
        <f t="shared" ca="1" si="35"/>
        <v>-</v>
      </c>
      <c r="U76" s="42" t="str">
        <f t="shared" si="36"/>
        <v>-</v>
      </c>
      <c r="V76" s="42" t="str">
        <f t="shared" si="37"/>
        <v>-</v>
      </c>
      <c r="W76" s="42" t="str">
        <f t="shared" si="38"/>
        <v>-</v>
      </c>
      <c r="X76" s="42" t="str">
        <f t="shared" si="39"/>
        <v>-</v>
      </c>
      <c r="Y76" s="42" t="str">
        <f t="shared" si="40"/>
        <v>-</v>
      </c>
      <c r="Z76" s="42" t="str">
        <f t="shared" si="41"/>
        <v>-</v>
      </c>
      <c r="AA76" s="42" t="str">
        <f t="shared" si="42"/>
        <v>-</v>
      </c>
      <c r="AB76" s="42" t="str">
        <f t="shared" si="43"/>
        <v>-</v>
      </c>
      <c r="AC76" s="42" t="str">
        <f t="shared" si="44"/>
        <v>-</v>
      </c>
    </row>
    <row r="77" spans="1:37" ht="28.8" outlineLevel="1" x14ac:dyDescent="0.25">
      <c r="A77" s="42" t="s">
        <v>13</v>
      </c>
      <c r="B77" s="323"/>
      <c r="C77" s="55" t="s">
        <v>415</v>
      </c>
      <c r="D77" s="195" t="str">
        <f ca="1">_xlfn.LET(_xlpm.denom,D76,_xlpm.calc,ROUND($Q77*_xlpm.denom,0),_xlpm.perc,_xlpm.calc/_xlpm.denom,IFERROR(IF(_xlpm.calc&lt;1000,_xlfn.CONCAT(_xlpm.calc," (",TEXT(_xlpm.perc,"0.0%"),")"),_xlfn.CONCAT(TEXT(_xlpm.calc,"0,000")," (",TEXT(_xlpm.perc,"0.0%"),")")),"-"))</f>
        <v>-</v>
      </c>
      <c r="E77" s="56" t="str" cm="1">
        <f t="array" ref="E77">_xlfn.LET(_xlpm.denom,E76,_xlpm.calc,COUNTIFS(MissMP2,1,Date,"&gt;="&amp;E$4,Date,"&lt;="&amp;E$5,Key_Gps,"*"&amp;E$1&amp;"*"),_xlpm.perc,_xlpm.calc/_xlpm.denom,IFERROR(IF(_xlpm.calc&lt;1000,_xlfn.CONCAT(_xlpm.calc," (",TEXT(_xlpm.perc,"0.0%"),")"),_xlfn.CONCAT(TEXT(_xlpm.calc,"0,000")," (",TEXT(_xlpm.perc,"0.0%"),")")),"-"))</f>
        <v>-</v>
      </c>
      <c r="F77" s="56" t="str" cm="1">
        <f t="array" ref="F77">_xlfn.LET(_xlpm.denom,F76,_xlpm.calc,COUNTIFS(MissMP2,1,Date,"&gt;="&amp;F$4,Date,"&lt;="&amp;F$5,Key_Gps,"*"&amp;F$1&amp;"*"),_xlpm.perc,_xlpm.calc/_xlpm.denom,IFERROR(IF(_xlpm.calc&lt;1000,_xlfn.CONCAT(_xlpm.calc," (",TEXT(_xlpm.perc,"0.0%"),")"),_xlfn.CONCAT(TEXT(_xlpm.calc,"0,000")," (",TEXT(_xlpm.perc,"0.0%"),")")),"-"))</f>
        <v>-</v>
      </c>
      <c r="G77" s="56" t="str" cm="1">
        <f t="array" ref="G77">_xlfn.LET(_xlpm.denom,G76,_xlpm.calc,COUNTIFS(MissMP2,1,Date,"&gt;="&amp;G$4,Date,"&lt;="&amp;G$5,Key_Gps,"*"&amp;G$1&amp;"*"),_xlpm.perc,_xlpm.calc/_xlpm.denom,IFERROR(IF(_xlpm.calc&lt;1000,_xlfn.CONCAT(_xlpm.calc," (",TEXT(_xlpm.perc,"0.0%"),")"),_xlfn.CONCAT(TEXT(_xlpm.calc,"0,000")," (",TEXT(_xlpm.perc,"0.0%"),")")),"-"))</f>
        <v>-</v>
      </c>
      <c r="H77" s="56" t="str" cm="1">
        <f t="array" ref="H77">_xlfn.LET(_xlpm.denom,H76,_xlpm.calc,COUNTIFS(MissMP2,1,Date,"&gt;="&amp;H$4,Date,"&lt;="&amp;H$5,Key_Gps,"*"&amp;H$1&amp;"*"),_xlpm.perc,_xlpm.calc/_xlpm.denom,IFERROR(IF(_xlpm.calc&lt;1000,_xlfn.CONCAT(_xlpm.calc," (",TEXT(_xlpm.perc,"0.0%"),")"),_xlfn.CONCAT(TEXT(_xlpm.calc,"0,000")," (",TEXT(_xlpm.perc,"0.0%"),")")),"-"))</f>
        <v>-</v>
      </c>
      <c r="I77" s="56" t="str" cm="1">
        <f t="array" ref="I77">_xlfn.LET(_xlpm.denom,I76,_xlpm.calc,COUNTIFS(MissMP2,1,Date,"&gt;="&amp;I$4,Date,"&lt;="&amp;I$5,Key_Gps,"*"&amp;I$1&amp;"*"),_xlpm.perc,_xlpm.calc/_xlpm.denom,IFERROR(IF(_xlpm.calc&lt;1000,_xlfn.CONCAT(_xlpm.calc," (",TEXT(_xlpm.perc,"0.0%"),")"),_xlfn.CONCAT(TEXT(_xlpm.calc,"0,000")," (",TEXT(_xlpm.perc,"0.0%"),")")),"-"))</f>
        <v>-</v>
      </c>
      <c r="J77" s="56" t="str" cm="1">
        <f t="array" ref="J77">_xlfn.LET(_xlpm.denom,J76,_xlpm.calc,COUNTIFS(MissMP2,1,Date,"&gt;="&amp;J$4,Date,"&lt;="&amp;J$5,Key_Gps,"*"&amp;J$1&amp;"*"),_xlpm.perc,_xlpm.calc/_xlpm.denom,IFERROR(IF(_xlpm.calc&lt;1000,_xlfn.CONCAT(_xlpm.calc," (",TEXT(_xlpm.perc,"0.0%"),")"),_xlfn.CONCAT(TEXT(_xlpm.calc,"0,000")," (",TEXT(_xlpm.perc,"0.0%"),")")),"-"))</f>
        <v>-</v>
      </c>
      <c r="K77" s="56" t="str" cm="1">
        <f t="array" ref="K77">_xlfn.LET(_xlpm.denom,K76,_xlpm.calc,COUNTIFS(MissMP2,1,Date,"&gt;="&amp;K$4,Date,"&lt;="&amp;K$5,Key_Gps,"*"&amp;K$1&amp;"*"),_xlpm.perc,_xlpm.calc/_xlpm.denom,IFERROR(IF(_xlpm.calc&lt;1000,_xlfn.CONCAT(_xlpm.calc," (",TEXT(_xlpm.perc,"0.0%"),")"),_xlfn.CONCAT(TEXT(_xlpm.calc,"0,000")," (",TEXT(_xlpm.perc,"0.0%"),")")),"-"))</f>
        <v>-</v>
      </c>
      <c r="L77" s="56" t="str" cm="1">
        <f t="array" ref="L77">_xlfn.LET(_xlpm.denom,L76,_xlpm.calc,COUNTIFS(MissMP2,1,Date,"&gt;="&amp;L$4,Date,"&lt;="&amp;L$5,Key_Gps,"*"&amp;L$1&amp;"*"),_xlpm.perc,_xlpm.calc/_xlpm.denom,IFERROR(IF(_xlpm.calc&lt;1000,_xlfn.CONCAT(_xlpm.calc," (",TEXT(_xlpm.perc,"0.0%"),")"),_xlfn.CONCAT(TEXT(_xlpm.calc,"0,000")," (",TEXT(_xlpm.perc,"0.0%"),")")),"-"))</f>
        <v>-</v>
      </c>
      <c r="M77" s="155" t="str" cm="1">
        <f t="array" ref="M77">_xlfn.LET(_xlpm.denom,M76,_xlpm.calc,COUNTIFS(MissMP2,1,Date,"&gt;="&amp;M$4,Date,"&lt;="&amp;M$5,Key_Gps,"*"&amp;M$1&amp;"*"),_xlpm.perc,_xlpm.calc/_xlpm.denom,IFERROR(IF(_xlpm.calc&lt;1000,_xlfn.CONCAT(_xlpm.calc," (",TEXT(_xlpm.perc,"0.0%"),")"),_xlfn.CONCAT(TEXT(_xlpm.calc,"0,000")," (",TEXT(_xlpm.perc,"0.0%"),")")),"-"))</f>
        <v>-</v>
      </c>
      <c r="N77" s="53" t="s">
        <v>105</v>
      </c>
      <c r="O77" s="74"/>
      <c r="Q77" s="75" t="str">
        <f t="shared" si="33"/>
        <v/>
      </c>
      <c r="R77" s="76" t="e">
        <f t="shared" si="34"/>
        <v>#VALUE!</v>
      </c>
      <c r="S77" s="64">
        <f t="shared" si="47"/>
        <v>1</v>
      </c>
      <c r="T77" s="42" t="str">
        <f t="shared" ca="1" si="35"/>
        <v>-</v>
      </c>
      <c r="U77" s="42" t="str">
        <f t="shared" si="36"/>
        <v>-</v>
      </c>
      <c r="V77" s="42" t="str">
        <f t="shared" si="37"/>
        <v>-</v>
      </c>
      <c r="W77" s="42" t="str">
        <f t="shared" si="38"/>
        <v>-</v>
      </c>
      <c r="X77" s="42" t="str">
        <f t="shared" si="39"/>
        <v>-</v>
      </c>
      <c r="Y77" s="42" t="str">
        <f t="shared" si="40"/>
        <v>-</v>
      </c>
      <c r="Z77" s="42" t="str">
        <f t="shared" si="41"/>
        <v>-</v>
      </c>
      <c r="AA77" s="42" t="str">
        <f t="shared" si="42"/>
        <v>-</v>
      </c>
      <c r="AB77" s="42" t="str">
        <f t="shared" si="43"/>
        <v>-</v>
      </c>
      <c r="AC77" s="42" t="str">
        <f t="shared" si="44"/>
        <v>-</v>
      </c>
    </row>
    <row r="78" spans="1:37" s="89" customFormat="1" outlineLevel="2" x14ac:dyDescent="0.3">
      <c r="A78" s="83">
        <v>1</v>
      </c>
      <c r="B78" s="323"/>
      <c r="C78" s="85" t="s">
        <v>106</v>
      </c>
      <c r="D78" s="200">
        <f ca="1">IF(D74="-",0,VALUE(LEFT(D74,SEARCH(" ",D74))))</f>
        <v>0</v>
      </c>
      <c r="E78" s="86">
        <f t="shared" ref="E78" si="49">IF(E74="-",0,VALUE(LEFT(E74,SEARCH(" ",E74))))</f>
        <v>0</v>
      </c>
      <c r="F78" s="86">
        <f t="shared" ref="F78:M78" si="50">IF(F74="-",0,VALUE(LEFT(F74,SEARCH(" ",F74))))</f>
        <v>0</v>
      </c>
      <c r="G78" s="86">
        <f t="shared" si="50"/>
        <v>0</v>
      </c>
      <c r="H78" s="86">
        <f t="shared" si="50"/>
        <v>0</v>
      </c>
      <c r="I78" s="86">
        <f t="shared" si="50"/>
        <v>0</v>
      </c>
      <c r="J78" s="86">
        <f t="shared" si="50"/>
        <v>0</v>
      </c>
      <c r="K78" s="86">
        <f t="shared" ref="K78" si="51">IF(K74="-",0,VALUE(LEFT(K74,SEARCH(" ",K74))))</f>
        <v>0</v>
      </c>
      <c r="L78" s="86">
        <f t="shared" si="50"/>
        <v>0</v>
      </c>
      <c r="M78" s="167">
        <f t="shared" si="50"/>
        <v>0</v>
      </c>
      <c r="N78" s="87"/>
      <c r="O78" s="74"/>
      <c r="P78" s="276">
        <v>0</v>
      </c>
      <c r="Q78" s="75" t="str">
        <f t="shared" si="33"/>
        <v/>
      </c>
      <c r="R78" s="76">
        <f t="shared" si="34"/>
        <v>0</v>
      </c>
      <c r="S78" s="64">
        <f t="shared" si="47"/>
        <v>1</v>
      </c>
      <c r="T78" s="42">
        <f t="shared" ca="1" si="35"/>
        <v>0</v>
      </c>
      <c r="U78" s="42">
        <f t="shared" si="36"/>
        <v>0</v>
      </c>
      <c r="V78" s="42">
        <f t="shared" si="37"/>
        <v>0</v>
      </c>
      <c r="W78" s="42">
        <f t="shared" si="38"/>
        <v>0</v>
      </c>
      <c r="X78" s="42">
        <f t="shared" si="39"/>
        <v>0</v>
      </c>
      <c r="Y78" s="42">
        <f t="shared" si="40"/>
        <v>0</v>
      </c>
      <c r="Z78" s="42">
        <f t="shared" si="41"/>
        <v>0</v>
      </c>
      <c r="AA78" s="42">
        <f t="shared" si="42"/>
        <v>0</v>
      </c>
      <c r="AB78" s="42">
        <f t="shared" si="43"/>
        <v>0</v>
      </c>
      <c r="AC78" s="42">
        <f t="shared" si="44"/>
        <v>0</v>
      </c>
      <c r="AD78" s="88"/>
      <c r="AE78" s="88"/>
      <c r="AF78" s="88"/>
      <c r="AG78" s="88"/>
      <c r="AH78" s="88"/>
      <c r="AI78" s="88"/>
      <c r="AJ78" s="88"/>
      <c r="AK78" s="88"/>
    </row>
    <row r="79" spans="1:37" s="89" customFormat="1" outlineLevel="2" x14ac:dyDescent="0.3">
      <c r="A79" s="83">
        <v>1</v>
      </c>
      <c r="B79" s="323"/>
      <c r="C79" s="85" t="str">
        <f>IF(P80&lt;P79,_xlfn.CONCAT("Meal periods ",P78+1,"+ mins late"),IF(P79-P78=1,_xlfn.CONCAT("Meal periods ",P79," mins late"),_xlfn.CONCAT("Meal periods ",P78+1,"-",P79," mins late")))</f>
        <v>Meal periods 1 mins late</v>
      </c>
      <c r="D79" s="200" t="str">
        <f t="shared" ref="D79:D85" ca="1" si="52">_xlfn.LET(_xlpm.calc,ROUND($Q79*D$78,0),_xlpm.perc,_xlpm.calc/D$78,IFERROR(IF(_xlpm.calc&lt;1000,_xlfn.CONCAT(_xlpm.calc," (",TEXT(_xlpm.perc,"0.0%"),")"),_xlfn.CONCAT(TEXT(_xlpm.calc,"0,000")," (",TEXT(_xlpm.perc,"0.0%"),")")),"-"))</f>
        <v>-</v>
      </c>
      <c r="E79" s="86" t="str" cm="1">
        <f t="array" ref="E79">_xlfn.LET(_xlpm.denom,E78,_xlpm.calc,COUNTIFS(LateMP1,1,mp1_mins_late,"&gt;"&amp;$P78,mp1_mins_late,"&lt;="&amp;$P79,Date,"&gt;="&amp;E$4,Date,"&lt;="&amp;E$5,Key_Gps,"*"&amp;E$1&amp;"*"),_xlpm.perc,_xlpm.calc/_xlpm.denom,IFERROR(IF(_xlpm.calc&lt;1000,_xlfn.CONCAT(_xlpm.calc," (",TEXT(_xlpm.perc,"0.0%"),")"),_xlfn.CONCAT(TEXT(_xlpm.calc,"0,000")," (",TEXT(_xlpm.perc,"0.0%"),")")),"-"))</f>
        <v>-</v>
      </c>
      <c r="F79" s="86" t="str" cm="1">
        <f t="array" ref="F79">_xlfn.LET(_xlpm.denom,F78,_xlpm.calc,COUNTIFS(LateMP1,1,mp1_mins_late,"&gt;"&amp;$P78,mp1_mins_late,"&lt;="&amp;$P79,Date,"&gt;="&amp;F$4,Date,"&lt;="&amp;F$5,Key_Gps,"*"&amp;F$1&amp;"*"),_xlpm.perc,_xlpm.calc/_xlpm.denom,IFERROR(IF(_xlpm.calc&lt;1000,_xlfn.CONCAT(_xlpm.calc," (",TEXT(_xlpm.perc,"0.0%"),")"),_xlfn.CONCAT(TEXT(_xlpm.calc,"0,000")," (",TEXT(_xlpm.perc,"0.0%"),")")),"-"))</f>
        <v>-</v>
      </c>
      <c r="G79" s="86" t="str" cm="1">
        <f t="array" ref="G79">_xlfn.LET(_xlpm.denom,G78,_xlpm.calc,COUNTIFS(LateMP1,1,mp1_mins_late,"&gt;"&amp;$P78,mp1_mins_late,"&lt;="&amp;$P79,Date,"&gt;="&amp;G$4,Date,"&lt;="&amp;G$5,Key_Gps,"*"&amp;G$1&amp;"*"),_xlpm.perc,_xlpm.calc/_xlpm.denom,IFERROR(IF(_xlpm.calc&lt;1000,_xlfn.CONCAT(_xlpm.calc," (",TEXT(_xlpm.perc,"0.0%"),")"),_xlfn.CONCAT(TEXT(_xlpm.calc,"0,000")," (",TEXT(_xlpm.perc,"0.0%"),")")),"-"))</f>
        <v>-</v>
      </c>
      <c r="H79" s="86" t="str" cm="1">
        <f t="array" ref="H79">_xlfn.LET(_xlpm.denom,H78,_xlpm.calc,COUNTIFS(LateMP1,1,mp1_mins_late,"&gt;"&amp;$P78,mp1_mins_late,"&lt;="&amp;$P79,Date,"&gt;="&amp;H$4,Date,"&lt;="&amp;H$5,Key_Gps,"*"&amp;H$1&amp;"*"),_xlpm.perc,_xlpm.calc/_xlpm.denom,IFERROR(IF(_xlpm.calc&lt;1000,_xlfn.CONCAT(_xlpm.calc," (",TEXT(_xlpm.perc,"0.0%"),")"),_xlfn.CONCAT(TEXT(_xlpm.calc,"0,000")," (",TEXT(_xlpm.perc,"0.0%"),")")),"-"))</f>
        <v>-</v>
      </c>
      <c r="I79" s="86" t="str" cm="1">
        <f t="array" ref="I79">_xlfn.LET(_xlpm.denom,I78,_xlpm.calc,COUNTIFS(LateMP1,1,mp1_mins_late,"&gt;"&amp;$P78,mp1_mins_late,"&lt;="&amp;$P79,Date,"&gt;="&amp;I$4,Date,"&lt;="&amp;I$5,Key_Gps,"*"&amp;I$1&amp;"*"),_xlpm.perc,_xlpm.calc/_xlpm.denom,IFERROR(IF(_xlpm.calc&lt;1000,_xlfn.CONCAT(_xlpm.calc," (",TEXT(_xlpm.perc,"0.0%"),")"),_xlfn.CONCAT(TEXT(_xlpm.calc,"0,000")," (",TEXT(_xlpm.perc,"0.0%"),")")),"-"))</f>
        <v>-</v>
      </c>
      <c r="J79" s="86" t="str" cm="1">
        <f t="array" ref="J79">_xlfn.LET(_xlpm.denom,J78,_xlpm.calc,COUNTIFS(LateMP1,1,mp1_mins_late,"&gt;"&amp;$P78,mp1_mins_late,"&lt;="&amp;$P79,Date,"&gt;="&amp;J$4,Date,"&lt;="&amp;J$5,Key_Gps,"*"&amp;J$1&amp;"*"),_xlpm.perc,_xlpm.calc/_xlpm.denom,IFERROR(IF(_xlpm.calc&lt;1000,_xlfn.CONCAT(_xlpm.calc," (",TEXT(_xlpm.perc,"0.0%"),")"),_xlfn.CONCAT(TEXT(_xlpm.calc,"0,000")," (",TEXT(_xlpm.perc,"0.0%"),")")),"-"))</f>
        <v>-</v>
      </c>
      <c r="K79" s="86" t="str" cm="1">
        <f t="array" ref="K79">_xlfn.LET(_xlpm.denom,K78,_xlpm.calc,COUNTIFS(LateMP1,1,mp1_mins_late,"&gt;"&amp;$P78,mp1_mins_late,"&lt;="&amp;$P79,Date,"&gt;="&amp;K$4,Date,"&lt;="&amp;K$5,Key_Gps,"*"&amp;K$1&amp;"*"),_xlpm.perc,_xlpm.calc/_xlpm.denom,IFERROR(IF(_xlpm.calc&lt;1000,_xlfn.CONCAT(_xlpm.calc," (",TEXT(_xlpm.perc,"0.0%"),")"),_xlfn.CONCAT(TEXT(_xlpm.calc,"0,000")," (",TEXT(_xlpm.perc,"0.0%"),")")),"-"))</f>
        <v>-</v>
      </c>
      <c r="L79" s="86" t="str" cm="1">
        <f t="array" ref="L79">_xlfn.LET(_xlpm.denom,L78,_xlpm.calc,COUNTIFS(LateMP1,1,mp1_mins_late,"&gt;"&amp;$P78,mp1_mins_late,"&lt;="&amp;$P79,Date,"&gt;="&amp;L$4,Date,"&lt;="&amp;L$5,Key_Gps,"*"&amp;L$1&amp;"*"),_xlpm.perc,_xlpm.calc/_xlpm.denom,IFERROR(IF(_xlpm.calc&lt;1000,_xlfn.CONCAT(_xlpm.calc," (",TEXT(_xlpm.perc,"0.0%"),")"),_xlfn.CONCAT(TEXT(_xlpm.calc,"0,000")," (",TEXT(_xlpm.perc,"0.0%"),")")),"-"))</f>
        <v>-</v>
      </c>
      <c r="M79" s="167" t="str" cm="1">
        <f t="array" ref="M79">_xlfn.LET(_xlpm.denom,M78,_xlpm.calc,COUNTIFS(LateMP1,1,mp1_mins_late,"&gt;"&amp;$P78,mp1_mins_late,"&lt;="&amp;$P79,Date,"&gt;="&amp;M$4,Date,"&lt;="&amp;M$5,Key_Gps,"*"&amp;M$1&amp;"*"),_xlpm.perc,_xlpm.calc/_xlpm.denom,IFERROR(IF(_xlpm.calc&lt;1000,_xlfn.CONCAT(_xlpm.calc," (",TEXT(_xlpm.perc,"0.0%"),")"),_xlfn.CONCAT(TEXT(_xlpm.calc,"0,000")," (",TEXT(_xlpm.perc,"0.0%"),")")),"-"))</f>
        <v>-</v>
      </c>
      <c r="N79" s="87"/>
      <c r="O79" s="74"/>
      <c r="P79" s="276">
        <v>1</v>
      </c>
      <c r="Q79" s="75" t="str">
        <f t="shared" si="33"/>
        <v/>
      </c>
      <c r="R79" s="76" t="e">
        <f t="shared" si="34"/>
        <v>#VALUE!</v>
      </c>
      <c r="S79" s="64">
        <f t="shared" si="47"/>
        <v>1</v>
      </c>
      <c r="T79" s="42" t="str">
        <f t="shared" ca="1" si="35"/>
        <v>-</v>
      </c>
      <c r="U79" s="42" t="str">
        <f t="shared" si="36"/>
        <v>-</v>
      </c>
      <c r="V79" s="42" t="str">
        <f t="shared" si="37"/>
        <v>-</v>
      </c>
      <c r="W79" s="42" t="str">
        <f t="shared" si="38"/>
        <v>-</v>
      </c>
      <c r="X79" s="42" t="str">
        <f t="shared" si="39"/>
        <v>-</v>
      </c>
      <c r="Y79" s="42" t="str">
        <f t="shared" si="40"/>
        <v>-</v>
      </c>
      <c r="Z79" s="42" t="str">
        <f t="shared" si="41"/>
        <v>-</v>
      </c>
      <c r="AA79" s="42" t="str">
        <f t="shared" si="42"/>
        <v>-</v>
      </c>
      <c r="AB79" s="42" t="str">
        <f t="shared" si="43"/>
        <v>-</v>
      </c>
      <c r="AC79" s="42" t="str">
        <f t="shared" si="44"/>
        <v>-</v>
      </c>
      <c r="AD79" s="88"/>
      <c r="AE79" s="88"/>
      <c r="AF79" s="88"/>
      <c r="AG79" s="88"/>
      <c r="AH79" s="88"/>
      <c r="AI79" s="88"/>
      <c r="AJ79" s="88"/>
      <c r="AK79" s="88"/>
    </row>
    <row r="80" spans="1:37" s="89" customFormat="1" outlineLevel="2" x14ac:dyDescent="0.3">
      <c r="A80" s="83">
        <v>1</v>
      </c>
      <c r="B80" s="323"/>
      <c r="C80" s="85" t="str">
        <f t="shared" ref="C80:C85" si="53">IF(P81&lt;P80,_xlfn.CONCAT("Meal periods ",P79+1,"+ mins late"),IF(P80-P79=1,_xlfn.CONCAT("Meal periods ",P80," mins late"),_xlfn.CONCAT("Meal periods ",P79+1,"-",P80," mins late")))</f>
        <v>Meal periods 2-3 mins late</v>
      </c>
      <c r="D80" s="200" t="str">
        <f t="shared" ca="1" si="52"/>
        <v>-</v>
      </c>
      <c r="E80" s="86" t="str" cm="1">
        <f t="array" ref="E80">_xlfn.LET(_xlpm.denom,E78,_xlpm.calc,COUNTIFS(LateMP1,1,mp1_mins_late,"&gt;"&amp;$P79,mp1_mins_late,"&lt;="&amp;$P80,Date,"&gt;="&amp;E$4,Date,"&lt;="&amp;E$5,Key_Gps,"*"&amp;E$1&amp;"*"),_xlpm.perc,_xlpm.calc/_xlpm.denom,IFERROR(IF(_xlpm.calc&lt;1000,_xlfn.CONCAT(_xlpm.calc," (",TEXT(_xlpm.perc,"0.0%"),")"),_xlfn.CONCAT(TEXT(_xlpm.calc,"0,000")," (",TEXT(_xlpm.perc,"0.0%"),")")),"-"))</f>
        <v>-</v>
      </c>
      <c r="F80" s="86" t="str" cm="1">
        <f t="array" ref="F80">_xlfn.LET(_xlpm.denom,F78,_xlpm.calc,COUNTIFS(LateMP1,1,mp1_mins_late,"&gt;"&amp;$P79,mp1_mins_late,"&lt;="&amp;$P80,Date,"&gt;="&amp;F$4,Date,"&lt;="&amp;F$5,Key_Gps,"*"&amp;F$1&amp;"*"),_xlpm.perc,_xlpm.calc/_xlpm.denom,IFERROR(IF(_xlpm.calc&lt;1000,_xlfn.CONCAT(_xlpm.calc," (",TEXT(_xlpm.perc,"0.0%"),")"),_xlfn.CONCAT(TEXT(_xlpm.calc,"0,000")," (",TEXT(_xlpm.perc,"0.0%"),")")),"-"))</f>
        <v>-</v>
      </c>
      <c r="G80" s="86" t="str" cm="1">
        <f t="array" ref="G80">_xlfn.LET(_xlpm.denom,G78,_xlpm.calc,COUNTIFS(LateMP1,1,mp1_mins_late,"&gt;"&amp;$P79,mp1_mins_late,"&lt;="&amp;$P80,Date,"&gt;="&amp;G$4,Date,"&lt;="&amp;G$5,Key_Gps,"*"&amp;G$1&amp;"*"),_xlpm.perc,_xlpm.calc/_xlpm.denom,IFERROR(IF(_xlpm.calc&lt;1000,_xlfn.CONCAT(_xlpm.calc," (",TEXT(_xlpm.perc,"0.0%"),")"),_xlfn.CONCAT(TEXT(_xlpm.calc,"0,000")," (",TEXT(_xlpm.perc,"0.0%"),")")),"-"))</f>
        <v>-</v>
      </c>
      <c r="H80" s="86" t="str" cm="1">
        <f t="array" ref="H80">_xlfn.LET(_xlpm.denom,H78,_xlpm.calc,COUNTIFS(LateMP1,1,mp1_mins_late,"&gt;"&amp;$P79,mp1_mins_late,"&lt;="&amp;$P80,Date,"&gt;="&amp;H$4,Date,"&lt;="&amp;H$5,Key_Gps,"*"&amp;H$1&amp;"*"),_xlpm.perc,_xlpm.calc/_xlpm.denom,IFERROR(IF(_xlpm.calc&lt;1000,_xlfn.CONCAT(_xlpm.calc," (",TEXT(_xlpm.perc,"0.0%"),")"),_xlfn.CONCAT(TEXT(_xlpm.calc,"0,000")," (",TEXT(_xlpm.perc,"0.0%"),")")),"-"))</f>
        <v>-</v>
      </c>
      <c r="I80" s="86" t="str" cm="1">
        <f t="array" ref="I80">_xlfn.LET(_xlpm.denom,I78,_xlpm.calc,COUNTIFS(LateMP1,1,mp1_mins_late,"&gt;"&amp;$P79,mp1_mins_late,"&lt;="&amp;$P80,Date,"&gt;="&amp;I$4,Date,"&lt;="&amp;I$5,Key_Gps,"*"&amp;I$1&amp;"*"),_xlpm.perc,_xlpm.calc/_xlpm.denom,IFERROR(IF(_xlpm.calc&lt;1000,_xlfn.CONCAT(_xlpm.calc," (",TEXT(_xlpm.perc,"0.0%"),")"),_xlfn.CONCAT(TEXT(_xlpm.calc,"0,000")," (",TEXT(_xlpm.perc,"0.0%"),")")),"-"))</f>
        <v>-</v>
      </c>
      <c r="J80" s="86" t="str" cm="1">
        <f t="array" ref="J80">_xlfn.LET(_xlpm.denom,J78,_xlpm.calc,COUNTIFS(LateMP1,1,mp1_mins_late,"&gt;"&amp;$P79,mp1_mins_late,"&lt;="&amp;$P80,Date,"&gt;="&amp;J$4,Date,"&lt;="&amp;J$5,Key_Gps,"*"&amp;J$1&amp;"*"),_xlpm.perc,_xlpm.calc/_xlpm.denom,IFERROR(IF(_xlpm.calc&lt;1000,_xlfn.CONCAT(_xlpm.calc," (",TEXT(_xlpm.perc,"0.0%"),")"),_xlfn.CONCAT(TEXT(_xlpm.calc,"0,000")," (",TEXT(_xlpm.perc,"0.0%"),")")),"-"))</f>
        <v>-</v>
      </c>
      <c r="K80" s="86" t="str" cm="1">
        <f t="array" ref="K80">_xlfn.LET(_xlpm.denom,K78,_xlpm.calc,COUNTIFS(LateMP1,1,mp1_mins_late,"&gt;"&amp;$P79,mp1_mins_late,"&lt;="&amp;$P80,Date,"&gt;="&amp;K$4,Date,"&lt;="&amp;K$5,Key_Gps,"*"&amp;K$1&amp;"*"),_xlpm.perc,_xlpm.calc/_xlpm.denom,IFERROR(IF(_xlpm.calc&lt;1000,_xlfn.CONCAT(_xlpm.calc," (",TEXT(_xlpm.perc,"0.0%"),")"),_xlfn.CONCAT(TEXT(_xlpm.calc,"0,000")," (",TEXT(_xlpm.perc,"0.0%"),")")),"-"))</f>
        <v>-</v>
      </c>
      <c r="L80" s="86" t="str" cm="1">
        <f t="array" ref="L80">_xlfn.LET(_xlpm.denom,L78,_xlpm.calc,COUNTIFS(LateMP1,1,mp1_mins_late,"&gt;"&amp;$P79,mp1_mins_late,"&lt;="&amp;$P80,Date,"&gt;="&amp;L$4,Date,"&lt;="&amp;L$5,Key_Gps,"*"&amp;L$1&amp;"*"),_xlpm.perc,_xlpm.calc/_xlpm.denom,IFERROR(IF(_xlpm.calc&lt;1000,_xlfn.CONCAT(_xlpm.calc," (",TEXT(_xlpm.perc,"0.0%"),")"),_xlfn.CONCAT(TEXT(_xlpm.calc,"0,000")," (",TEXT(_xlpm.perc,"0.0%"),")")),"-"))</f>
        <v>-</v>
      </c>
      <c r="M80" s="167" t="str" cm="1">
        <f t="array" ref="M80">_xlfn.LET(_xlpm.denom,M78,_xlpm.calc,COUNTIFS(LateMP1,1,mp1_mins_late,"&gt;"&amp;$P79,mp1_mins_late,"&lt;="&amp;$P80,Date,"&gt;="&amp;M$4,Date,"&lt;="&amp;M$5,Key_Gps,"*"&amp;M$1&amp;"*"),_xlpm.perc,_xlpm.calc/_xlpm.denom,IFERROR(IF(_xlpm.calc&lt;1000,_xlfn.CONCAT(_xlpm.calc," (",TEXT(_xlpm.perc,"0.0%"),")"),_xlfn.CONCAT(TEXT(_xlpm.calc,"0,000")," (",TEXT(_xlpm.perc,"0.0%"),")")),"-"))</f>
        <v>-</v>
      </c>
      <c r="N80" s="87"/>
      <c r="O80" s="74"/>
      <c r="P80" s="276">
        <v>3</v>
      </c>
      <c r="Q80" s="75" t="str">
        <f t="shared" si="33"/>
        <v/>
      </c>
      <c r="R80" s="76" t="e">
        <f t="shared" si="34"/>
        <v>#VALUE!</v>
      </c>
      <c r="S80" s="64">
        <f t="shared" si="47"/>
        <v>1</v>
      </c>
      <c r="T80" s="42" t="str">
        <f t="shared" ca="1" si="35"/>
        <v>-</v>
      </c>
      <c r="U80" s="42" t="str">
        <f t="shared" si="36"/>
        <v>-</v>
      </c>
      <c r="V80" s="42" t="str">
        <f t="shared" si="37"/>
        <v>-</v>
      </c>
      <c r="W80" s="42" t="str">
        <f t="shared" si="38"/>
        <v>-</v>
      </c>
      <c r="X80" s="42" t="str">
        <f t="shared" si="39"/>
        <v>-</v>
      </c>
      <c r="Y80" s="42" t="str">
        <f t="shared" si="40"/>
        <v>-</v>
      </c>
      <c r="Z80" s="42" t="str">
        <f t="shared" si="41"/>
        <v>-</v>
      </c>
      <c r="AA80" s="42" t="str">
        <f t="shared" si="42"/>
        <v>-</v>
      </c>
      <c r="AB80" s="42" t="str">
        <f t="shared" si="43"/>
        <v>-</v>
      </c>
      <c r="AC80" s="42" t="str">
        <f t="shared" si="44"/>
        <v>-</v>
      </c>
      <c r="AD80" s="88"/>
      <c r="AE80" s="88"/>
      <c r="AF80" s="88"/>
      <c r="AG80" s="88"/>
      <c r="AH80" s="88"/>
      <c r="AI80" s="88"/>
      <c r="AJ80" s="88"/>
      <c r="AK80" s="88"/>
    </row>
    <row r="81" spans="1:37" s="89" customFormat="1" outlineLevel="2" x14ac:dyDescent="0.3">
      <c r="A81" s="83">
        <v>1</v>
      </c>
      <c r="B81" s="323"/>
      <c r="C81" s="85" t="str">
        <f t="shared" si="53"/>
        <v>Meal periods 4-10 mins late</v>
      </c>
      <c r="D81" s="200" t="str">
        <f t="shared" ca="1" si="52"/>
        <v>-</v>
      </c>
      <c r="E81" s="86" t="str" cm="1">
        <f t="array" ref="E81">_xlfn.LET(_xlpm.denom,E78,_xlpm.calc,COUNTIFS(LateMP1,1,mp1_mins_late,"&gt;"&amp;$P80,mp1_mins_late,"&lt;="&amp;$P81,Date,"&gt;="&amp;E$4,Date,"&lt;="&amp;E$5,Key_Gps,"*"&amp;E$1&amp;"*"),_xlpm.perc,_xlpm.calc/_xlpm.denom,IFERROR(IF(_xlpm.calc&lt;1000,_xlfn.CONCAT(_xlpm.calc," (",TEXT(_xlpm.perc,"0.0%"),")"),_xlfn.CONCAT(TEXT(_xlpm.calc,"0,000")," (",TEXT(_xlpm.perc,"0.0%"),")")),"-"))</f>
        <v>-</v>
      </c>
      <c r="F81" s="86" t="str" cm="1">
        <f t="array" ref="F81">_xlfn.LET(_xlpm.denom,F78,_xlpm.calc,COUNTIFS(LateMP1,1,mp1_mins_late,"&gt;"&amp;$P80,mp1_mins_late,"&lt;="&amp;$P81,Date,"&gt;="&amp;F$4,Date,"&lt;="&amp;F$5,Key_Gps,"*"&amp;F$1&amp;"*"),_xlpm.perc,_xlpm.calc/_xlpm.denom,IFERROR(IF(_xlpm.calc&lt;1000,_xlfn.CONCAT(_xlpm.calc," (",TEXT(_xlpm.perc,"0.0%"),")"),_xlfn.CONCAT(TEXT(_xlpm.calc,"0,000")," (",TEXT(_xlpm.perc,"0.0%"),")")),"-"))</f>
        <v>-</v>
      </c>
      <c r="G81" s="86" t="str" cm="1">
        <f t="array" ref="G81">_xlfn.LET(_xlpm.denom,G78,_xlpm.calc,COUNTIFS(LateMP1,1,mp1_mins_late,"&gt;"&amp;$P80,mp1_mins_late,"&lt;="&amp;$P81,Date,"&gt;="&amp;G$4,Date,"&lt;="&amp;G$5,Key_Gps,"*"&amp;G$1&amp;"*"),_xlpm.perc,_xlpm.calc/_xlpm.denom,IFERROR(IF(_xlpm.calc&lt;1000,_xlfn.CONCAT(_xlpm.calc," (",TEXT(_xlpm.perc,"0.0%"),")"),_xlfn.CONCAT(TEXT(_xlpm.calc,"0,000")," (",TEXT(_xlpm.perc,"0.0%"),")")),"-"))</f>
        <v>-</v>
      </c>
      <c r="H81" s="86" t="str" cm="1">
        <f t="array" ref="H81">_xlfn.LET(_xlpm.denom,H78,_xlpm.calc,COUNTIFS(LateMP1,1,mp1_mins_late,"&gt;"&amp;$P80,mp1_mins_late,"&lt;="&amp;$P81,Date,"&gt;="&amp;H$4,Date,"&lt;="&amp;H$5,Key_Gps,"*"&amp;H$1&amp;"*"),_xlpm.perc,_xlpm.calc/_xlpm.denom,IFERROR(IF(_xlpm.calc&lt;1000,_xlfn.CONCAT(_xlpm.calc," (",TEXT(_xlpm.perc,"0.0%"),")"),_xlfn.CONCAT(TEXT(_xlpm.calc,"0,000")," (",TEXT(_xlpm.perc,"0.0%"),")")),"-"))</f>
        <v>-</v>
      </c>
      <c r="I81" s="86" t="str" cm="1">
        <f t="array" ref="I81">_xlfn.LET(_xlpm.denom,I78,_xlpm.calc,COUNTIFS(LateMP1,1,mp1_mins_late,"&gt;"&amp;$P80,mp1_mins_late,"&lt;="&amp;$P81,Date,"&gt;="&amp;I$4,Date,"&lt;="&amp;I$5,Key_Gps,"*"&amp;I$1&amp;"*"),_xlpm.perc,_xlpm.calc/_xlpm.denom,IFERROR(IF(_xlpm.calc&lt;1000,_xlfn.CONCAT(_xlpm.calc," (",TEXT(_xlpm.perc,"0.0%"),")"),_xlfn.CONCAT(TEXT(_xlpm.calc,"0,000")," (",TEXT(_xlpm.perc,"0.0%"),")")),"-"))</f>
        <v>-</v>
      </c>
      <c r="J81" s="86" t="str" cm="1">
        <f t="array" ref="J81">_xlfn.LET(_xlpm.denom,J78,_xlpm.calc,COUNTIFS(LateMP1,1,mp1_mins_late,"&gt;"&amp;$P80,mp1_mins_late,"&lt;="&amp;$P81,Date,"&gt;="&amp;J$4,Date,"&lt;="&amp;J$5,Key_Gps,"*"&amp;J$1&amp;"*"),_xlpm.perc,_xlpm.calc/_xlpm.denom,IFERROR(IF(_xlpm.calc&lt;1000,_xlfn.CONCAT(_xlpm.calc," (",TEXT(_xlpm.perc,"0.0%"),")"),_xlfn.CONCAT(TEXT(_xlpm.calc,"0,000")," (",TEXT(_xlpm.perc,"0.0%"),")")),"-"))</f>
        <v>-</v>
      </c>
      <c r="K81" s="86" t="str" cm="1">
        <f t="array" ref="K81">_xlfn.LET(_xlpm.denom,K78,_xlpm.calc,COUNTIFS(LateMP1,1,mp1_mins_late,"&gt;"&amp;$P80,mp1_mins_late,"&lt;="&amp;$P81,Date,"&gt;="&amp;K$4,Date,"&lt;="&amp;K$5,Key_Gps,"*"&amp;K$1&amp;"*"),_xlpm.perc,_xlpm.calc/_xlpm.denom,IFERROR(IF(_xlpm.calc&lt;1000,_xlfn.CONCAT(_xlpm.calc," (",TEXT(_xlpm.perc,"0.0%"),")"),_xlfn.CONCAT(TEXT(_xlpm.calc,"0,000")," (",TEXT(_xlpm.perc,"0.0%"),")")),"-"))</f>
        <v>-</v>
      </c>
      <c r="L81" s="86" t="str" cm="1">
        <f t="array" ref="L81">_xlfn.LET(_xlpm.denom,L78,_xlpm.calc,COUNTIFS(LateMP1,1,mp1_mins_late,"&gt;"&amp;$P80,mp1_mins_late,"&lt;="&amp;$P81,Date,"&gt;="&amp;L$4,Date,"&lt;="&amp;L$5,Key_Gps,"*"&amp;L$1&amp;"*"),_xlpm.perc,_xlpm.calc/_xlpm.denom,IFERROR(IF(_xlpm.calc&lt;1000,_xlfn.CONCAT(_xlpm.calc," (",TEXT(_xlpm.perc,"0.0%"),")"),_xlfn.CONCAT(TEXT(_xlpm.calc,"0,000")," (",TEXT(_xlpm.perc,"0.0%"),")")),"-"))</f>
        <v>-</v>
      </c>
      <c r="M81" s="167" t="str" cm="1">
        <f t="array" ref="M81">_xlfn.LET(_xlpm.denom,M78,_xlpm.calc,COUNTIFS(LateMP1,1,mp1_mins_late,"&gt;"&amp;$P80,mp1_mins_late,"&lt;="&amp;$P81,Date,"&gt;="&amp;M$4,Date,"&lt;="&amp;M$5,Key_Gps,"*"&amp;M$1&amp;"*"),_xlpm.perc,_xlpm.calc/_xlpm.denom,IFERROR(IF(_xlpm.calc&lt;1000,_xlfn.CONCAT(_xlpm.calc," (",TEXT(_xlpm.perc,"0.0%"),")"),_xlfn.CONCAT(TEXT(_xlpm.calc,"0,000")," (",TEXT(_xlpm.perc,"0.0%"),")")),"-"))</f>
        <v>-</v>
      </c>
      <c r="N81" s="87"/>
      <c r="O81" s="74"/>
      <c r="P81" s="276">
        <v>10</v>
      </c>
      <c r="Q81" s="75" t="str">
        <f t="shared" si="33"/>
        <v/>
      </c>
      <c r="R81" s="76" t="e">
        <f t="shared" si="34"/>
        <v>#VALUE!</v>
      </c>
      <c r="S81" s="64">
        <f t="shared" si="47"/>
        <v>1</v>
      </c>
      <c r="T81" s="42" t="str">
        <f t="shared" ca="1" si="35"/>
        <v>-</v>
      </c>
      <c r="U81" s="42" t="str">
        <f t="shared" si="36"/>
        <v>-</v>
      </c>
      <c r="V81" s="42" t="str">
        <f t="shared" si="37"/>
        <v>-</v>
      </c>
      <c r="W81" s="42" t="str">
        <f t="shared" si="38"/>
        <v>-</v>
      </c>
      <c r="X81" s="42" t="str">
        <f t="shared" si="39"/>
        <v>-</v>
      </c>
      <c r="Y81" s="42" t="str">
        <f t="shared" si="40"/>
        <v>-</v>
      </c>
      <c r="Z81" s="42" t="str">
        <f t="shared" si="41"/>
        <v>-</v>
      </c>
      <c r="AA81" s="42" t="str">
        <f t="shared" si="42"/>
        <v>-</v>
      </c>
      <c r="AB81" s="42" t="str">
        <f t="shared" si="43"/>
        <v>-</v>
      </c>
      <c r="AC81" s="42" t="str">
        <f t="shared" si="44"/>
        <v>-</v>
      </c>
      <c r="AD81" s="88"/>
      <c r="AE81" s="88"/>
      <c r="AF81" s="88"/>
      <c r="AG81" s="88"/>
      <c r="AH81" s="88"/>
      <c r="AI81" s="88"/>
      <c r="AJ81" s="88"/>
      <c r="AK81" s="88"/>
    </row>
    <row r="82" spans="1:37" s="89" customFormat="1" outlineLevel="2" x14ac:dyDescent="0.3">
      <c r="A82" s="83">
        <v>1</v>
      </c>
      <c r="B82" s="323"/>
      <c r="C82" s="85" t="str">
        <f t="shared" si="53"/>
        <v>Meal periods 11-30 mins late</v>
      </c>
      <c r="D82" s="200" t="str">
        <f t="shared" ca="1" si="52"/>
        <v>-</v>
      </c>
      <c r="E82" s="86" t="str" cm="1">
        <f t="array" ref="E82">_xlfn.LET(_xlpm.denom,E78,_xlpm.calc,COUNTIFS(LateMP1,1,mp1_mins_late,"&gt;"&amp;$P81,mp1_mins_late,"&lt;="&amp;$P82,Date,"&gt;="&amp;E$4,Date,"&lt;="&amp;E$5,Key_Gps,"*"&amp;E$1&amp;"*"),_xlpm.perc,_xlpm.calc/_xlpm.denom,IFERROR(IF(_xlpm.calc&lt;1000,_xlfn.CONCAT(_xlpm.calc," (",TEXT(_xlpm.perc,"0.0%"),")"),_xlfn.CONCAT(TEXT(_xlpm.calc,"0,000")," (",TEXT(_xlpm.perc,"0.0%"),")")),"-"))</f>
        <v>-</v>
      </c>
      <c r="F82" s="86" t="str" cm="1">
        <f t="array" ref="F82">_xlfn.LET(_xlpm.denom,F78,_xlpm.calc,COUNTIFS(LateMP1,1,mp1_mins_late,"&gt;"&amp;$P81,mp1_mins_late,"&lt;="&amp;$P82,Date,"&gt;="&amp;F$4,Date,"&lt;="&amp;F$5,Key_Gps,"*"&amp;F$1&amp;"*"),_xlpm.perc,_xlpm.calc/_xlpm.denom,IFERROR(IF(_xlpm.calc&lt;1000,_xlfn.CONCAT(_xlpm.calc," (",TEXT(_xlpm.perc,"0.0%"),")"),_xlfn.CONCAT(TEXT(_xlpm.calc,"0,000")," (",TEXT(_xlpm.perc,"0.0%"),")")),"-"))</f>
        <v>-</v>
      </c>
      <c r="G82" s="86" t="str" cm="1">
        <f t="array" ref="G82">_xlfn.LET(_xlpm.denom,G78,_xlpm.calc,COUNTIFS(LateMP1,1,mp1_mins_late,"&gt;"&amp;$P81,mp1_mins_late,"&lt;="&amp;$P82,Date,"&gt;="&amp;G$4,Date,"&lt;="&amp;G$5,Key_Gps,"*"&amp;G$1&amp;"*"),_xlpm.perc,_xlpm.calc/_xlpm.denom,IFERROR(IF(_xlpm.calc&lt;1000,_xlfn.CONCAT(_xlpm.calc," (",TEXT(_xlpm.perc,"0.0%"),")"),_xlfn.CONCAT(TEXT(_xlpm.calc,"0,000")," (",TEXT(_xlpm.perc,"0.0%"),")")),"-"))</f>
        <v>-</v>
      </c>
      <c r="H82" s="86" t="str" cm="1">
        <f t="array" ref="H82">_xlfn.LET(_xlpm.denom,H78,_xlpm.calc,COUNTIFS(LateMP1,1,mp1_mins_late,"&gt;"&amp;$P81,mp1_mins_late,"&lt;="&amp;$P82,Date,"&gt;="&amp;H$4,Date,"&lt;="&amp;H$5,Key_Gps,"*"&amp;H$1&amp;"*"),_xlpm.perc,_xlpm.calc/_xlpm.denom,IFERROR(IF(_xlpm.calc&lt;1000,_xlfn.CONCAT(_xlpm.calc," (",TEXT(_xlpm.perc,"0.0%"),")"),_xlfn.CONCAT(TEXT(_xlpm.calc,"0,000")," (",TEXT(_xlpm.perc,"0.0%"),")")),"-"))</f>
        <v>-</v>
      </c>
      <c r="I82" s="86" t="str" cm="1">
        <f t="array" ref="I82">_xlfn.LET(_xlpm.denom,I78,_xlpm.calc,COUNTIFS(LateMP1,1,mp1_mins_late,"&gt;"&amp;$P81,mp1_mins_late,"&lt;="&amp;$P82,Date,"&gt;="&amp;I$4,Date,"&lt;="&amp;I$5,Key_Gps,"*"&amp;I$1&amp;"*"),_xlpm.perc,_xlpm.calc/_xlpm.denom,IFERROR(IF(_xlpm.calc&lt;1000,_xlfn.CONCAT(_xlpm.calc," (",TEXT(_xlpm.perc,"0.0%"),")"),_xlfn.CONCAT(TEXT(_xlpm.calc,"0,000")," (",TEXT(_xlpm.perc,"0.0%"),")")),"-"))</f>
        <v>-</v>
      </c>
      <c r="J82" s="86" t="str" cm="1">
        <f t="array" ref="J82">_xlfn.LET(_xlpm.denom,J78,_xlpm.calc,COUNTIFS(LateMP1,1,mp1_mins_late,"&gt;"&amp;$P81,mp1_mins_late,"&lt;="&amp;$P82,Date,"&gt;="&amp;J$4,Date,"&lt;="&amp;J$5,Key_Gps,"*"&amp;J$1&amp;"*"),_xlpm.perc,_xlpm.calc/_xlpm.denom,IFERROR(IF(_xlpm.calc&lt;1000,_xlfn.CONCAT(_xlpm.calc," (",TEXT(_xlpm.perc,"0.0%"),")"),_xlfn.CONCAT(TEXT(_xlpm.calc,"0,000")," (",TEXT(_xlpm.perc,"0.0%"),")")),"-"))</f>
        <v>-</v>
      </c>
      <c r="K82" s="86" t="str" cm="1">
        <f t="array" ref="K82">_xlfn.LET(_xlpm.denom,K78,_xlpm.calc,COUNTIFS(LateMP1,1,mp1_mins_late,"&gt;"&amp;$P81,mp1_mins_late,"&lt;="&amp;$P82,Date,"&gt;="&amp;K$4,Date,"&lt;="&amp;K$5,Key_Gps,"*"&amp;K$1&amp;"*"),_xlpm.perc,_xlpm.calc/_xlpm.denom,IFERROR(IF(_xlpm.calc&lt;1000,_xlfn.CONCAT(_xlpm.calc," (",TEXT(_xlpm.perc,"0.0%"),")"),_xlfn.CONCAT(TEXT(_xlpm.calc,"0,000")," (",TEXT(_xlpm.perc,"0.0%"),")")),"-"))</f>
        <v>-</v>
      </c>
      <c r="L82" s="86" t="str" cm="1">
        <f t="array" ref="L82">_xlfn.LET(_xlpm.denom,L78,_xlpm.calc,COUNTIFS(LateMP1,1,mp1_mins_late,"&gt;"&amp;$P81,mp1_mins_late,"&lt;="&amp;$P82,Date,"&gt;="&amp;L$4,Date,"&lt;="&amp;L$5,Key_Gps,"*"&amp;L$1&amp;"*"),_xlpm.perc,_xlpm.calc/_xlpm.denom,IFERROR(IF(_xlpm.calc&lt;1000,_xlfn.CONCAT(_xlpm.calc," (",TEXT(_xlpm.perc,"0.0%"),")"),_xlfn.CONCAT(TEXT(_xlpm.calc,"0,000")," (",TEXT(_xlpm.perc,"0.0%"),")")),"-"))</f>
        <v>-</v>
      </c>
      <c r="M82" s="167" t="str" cm="1">
        <f t="array" ref="M82">_xlfn.LET(_xlpm.denom,M78,_xlpm.calc,COUNTIFS(LateMP1,1,mp1_mins_late,"&gt;"&amp;$P81,mp1_mins_late,"&lt;="&amp;$P82,Date,"&gt;="&amp;M$4,Date,"&lt;="&amp;M$5,Key_Gps,"*"&amp;M$1&amp;"*"),_xlpm.perc,_xlpm.calc/_xlpm.denom,IFERROR(IF(_xlpm.calc&lt;1000,_xlfn.CONCAT(_xlpm.calc," (",TEXT(_xlpm.perc,"0.0%"),")"),_xlfn.CONCAT(TEXT(_xlpm.calc,"0,000")," (",TEXT(_xlpm.perc,"0.0%"),")")),"-"))</f>
        <v>-</v>
      </c>
      <c r="N82" s="87"/>
      <c r="O82" s="74"/>
      <c r="P82" s="276">
        <v>30</v>
      </c>
      <c r="Q82" s="75" t="str">
        <f t="shared" si="33"/>
        <v/>
      </c>
      <c r="R82" s="76" t="e">
        <f t="shared" si="34"/>
        <v>#VALUE!</v>
      </c>
      <c r="S82" s="64">
        <f t="shared" si="47"/>
        <v>1</v>
      </c>
      <c r="T82" s="42" t="str">
        <f t="shared" ca="1" si="35"/>
        <v>-</v>
      </c>
      <c r="U82" s="42" t="str">
        <f t="shared" si="36"/>
        <v>-</v>
      </c>
      <c r="V82" s="42" t="str">
        <f t="shared" si="37"/>
        <v>-</v>
      </c>
      <c r="W82" s="42" t="str">
        <f t="shared" si="38"/>
        <v>-</v>
      </c>
      <c r="X82" s="42" t="str">
        <f t="shared" si="39"/>
        <v>-</v>
      </c>
      <c r="Y82" s="42" t="str">
        <f t="shared" si="40"/>
        <v>-</v>
      </c>
      <c r="Z82" s="42" t="str">
        <f t="shared" si="41"/>
        <v>-</v>
      </c>
      <c r="AA82" s="42" t="str">
        <f t="shared" si="42"/>
        <v>-</v>
      </c>
      <c r="AB82" s="42" t="str">
        <f t="shared" si="43"/>
        <v>-</v>
      </c>
      <c r="AC82" s="42" t="str">
        <f t="shared" si="44"/>
        <v>-</v>
      </c>
      <c r="AD82" s="88"/>
      <c r="AE82" s="88"/>
      <c r="AF82" s="88"/>
      <c r="AG82" s="88"/>
      <c r="AH82" s="88"/>
      <c r="AI82" s="88"/>
      <c r="AJ82" s="88"/>
      <c r="AK82" s="88"/>
    </row>
    <row r="83" spans="1:37" s="89" customFormat="1" outlineLevel="2" x14ac:dyDescent="0.3">
      <c r="A83" s="83">
        <v>1</v>
      </c>
      <c r="B83" s="323"/>
      <c r="C83" s="85" t="str">
        <f t="shared" si="53"/>
        <v>Meal periods 31-60 mins late</v>
      </c>
      <c r="D83" s="200" t="str">
        <f t="shared" ca="1" si="52"/>
        <v>-</v>
      </c>
      <c r="E83" s="86" t="str" cm="1">
        <f t="array" ref="E83">_xlfn.LET(_xlpm.denom,E78,_xlpm.calc,COUNTIFS(LateMP1,1,mp1_mins_late,"&gt;"&amp;$P82,mp1_mins_late,"&lt;="&amp;$P83,Date,"&gt;="&amp;E$4,Date,"&lt;="&amp;E$5,Key_Gps,"*"&amp;E$1&amp;"*"),_xlpm.perc,_xlpm.calc/_xlpm.denom,IFERROR(IF(_xlpm.calc&lt;1000,_xlfn.CONCAT(_xlpm.calc," (",TEXT(_xlpm.perc,"0.0%"),")"),_xlfn.CONCAT(TEXT(_xlpm.calc,"0,000")," (",TEXT(_xlpm.perc,"0.0%"),")")),"-"))</f>
        <v>-</v>
      </c>
      <c r="F83" s="86" t="str" cm="1">
        <f t="array" ref="F83">_xlfn.LET(_xlpm.denom,F78,_xlpm.calc,COUNTIFS(LateMP1,1,mp1_mins_late,"&gt;"&amp;$P82,mp1_mins_late,"&lt;="&amp;$P83,Date,"&gt;="&amp;F$4,Date,"&lt;="&amp;F$5,Key_Gps,"*"&amp;F$1&amp;"*"),_xlpm.perc,_xlpm.calc/_xlpm.denom,IFERROR(IF(_xlpm.calc&lt;1000,_xlfn.CONCAT(_xlpm.calc," (",TEXT(_xlpm.perc,"0.0%"),")"),_xlfn.CONCAT(TEXT(_xlpm.calc,"0,000")," (",TEXT(_xlpm.perc,"0.0%"),")")),"-"))</f>
        <v>-</v>
      </c>
      <c r="G83" s="86" t="str" cm="1">
        <f t="array" ref="G83">_xlfn.LET(_xlpm.denom,G78,_xlpm.calc,COUNTIFS(LateMP1,1,mp1_mins_late,"&gt;"&amp;$P82,mp1_mins_late,"&lt;="&amp;$P83,Date,"&gt;="&amp;G$4,Date,"&lt;="&amp;G$5,Key_Gps,"*"&amp;G$1&amp;"*"),_xlpm.perc,_xlpm.calc/_xlpm.denom,IFERROR(IF(_xlpm.calc&lt;1000,_xlfn.CONCAT(_xlpm.calc," (",TEXT(_xlpm.perc,"0.0%"),")"),_xlfn.CONCAT(TEXT(_xlpm.calc,"0,000")," (",TEXT(_xlpm.perc,"0.0%"),")")),"-"))</f>
        <v>-</v>
      </c>
      <c r="H83" s="86" t="str" cm="1">
        <f t="array" ref="H83">_xlfn.LET(_xlpm.denom,H78,_xlpm.calc,COUNTIFS(LateMP1,1,mp1_mins_late,"&gt;"&amp;$P82,mp1_mins_late,"&lt;="&amp;$P83,Date,"&gt;="&amp;H$4,Date,"&lt;="&amp;H$5,Key_Gps,"*"&amp;H$1&amp;"*"),_xlpm.perc,_xlpm.calc/_xlpm.denom,IFERROR(IF(_xlpm.calc&lt;1000,_xlfn.CONCAT(_xlpm.calc," (",TEXT(_xlpm.perc,"0.0%"),")"),_xlfn.CONCAT(TEXT(_xlpm.calc,"0,000")," (",TEXT(_xlpm.perc,"0.0%"),")")),"-"))</f>
        <v>-</v>
      </c>
      <c r="I83" s="86" t="str" cm="1">
        <f t="array" ref="I83">_xlfn.LET(_xlpm.denom,I78,_xlpm.calc,COUNTIFS(LateMP1,1,mp1_mins_late,"&gt;"&amp;$P82,mp1_mins_late,"&lt;="&amp;$P83,Date,"&gt;="&amp;I$4,Date,"&lt;="&amp;I$5,Key_Gps,"*"&amp;I$1&amp;"*"),_xlpm.perc,_xlpm.calc/_xlpm.denom,IFERROR(IF(_xlpm.calc&lt;1000,_xlfn.CONCAT(_xlpm.calc," (",TEXT(_xlpm.perc,"0.0%"),")"),_xlfn.CONCAT(TEXT(_xlpm.calc,"0,000")," (",TEXT(_xlpm.perc,"0.0%"),")")),"-"))</f>
        <v>-</v>
      </c>
      <c r="J83" s="86" t="str" cm="1">
        <f t="array" ref="J83">_xlfn.LET(_xlpm.denom,J78,_xlpm.calc,COUNTIFS(LateMP1,1,mp1_mins_late,"&gt;"&amp;$P82,mp1_mins_late,"&lt;="&amp;$P83,Date,"&gt;="&amp;J$4,Date,"&lt;="&amp;J$5,Key_Gps,"*"&amp;J$1&amp;"*"),_xlpm.perc,_xlpm.calc/_xlpm.denom,IFERROR(IF(_xlpm.calc&lt;1000,_xlfn.CONCAT(_xlpm.calc," (",TEXT(_xlpm.perc,"0.0%"),")"),_xlfn.CONCAT(TEXT(_xlpm.calc,"0,000")," (",TEXT(_xlpm.perc,"0.0%"),")")),"-"))</f>
        <v>-</v>
      </c>
      <c r="K83" s="86" t="str" cm="1">
        <f t="array" ref="K83">_xlfn.LET(_xlpm.denom,K78,_xlpm.calc,COUNTIFS(LateMP1,1,mp1_mins_late,"&gt;"&amp;$P82,mp1_mins_late,"&lt;="&amp;$P83,Date,"&gt;="&amp;K$4,Date,"&lt;="&amp;K$5,Key_Gps,"*"&amp;K$1&amp;"*"),_xlpm.perc,_xlpm.calc/_xlpm.denom,IFERROR(IF(_xlpm.calc&lt;1000,_xlfn.CONCAT(_xlpm.calc," (",TEXT(_xlpm.perc,"0.0%"),")"),_xlfn.CONCAT(TEXT(_xlpm.calc,"0,000")," (",TEXT(_xlpm.perc,"0.0%"),")")),"-"))</f>
        <v>-</v>
      </c>
      <c r="L83" s="86" t="str" cm="1">
        <f t="array" ref="L83">_xlfn.LET(_xlpm.denom,L78,_xlpm.calc,COUNTIFS(LateMP1,1,mp1_mins_late,"&gt;"&amp;$P82,mp1_mins_late,"&lt;="&amp;$P83,Date,"&gt;="&amp;L$4,Date,"&lt;="&amp;L$5,Key_Gps,"*"&amp;L$1&amp;"*"),_xlpm.perc,_xlpm.calc/_xlpm.denom,IFERROR(IF(_xlpm.calc&lt;1000,_xlfn.CONCAT(_xlpm.calc," (",TEXT(_xlpm.perc,"0.0%"),")"),_xlfn.CONCAT(TEXT(_xlpm.calc,"0,000")," (",TEXT(_xlpm.perc,"0.0%"),")")),"-"))</f>
        <v>-</v>
      </c>
      <c r="M83" s="167" t="str" cm="1">
        <f t="array" ref="M83">_xlfn.LET(_xlpm.denom,M78,_xlpm.calc,COUNTIFS(LateMP1,1,mp1_mins_late,"&gt;"&amp;$P82,mp1_mins_late,"&lt;="&amp;$P83,Date,"&gt;="&amp;M$4,Date,"&lt;="&amp;M$5,Key_Gps,"*"&amp;M$1&amp;"*"),_xlpm.perc,_xlpm.calc/_xlpm.denom,IFERROR(IF(_xlpm.calc&lt;1000,_xlfn.CONCAT(_xlpm.calc," (",TEXT(_xlpm.perc,"0.0%"),")"),_xlfn.CONCAT(TEXT(_xlpm.calc,"0,000")," (",TEXT(_xlpm.perc,"0.0%"),")")),"-"))</f>
        <v>-</v>
      </c>
      <c r="N83" s="87"/>
      <c r="O83" s="74"/>
      <c r="P83" s="276">
        <v>60</v>
      </c>
      <c r="Q83" s="75" t="str">
        <f t="shared" si="33"/>
        <v/>
      </c>
      <c r="R83" s="76" t="e">
        <f t="shared" si="34"/>
        <v>#VALUE!</v>
      </c>
      <c r="S83" s="64">
        <f t="shared" si="47"/>
        <v>1</v>
      </c>
      <c r="T83" s="42" t="str">
        <f t="shared" ca="1" si="35"/>
        <v>-</v>
      </c>
      <c r="U83" s="42" t="str">
        <f t="shared" si="36"/>
        <v>-</v>
      </c>
      <c r="V83" s="42" t="str">
        <f t="shared" si="37"/>
        <v>-</v>
      </c>
      <c r="W83" s="42" t="str">
        <f t="shared" si="38"/>
        <v>-</v>
      </c>
      <c r="X83" s="42" t="str">
        <f t="shared" si="39"/>
        <v>-</v>
      </c>
      <c r="Y83" s="42" t="str">
        <f t="shared" si="40"/>
        <v>-</v>
      </c>
      <c r="Z83" s="42" t="str">
        <f t="shared" si="41"/>
        <v>-</v>
      </c>
      <c r="AA83" s="42" t="str">
        <f t="shared" si="42"/>
        <v>-</v>
      </c>
      <c r="AB83" s="42" t="str">
        <f t="shared" si="43"/>
        <v>-</v>
      </c>
      <c r="AC83" s="42" t="str">
        <f t="shared" si="44"/>
        <v>-</v>
      </c>
      <c r="AD83" s="88"/>
      <c r="AE83" s="88"/>
      <c r="AF83" s="88"/>
      <c r="AG83" s="88"/>
      <c r="AH83" s="88"/>
      <c r="AI83" s="88"/>
      <c r="AJ83" s="88"/>
      <c r="AK83" s="88"/>
    </row>
    <row r="84" spans="1:37" s="89" customFormat="1" outlineLevel="2" x14ac:dyDescent="0.3">
      <c r="A84" s="83">
        <v>1</v>
      </c>
      <c r="B84" s="323"/>
      <c r="C84" s="85" t="str">
        <f t="shared" si="53"/>
        <v>Meal periods 61-120 mins late</v>
      </c>
      <c r="D84" s="200" t="str">
        <f t="shared" ca="1" si="52"/>
        <v>-</v>
      </c>
      <c r="E84" s="86" t="str" cm="1">
        <f t="array" ref="E84">_xlfn.LET(_xlpm.denom,E78,_xlpm.calc,COUNTIFS(LateMP1,1,mp1_mins_late,"&gt;"&amp;$P83,mp1_mins_late,"&lt;="&amp;$P84,Date,"&gt;="&amp;E$4,Date,"&lt;="&amp;E$5,Key_Gps,"*"&amp;E$1&amp;"*"),_xlpm.perc,_xlpm.calc/_xlpm.denom,IFERROR(IF(_xlpm.calc&lt;1000,_xlfn.CONCAT(_xlpm.calc," (",TEXT(_xlpm.perc,"0.0%"),")"),_xlfn.CONCAT(TEXT(_xlpm.calc,"0,000")," (",TEXT(_xlpm.perc,"0.0%"),")")),"-"))</f>
        <v>-</v>
      </c>
      <c r="F84" s="86" t="str" cm="1">
        <f t="array" ref="F84">_xlfn.LET(_xlpm.denom,F78,_xlpm.calc,COUNTIFS(LateMP1,1,mp1_mins_late,"&gt;"&amp;$P83,mp1_mins_late,"&lt;="&amp;$P84,Date,"&gt;="&amp;F$4,Date,"&lt;="&amp;F$5,Key_Gps,"*"&amp;F$1&amp;"*"),_xlpm.perc,_xlpm.calc/_xlpm.denom,IFERROR(IF(_xlpm.calc&lt;1000,_xlfn.CONCAT(_xlpm.calc," (",TEXT(_xlpm.perc,"0.0%"),")"),_xlfn.CONCAT(TEXT(_xlpm.calc,"0,000")," (",TEXT(_xlpm.perc,"0.0%"),")")),"-"))</f>
        <v>-</v>
      </c>
      <c r="G84" s="86" t="str" cm="1">
        <f t="array" ref="G84">_xlfn.LET(_xlpm.denom,G78,_xlpm.calc,COUNTIFS(LateMP1,1,mp1_mins_late,"&gt;"&amp;$P83,mp1_mins_late,"&lt;="&amp;$P84,Date,"&gt;="&amp;G$4,Date,"&lt;="&amp;G$5,Key_Gps,"*"&amp;G$1&amp;"*"),_xlpm.perc,_xlpm.calc/_xlpm.denom,IFERROR(IF(_xlpm.calc&lt;1000,_xlfn.CONCAT(_xlpm.calc," (",TEXT(_xlpm.perc,"0.0%"),")"),_xlfn.CONCAT(TEXT(_xlpm.calc,"0,000")," (",TEXT(_xlpm.perc,"0.0%"),")")),"-"))</f>
        <v>-</v>
      </c>
      <c r="H84" s="86" t="str" cm="1">
        <f t="array" ref="H84">_xlfn.LET(_xlpm.denom,H78,_xlpm.calc,COUNTIFS(LateMP1,1,mp1_mins_late,"&gt;"&amp;$P83,mp1_mins_late,"&lt;="&amp;$P84,Date,"&gt;="&amp;H$4,Date,"&lt;="&amp;H$5,Key_Gps,"*"&amp;H$1&amp;"*"),_xlpm.perc,_xlpm.calc/_xlpm.denom,IFERROR(IF(_xlpm.calc&lt;1000,_xlfn.CONCAT(_xlpm.calc," (",TEXT(_xlpm.perc,"0.0%"),")"),_xlfn.CONCAT(TEXT(_xlpm.calc,"0,000")," (",TEXT(_xlpm.perc,"0.0%"),")")),"-"))</f>
        <v>-</v>
      </c>
      <c r="I84" s="86" t="str" cm="1">
        <f t="array" ref="I84">_xlfn.LET(_xlpm.denom,I78,_xlpm.calc,COUNTIFS(LateMP1,1,mp1_mins_late,"&gt;"&amp;$P83,mp1_mins_late,"&lt;="&amp;$P84,Date,"&gt;="&amp;I$4,Date,"&lt;="&amp;I$5,Key_Gps,"*"&amp;I$1&amp;"*"),_xlpm.perc,_xlpm.calc/_xlpm.denom,IFERROR(IF(_xlpm.calc&lt;1000,_xlfn.CONCAT(_xlpm.calc," (",TEXT(_xlpm.perc,"0.0%"),")"),_xlfn.CONCAT(TEXT(_xlpm.calc,"0,000")," (",TEXT(_xlpm.perc,"0.0%"),")")),"-"))</f>
        <v>-</v>
      </c>
      <c r="J84" s="86" t="str" cm="1">
        <f t="array" ref="J84">_xlfn.LET(_xlpm.denom,J78,_xlpm.calc,COUNTIFS(LateMP1,1,mp1_mins_late,"&gt;"&amp;$P83,mp1_mins_late,"&lt;="&amp;$P84,Date,"&gt;="&amp;J$4,Date,"&lt;="&amp;J$5,Key_Gps,"*"&amp;J$1&amp;"*"),_xlpm.perc,_xlpm.calc/_xlpm.denom,IFERROR(IF(_xlpm.calc&lt;1000,_xlfn.CONCAT(_xlpm.calc," (",TEXT(_xlpm.perc,"0.0%"),")"),_xlfn.CONCAT(TEXT(_xlpm.calc,"0,000")," (",TEXT(_xlpm.perc,"0.0%"),")")),"-"))</f>
        <v>-</v>
      </c>
      <c r="K84" s="86" t="str" cm="1">
        <f t="array" ref="K84">_xlfn.LET(_xlpm.denom,K78,_xlpm.calc,COUNTIFS(LateMP1,1,mp1_mins_late,"&gt;"&amp;$P83,mp1_mins_late,"&lt;="&amp;$P84,Date,"&gt;="&amp;K$4,Date,"&lt;="&amp;K$5,Key_Gps,"*"&amp;K$1&amp;"*"),_xlpm.perc,_xlpm.calc/_xlpm.denom,IFERROR(IF(_xlpm.calc&lt;1000,_xlfn.CONCAT(_xlpm.calc," (",TEXT(_xlpm.perc,"0.0%"),")"),_xlfn.CONCAT(TEXT(_xlpm.calc,"0,000")," (",TEXT(_xlpm.perc,"0.0%"),")")),"-"))</f>
        <v>-</v>
      </c>
      <c r="L84" s="86" t="str" cm="1">
        <f t="array" ref="L84">_xlfn.LET(_xlpm.denom,L78,_xlpm.calc,COUNTIFS(LateMP1,1,mp1_mins_late,"&gt;"&amp;$P83,mp1_mins_late,"&lt;="&amp;$P84,Date,"&gt;="&amp;L$4,Date,"&lt;="&amp;L$5,Key_Gps,"*"&amp;L$1&amp;"*"),_xlpm.perc,_xlpm.calc/_xlpm.denom,IFERROR(IF(_xlpm.calc&lt;1000,_xlfn.CONCAT(_xlpm.calc," (",TEXT(_xlpm.perc,"0.0%"),")"),_xlfn.CONCAT(TEXT(_xlpm.calc,"0,000")," (",TEXT(_xlpm.perc,"0.0%"),")")),"-"))</f>
        <v>-</v>
      </c>
      <c r="M84" s="167" t="str" cm="1">
        <f t="array" ref="M84">_xlfn.LET(_xlpm.denom,M78,_xlpm.calc,COUNTIFS(LateMP1,1,mp1_mins_late,"&gt;"&amp;$P83,mp1_mins_late,"&lt;="&amp;$P84,Date,"&gt;="&amp;M$4,Date,"&lt;="&amp;M$5,Key_Gps,"*"&amp;M$1&amp;"*"),_xlpm.perc,_xlpm.calc/_xlpm.denom,IFERROR(IF(_xlpm.calc&lt;1000,_xlfn.CONCAT(_xlpm.calc," (",TEXT(_xlpm.perc,"0.0%"),")"),_xlfn.CONCAT(TEXT(_xlpm.calc,"0,000")," (",TEXT(_xlpm.perc,"0.0%"),")")),"-"))</f>
        <v>-</v>
      </c>
      <c r="N84" s="87"/>
      <c r="O84" s="74"/>
      <c r="P84" s="276">
        <v>120</v>
      </c>
      <c r="Q84" s="75" t="str">
        <f t="shared" si="33"/>
        <v/>
      </c>
      <c r="R84" s="76" t="e">
        <f t="shared" si="34"/>
        <v>#VALUE!</v>
      </c>
      <c r="S84" s="64">
        <f t="shared" si="47"/>
        <v>1</v>
      </c>
      <c r="T84" s="42" t="str">
        <f t="shared" ca="1" si="35"/>
        <v>-</v>
      </c>
      <c r="U84" s="42" t="str">
        <f t="shared" si="36"/>
        <v>-</v>
      </c>
      <c r="V84" s="42" t="str">
        <f t="shared" si="37"/>
        <v>-</v>
      </c>
      <c r="W84" s="42" t="str">
        <f t="shared" si="38"/>
        <v>-</v>
      </c>
      <c r="X84" s="42" t="str">
        <f t="shared" si="39"/>
        <v>-</v>
      </c>
      <c r="Y84" s="42" t="str">
        <f t="shared" si="40"/>
        <v>-</v>
      </c>
      <c r="Z84" s="42" t="str">
        <f t="shared" si="41"/>
        <v>-</v>
      </c>
      <c r="AA84" s="42" t="str">
        <f t="shared" si="42"/>
        <v>-</v>
      </c>
      <c r="AB84" s="42" t="str">
        <f t="shared" si="43"/>
        <v>-</v>
      </c>
      <c r="AC84" s="42" t="str">
        <f t="shared" si="44"/>
        <v>-</v>
      </c>
      <c r="AD84" s="88"/>
      <c r="AE84" s="88"/>
      <c r="AF84" s="88"/>
      <c r="AG84" s="88"/>
      <c r="AH84" s="88"/>
      <c r="AI84" s="88"/>
      <c r="AJ84" s="88"/>
      <c r="AK84" s="88"/>
    </row>
    <row r="85" spans="1:37" s="89" customFormat="1" outlineLevel="2" x14ac:dyDescent="0.3">
      <c r="A85" s="83">
        <v>1</v>
      </c>
      <c r="B85" s="323"/>
      <c r="C85" s="85" t="str">
        <f t="shared" si="53"/>
        <v>Meal periods 121+ mins late</v>
      </c>
      <c r="D85" s="200" t="str">
        <f t="shared" ca="1" si="52"/>
        <v>-</v>
      </c>
      <c r="E85" s="86" t="str" cm="1">
        <f t="array" ref="E85">_xlfn.LET(_xlpm.denom,E78,_xlpm.calc,COUNTIFS(LateMP1,1,mp1_mins_late,"&gt;"&amp;$P84,mp1_mins_late,"&lt;="&amp;$P85,Date,"&gt;="&amp;E$4,Date,"&lt;="&amp;E$5,Key_Gps,"*"&amp;E$1&amp;"*"),_xlpm.perc,_xlpm.calc/_xlpm.denom,IFERROR(IF(_xlpm.calc&lt;1000,_xlfn.CONCAT(_xlpm.calc," (",TEXT(_xlpm.perc,"0.0%"),")"),_xlfn.CONCAT(TEXT(_xlpm.calc,"0,000")," (",TEXT(_xlpm.perc,"0.0%"),")")),"-"))</f>
        <v>-</v>
      </c>
      <c r="F85" s="86" t="str" cm="1">
        <f t="array" ref="F85">_xlfn.LET(_xlpm.denom,F78,_xlpm.calc,COUNTIFS(LateMP1,1,mp1_mins_late,"&gt;"&amp;$P84,mp1_mins_late,"&lt;="&amp;$P85,Date,"&gt;="&amp;F$4,Date,"&lt;="&amp;F$5,Key_Gps,"*"&amp;F$1&amp;"*"),_xlpm.perc,_xlpm.calc/_xlpm.denom,IFERROR(IF(_xlpm.calc&lt;1000,_xlfn.CONCAT(_xlpm.calc," (",TEXT(_xlpm.perc,"0.0%"),")"),_xlfn.CONCAT(TEXT(_xlpm.calc,"0,000")," (",TEXT(_xlpm.perc,"0.0%"),")")),"-"))</f>
        <v>-</v>
      </c>
      <c r="G85" s="86" t="str" cm="1">
        <f t="array" ref="G85">_xlfn.LET(_xlpm.denom,G78,_xlpm.calc,COUNTIFS(LateMP1,1,mp1_mins_late,"&gt;"&amp;$P84,mp1_mins_late,"&lt;="&amp;$P85,Date,"&gt;="&amp;G$4,Date,"&lt;="&amp;G$5,Key_Gps,"*"&amp;G$1&amp;"*"),_xlpm.perc,_xlpm.calc/_xlpm.denom,IFERROR(IF(_xlpm.calc&lt;1000,_xlfn.CONCAT(_xlpm.calc," (",TEXT(_xlpm.perc,"0.0%"),")"),_xlfn.CONCAT(TEXT(_xlpm.calc,"0,000")," (",TEXT(_xlpm.perc,"0.0%"),")")),"-"))</f>
        <v>-</v>
      </c>
      <c r="H85" s="86" t="str" cm="1">
        <f t="array" ref="H85">_xlfn.LET(_xlpm.denom,H78,_xlpm.calc,COUNTIFS(LateMP1,1,mp1_mins_late,"&gt;"&amp;$P84,mp1_mins_late,"&lt;="&amp;$P85,Date,"&gt;="&amp;H$4,Date,"&lt;="&amp;H$5,Key_Gps,"*"&amp;H$1&amp;"*"),_xlpm.perc,_xlpm.calc/_xlpm.denom,IFERROR(IF(_xlpm.calc&lt;1000,_xlfn.CONCAT(_xlpm.calc," (",TEXT(_xlpm.perc,"0.0%"),")"),_xlfn.CONCAT(TEXT(_xlpm.calc,"0,000")," (",TEXT(_xlpm.perc,"0.0%"),")")),"-"))</f>
        <v>-</v>
      </c>
      <c r="I85" s="86" t="str" cm="1">
        <f t="array" ref="I85">_xlfn.LET(_xlpm.denom,I78,_xlpm.calc,COUNTIFS(LateMP1,1,mp1_mins_late,"&gt;"&amp;$P84,mp1_mins_late,"&lt;="&amp;$P85,Date,"&gt;="&amp;I$4,Date,"&lt;="&amp;I$5,Key_Gps,"*"&amp;I$1&amp;"*"),_xlpm.perc,_xlpm.calc/_xlpm.denom,IFERROR(IF(_xlpm.calc&lt;1000,_xlfn.CONCAT(_xlpm.calc," (",TEXT(_xlpm.perc,"0.0%"),")"),_xlfn.CONCAT(TEXT(_xlpm.calc,"0,000")," (",TEXT(_xlpm.perc,"0.0%"),")")),"-"))</f>
        <v>-</v>
      </c>
      <c r="J85" s="86" t="str" cm="1">
        <f t="array" ref="J85">_xlfn.LET(_xlpm.denom,J78,_xlpm.calc,COUNTIFS(LateMP1,1,mp1_mins_late,"&gt;"&amp;$P84,mp1_mins_late,"&lt;="&amp;$P85,Date,"&gt;="&amp;J$4,Date,"&lt;="&amp;J$5,Key_Gps,"*"&amp;J$1&amp;"*"),_xlpm.perc,_xlpm.calc/_xlpm.denom,IFERROR(IF(_xlpm.calc&lt;1000,_xlfn.CONCAT(_xlpm.calc," (",TEXT(_xlpm.perc,"0.0%"),")"),_xlfn.CONCAT(TEXT(_xlpm.calc,"0,000")," (",TEXT(_xlpm.perc,"0.0%"),")")),"-"))</f>
        <v>-</v>
      </c>
      <c r="K85" s="86" t="str" cm="1">
        <f t="array" ref="K85">_xlfn.LET(_xlpm.denom,K78,_xlpm.calc,COUNTIFS(LateMP1,1,mp1_mins_late,"&gt;"&amp;$P84,mp1_mins_late,"&lt;="&amp;$P85,Date,"&gt;="&amp;K$4,Date,"&lt;="&amp;K$5,Key_Gps,"*"&amp;K$1&amp;"*"),_xlpm.perc,_xlpm.calc/_xlpm.denom,IFERROR(IF(_xlpm.calc&lt;1000,_xlfn.CONCAT(_xlpm.calc," (",TEXT(_xlpm.perc,"0.0%"),")"),_xlfn.CONCAT(TEXT(_xlpm.calc,"0,000")," (",TEXT(_xlpm.perc,"0.0%"),")")),"-"))</f>
        <v>-</v>
      </c>
      <c r="L85" s="86" t="str" cm="1">
        <f t="array" ref="L85">_xlfn.LET(_xlpm.denom,L78,_xlpm.calc,COUNTIFS(LateMP1,1,mp1_mins_late,"&gt;"&amp;$P84,mp1_mins_late,"&lt;="&amp;$P85,Date,"&gt;="&amp;L$4,Date,"&lt;="&amp;L$5,Key_Gps,"*"&amp;L$1&amp;"*"),_xlpm.perc,_xlpm.calc/_xlpm.denom,IFERROR(IF(_xlpm.calc&lt;1000,_xlfn.CONCAT(_xlpm.calc," (",TEXT(_xlpm.perc,"0.0%"),")"),_xlfn.CONCAT(TEXT(_xlpm.calc,"0,000")," (",TEXT(_xlpm.perc,"0.0%"),")")),"-"))</f>
        <v>-</v>
      </c>
      <c r="M85" s="167" t="str" cm="1">
        <f t="array" ref="M85">_xlfn.LET(_xlpm.denom,M78,_xlpm.calc,COUNTIFS(LateMP1,1,mp1_mins_late,"&gt;"&amp;$P84,mp1_mins_late,"&lt;="&amp;$P85,Date,"&gt;="&amp;M$4,Date,"&lt;="&amp;M$5,Key_Gps,"*"&amp;M$1&amp;"*"),_xlpm.perc,_xlpm.calc/_xlpm.denom,IFERROR(IF(_xlpm.calc&lt;1000,_xlfn.CONCAT(_xlpm.calc," (",TEXT(_xlpm.perc,"0.0%"),")"),_xlfn.CONCAT(TEXT(_xlpm.calc,"0,000")," (",TEXT(_xlpm.perc,"0.0%"),")")),"-"))</f>
        <v>-</v>
      </c>
      <c r="N85" s="87"/>
      <c r="O85" s="74"/>
      <c r="P85" s="276" t="str">
        <f>IFERROR(MAX(mp1_mins_late),"-")</f>
        <v>-</v>
      </c>
      <c r="Q85" s="75" t="str">
        <f t="shared" si="33"/>
        <v/>
      </c>
      <c r="R85" s="76" t="e">
        <f t="shared" si="34"/>
        <v>#VALUE!</v>
      </c>
      <c r="S85" s="64">
        <f t="shared" si="47"/>
        <v>1</v>
      </c>
      <c r="T85" s="42" t="str">
        <f t="shared" ca="1" si="35"/>
        <v>-</v>
      </c>
      <c r="U85" s="42" t="str">
        <f t="shared" si="36"/>
        <v>-</v>
      </c>
      <c r="V85" s="42" t="str">
        <f t="shared" si="37"/>
        <v>-</v>
      </c>
      <c r="W85" s="42" t="str">
        <f t="shared" si="38"/>
        <v>-</v>
      </c>
      <c r="X85" s="42" t="str">
        <f t="shared" si="39"/>
        <v>-</v>
      </c>
      <c r="Y85" s="42" t="str">
        <f t="shared" si="40"/>
        <v>-</v>
      </c>
      <c r="Z85" s="42" t="str">
        <f t="shared" si="41"/>
        <v>-</v>
      </c>
      <c r="AA85" s="42" t="str">
        <f t="shared" si="42"/>
        <v>-</v>
      </c>
      <c r="AB85" s="42" t="str">
        <f t="shared" si="43"/>
        <v>-</v>
      </c>
      <c r="AC85" s="42" t="str">
        <f t="shared" si="44"/>
        <v>-</v>
      </c>
      <c r="AD85" s="88"/>
      <c r="AE85" s="88"/>
      <c r="AF85" s="88"/>
      <c r="AG85" s="88"/>
      <c r="AH85" s="88"/>
      <c r="AI85" s="88"/>
      <c r="AJ85" s="88"/>
      <c r="AK85" s="88"/>
    </row>
    <row r="86" spans="1:37" s="89" customFormat="1" outlineLevel="2" x14ac:dyDescent="0.3">
      <c r="A86" s="83">
        <v>1</v>
      </c>
      <c r="B86" s="323"/>
      <c r="C86" s="90" t="s">
        <v>107</v>
      </c>
      <c r="D86" s="201">
        <f ca="1">IF(D75="-",0,VALUE(LEFT(D75,SEARCH(" ",D75))))</f>
        <v>0</v>
      </c>
      <c r="E86" s="91">
        <f>IF(E75="-",0,VALUE(LEFT(E75,SEARCH(" ",E75))))</f>
        <v>0</v>
      </c>
      <c r="F86" s="91">
        <f t="shared" ref="F86:M86" si="54">IF(F75="-",0,VALUE(LEFT(F75,SEARCH(" ",F75))))</f>
        <v>0</v>
      </c>
      <c r="G86" s="91">
        <f t="shared" si="54"/>
        <v>0</v>
      </c>
      <c r="H86" s="91">
        <f t="shared" si="54"/>
        <v>0</v>
      </c>
      <c r="I86" s="91">
        <f t="shared" si="54"/>
        <v>0</v>
      </c>
      <c r="J86" s="91">
        <f t="shared" si="54"/>
        <v>0</v>
      </c>
      <c r="K86" s="91">
        <f t="shared" ref="K86" si="55">IF(K75="-",0,VALUE(LEFT(K75,SEARCH(" ",K75))))</f>
        <v>0</v>
      </c>
      <c r="L86" s="91">
        <f t="shared" si="54"/>
        <v>0</v>
      </c>
      <c r="M86" s="168">
        <f t="shared" si="54"/>
        <v>0</v>
      </c>
      <c r="N86" s="92"/>
      <c r="O86" s="74"/>
      <c r="P86" s="277">
        <v>0</v>
      </c>
      <c r="Q86" s="75" t="str">
        <f t="shared" si="33"/>
        <v/>
      </c>
      <c r="R86" s="76">
        <f t="shared" si="34"/>
        <v>0</v>
      </c>
      <c r="S86" s="64">
        <f t="shared" si="47"/>
        <v>1</v>
      </c>
      <c r="T86" s="42">
        <f t="shared" ca="1" si="35"/>
        <v>0</v>
      </c>
      <c r="U86" s="42">
        <f t="shared" si="36"/>
        <v>0</v>
      </c>
      <c r="V86" s="42">
        <f t="shared" si="37"/>
        <v>0</v>
      </c>
      <c r="W86" s="42">
        <f t="shared" si="38"/>
        <v>0</v>
      </c>
      <c r="X86" s="42">
        <f t="shared" si="39"/>
        <v>0</v>
      </c>
      <c r="Y86" s="42">
        <f t="shared" si="40"/>
        <v>0</v>
      </c>
      <c r="Z86" s="42">
        <f t="shared" si="41"/>
        <v>0</v>
      </c>
      <c r="AA86" s="42">
        <f t="shared" si="42"/>
        <v>0</v>
      </c>
      <c r="AB86" s="42">
        <f t="shared" si="43"/>
        <v>0</v>
      </c>
      <c r="AC86" s="42">
        <f t="shared" si="44"/>
        <v>0</v>
      </c>
      <c r="AD86" s="88"/>
      <c r="AE86" s="88"/>
      <c r="AF86" s="88"/>
      <c r="AG86" s="88"/>
      <c r="AH86" s="88"/>
      <c r="AI86" s="88"/>
      <c r="AJ86" s="88"/>
      <c r="AK86" s="88"/>
    </row>
    <row r="87" spans="1:37" s="89" customFormat="1" outlineLevel="2" x14ac:dyDescent="0.3">
      <c r="A87" s="83">
        <v>1</v>
      </c>
      <c r="B87" s="323"/>
      <c r="C87" s="90" t="str">
        <f t="shared" ref="C87:C92" si="56">IF(P88&lt;P87,_xlfn.CONCAT("Meal periods ",P86+1,"+ mins short"),IF(P87-P86=1,_xlfn.CONCAT("Meal periods ",P87," mins short"),_xlfn.CONCAT("Meal periods ",P86+1,"-",P87," mins short")))</f>
        <v>Meal periods 1 mins short</v>
      </c>
      <c r="D87" s="201" t="str">
        <f t="shared" ref="D87:D92" ca="1" si="57">_xlfn.LET(_xlpm.calc,ROUND($Q87*D$86,0),_xlpm.perc,_xlpm.calc/D$86,IFERROR(IF(_xlpm.calc&lt;1000,_xlfn.CONCAT(_xlpm.calc," (",TEXT(_xlpm.perc,"0.0%"),")"),_xlfn.CONCAT(TEXT(_xlpm.calc,"0,000")," (",TEXT(_xlpm.perc,"0.0%"),")")),"-"))</f>
        <v>-</v>
      </c>
      <c r="E87" s="91" t="str" cm="1">
        <f t="array" ref="E87">_xlfn.LET(_xlpm.denom,E86,_xlpm.calc,COUNTIFS(ShortMP1,1,mp1_mins_short,"&gt;"&amp;$P86,mp1_mins_short,"&lt;="&amp;$P87,Date,"&gt;="&amp;E$4,Date,"&lt;="&amp;E$5,Key_Gps,"*"&amp;E$1&amp;"*"),_xlpm.perc,_xlpm.calc/_xlpm.denom,IFERROR(IF(_xlpm.calc&lt;1000,_xlfn.CONCAT(_xlpm.calc," (",TEXT(_xlpm.perc,"0.0%"),")"),_xlfn.CONCAT(TEXT(_xlpm.calc,"0,000")," (",TEXT(_xlpm.perc,"0.0%"),")")),"-"))</f>
        <v>-</v>
      </c>
      <c r="F87" s="91" t="str" cm="1">
        <f t="array" ref="F87">_xlfn.LET(_xlpm.denom,F86,_xlpm.calc,COUNTIFS(ShortMP1,1,mp1_mins_short,"&gt;"&amp;$P86,mp1_mins_short,"&lt;="&amp;$P87,Date,"&gt;="&amp;F$4,Date,"&lt;="&amp;F$5,Key_Gps,"*"&amp;F$1&amp;"*"),_xlpm.perc,_xlpm.calc/_xlpm.denom,IFERROR(IF(_xlpm.calc&lt;1000,_xlfn.CONCAT(_xlpm.calc," (",TEXT(_xlpm.perc,"0.0%"),")"),_xlfn.CONCAT(TEXT(_xlpm.calc,"0,000")," (",TEXT(_xlpm.perc,"0.0%"),")")),"-"))</f>
        <v>-</v>
      </c>
      <c r="G87" s="91" t="str" cm="1">
        <f t="array" ref="G87">_xlfn.LET(_xlpm.denom,G86,_xlpm.calc,COUNTIFS(ShortMP1,1,mp1_mins_short,"&gt;"&amp;$P86,mp1_mins_short,"&lt;="&amp;$P87,Date,"&gt;="&amp;G$4,Date,"&lt;="&amp;G$5,Key_Gps,"*"&amp;G$1&amp;"*"),_xlpm.perc,_xlpm.calc/_xlpm.denom,IFERROR(IF(_xlpm.calc&lt;1000,_xlfn.CONCAT(_xlpm.calc," (",TEXT(_xlpm.perc,"0.0%"),")"),_xlfn.CONCAT(TEXT(_xlpm.calc,"0,000")," (",TEXT(_xlpm.perc,"0.0%"),")")),"-"))</f>
        <v>-</v>
      </c>
      <c r="H87" s="91" t="str" cm="1">
        <f t="array" ref="H87">_xlfn.LET(_xlpm.denom,H86,_xlpm.calc,COUNTIFS(ShortMP1,1,mp1_mins_short,"&gt;"&amp;$P86,mp1_mins_short,"&lt;="&amp;$P87,Date,"&gt;="&amp;H$4,Date,"&lt;="&amp;H$5,Key_Gps,"*"&amp;H$1&amp;"*"),_xlpm.perc,_xlpm.calc/_xlpm.denom,IFERROR(IF(_xlpm.calc&lt;1000,_xlfn.CONCAT(_xlpm.calc," (",TEXT(_xlpm.perc,"0.0%"),")"),_xlfn.CONCAT(TEXT(_xlpm.calc,"0,000")," (",TEXT(_xlpm.perc,"0.0%"),")")),"-"))</f>
        <v>-</v>
      </c>
      <c r="I87" s="91" t="str" cm="1">
        <f t="array" ref="I87">_xlfn.LET(_xlpm.denom,I86,_xlpm.calc,COUNTIFS(ShortMP1,1,mp1_mins_short,"&gt;"&amp;$P86,mp1_mins_short,"&lt;="&amp;$P87,Date,"&gt;="&amp;I$4,Date,"&lt;="&amp;I$5,Key_Gps,"*"&amp;I$1&amp;"*"),_xlpm.perc,_xlpm.calc/_xlpm.denom,IFERROR(IF(_xlpm.calc&lt;1000,_xlfn.CONCAT(_xlpm.calc," (",TEXT(_xlpm.perc,"0.0%"),")"),_xlfn.CONCAT(TEXT(_xlpm.calc,"0,000")," (",TEXT(_xlpm.perc,"0.0%"),")")),"-"))</f>
        <v>-</v>
      </c>
      <c r="J87" s="91" t="str" cm="1">
        <f t="array" ref="J87">_xlfn.LET(_xlpm.denom,J86,_xlpm.calc,COUNTIFS(ShortMP1,1,mp1_mins_short,"&gt;"&amp;$P86,mp1_mins_short,"&lt;="&amp;$P87,Date,"&gt;="&amp;J$4,Date,"&lt;="&amp;J$5,Key_Gps,"*"&amp;J$1&amp;"*"),_xlpm.perc,_xlpm.calc/_xlpm.denom,IFERROR(IF(_xlpm.calc&lt;1000,_xlfn.CONCAT(_xlpm.calc," (",TEXT(_xlpm.perc,"0.0%"),")"),_xlfn.CONCAT(TEXT(_xlpm.calc,"0,000")," (",TEXT(_xlpm.perc,"0.0%"),")")),"-"))</f>
        <v>-</v>
      </c>
      <c r="K87" s="91" t="str" cm="1">
        <f t="array" ref="K87">_xlfn.LET(_xlpm.denom,K86,_xlpm.calc,COUNTIFS(ShortMP1,1,mp1_mins_short,"&gt;"&amp;$P86,mp1_mins_short,"&lt;="&amp;$P87,Date,"&gt;="&amp;K$4,Date,"&lt;="&amp;K$5,Key_Gps,"*"&amp;K$1&amp;"*"),_xlpm.perc,_xlpm.calc/_xlpm.denom,IFERROR(IF(_xlpm.calc&lt;1000,_xlfn.CONCAT(_xlpm.calc," (",TEXT(_xlpm.perc,"0.0%"),")"),_xlfn.CONCAT(TEXT(_xlpm.calc,"0,000")," (",TEXT(_xlpm.perc,"0.0%"),")")),"-"))</f>
        <v>-</v>
      </c>
      <c r="L87" s="91" t="str" cm="1">
        <f t="array" ref="L87">_xlfn.LET(_xlpm.denom,L86,_xlpm.calc,COUNTIFS(ShortMP1,1,mp1_mins_short,"&gt;"&amp;$P86,mp1_mins_short,"&lt;="&amp;$P87,Date,"&gt;="&amp;L$4,Date,"&lt;="&amp;L$5,Key_Gps,"*"&amp;L$1&amp;"*"),_xlpm.perc,_xlpm.calc/_xlpm.denom,IFERROR(IF(_xlpm.calc&lt;1000,_xlfn.CONCAT(_xlpm.calc," (",TEXT(_xlpm.perc,"0.0%"),")"),_xlfn.CONCAT(TEXT(_xlpm.calc,"0,000")," (",TEXT(_xlpm.perc,"0.0%"),")")),"-"))</f>
        <v>-</v>
      </c>
      <c r="M87" s="168" t="str" cm="1">
        <f t="array" ref="M87">_xlfn.LET(_xlpm.denom,M86,_xlpm.calc,COUNTIFS(ShortMP1,1,mp1_mins_short,"&gt;"&amp;$P86,mp1_mins_short,"&lt;="&amp;$P87,Date,"&gt;="&amp;M$4,Date,"&lt;="&amp;M$5,Key_Gps,"*"&amp;M$1&amp;"*"),_xlpm.perc,_xlpm.calc/_xlpm.denom,IFERROR(IF(_xlpm.calc&lt;1000,_xlfn.CONCAT(_xlpm.calc," (",TEXT(_xlpm.perc,"0.0%"),")"),_xlfn.CONCAT(TEXT(_xlpm.calc,"0,000")," (",TEXT(_xlpm.perc,"0.0%"),")")),"-"))</f>
        <v>-</v>
      </c>
      <c r="N87" s="92"/>
      <c r="O87" s="74"/>
      <c r="P87" s="277">
        <v>1</v>
      </c>
      <c r="Q87" s="75" t="str">
        <f t="shared" si="33"/>
        <v/>
      </c>
      <c r="R87" s="76" t="e">
        <f t="shared" si="34"/>
        <v>#VALUE!</v>
      </c>
      <c r="S87" s="64">
        <f t="shared" si="47"/>
        <v>1</v>
      </c>
      <c r="T87" s="42" t="str">
        <f t="shared" ca="1" si="35"/>
        <v>-</v>
      </c>
      <c r="U87" s="42" t="str">
        <f t="shared" si="36"/>
        <v>-</v>
      </c>
      <c r="V87" s="42" t="str">
        <f t="shared" si="37"/>
        <v>-</v>
      </c>
      <c r="W87" s="42" t="str">
        <f t="shared" si="38"/>
        <v>-</v>
      </c>
      <c r="X87" s="42" t="str">
        <f t="shared" si="39"/>
        <v>-</v>
      </c>
      <c r="Y87" s="42" t="str">
        <f t="shared" si="40"/>
        <v>-</v>
      </c>
      <c r="Z87" s="42" t="str">
        <f t="shared" si="41"/>
        <v>-</v>
      </c>
      <c r="AA87" s="42" t="str">
        <f t="shared" si="42"/>
        <v>-</v>
      </c>
      <c r="AB87" s="42" t="str">
        <f t="shared" si="43"/>
        <v>-</v>
      </c>
      <c r="AC87" s="42" t="str">
        <f t="shared" si="44"/>
        <v>-</v>
      </c>
      <c r="AD87" s="88"/>
      <c r="AE87" s="88"/>
      <c r="AF87" s="88"/>
      <c r="AG87" s="88"/>
      <c r="AH87" s="88"/>
      <c r="AI87" s="88"/>
      <c r="AJ87" s="88"/>
      <c r="AK87" s="88"/>
    </row>
    <row r="88" spans="1:37" s="89" customFormat="1" outlineLevel="2" x14ac:dyDescent="0.3">
      <c r="A88" s="83">
        <v>1</v>
      </c>
      <c r="B88" s="323"/>
      <c r="C88" s="90" t="str">
        <f t="shared" si="56"/>
        <v>Meal periods 2 mins short</v>
      </c>
      <c r="D88" s="201" t="str">
        <f t="shared" ca="1" si="57"/>
        <v>-</v>
      </c>
      <c r="E88" s="91" t="str" cm="1">
        <f t="array" ref="E88">_xlfn.LET(_xlpm.denom,E86,_xlpm.calc,COUNTIFS(ShortMP1,1,mp1_mins_short,"&gt;"&amp;$P87,mp1_mins_short,"&lt;="&amp;$P88,Date,"&gt;="&amp;E$4,Date,"&lt;="&amp;E$5,Key_Gps,"*"&amp;E$1&amp;"*"),_xlpm.perc,_xlpm.calc/_xlpm.denom,IFERROR(IF(_xlpm.calc&lt;1000,_xlfn.CONCAT(_xlpm.calc," (",TEXT(_xlpm.perc,"0.0%"),")"),_xlfn.CONCAT(TEXT(_xlpm.calc,"0,000")," (",TEXT(_xlpm.perc,"0.0%"),")")),"-"))</f>
        <v>-</v>
      </c>
      <c r="F88" s="91" t="str" cm="1">
        <f t="array" ref="F88">_xlfn.LET(_xlpm.denom,F86,_xlpm.calc,COUNTIFS(ShortMP1,1,mp1_mins_short,"&gt;"&amp;$P87,mp1_mins_short,"&lt;="&amp;$P88,Date,"&gt;="&amp;F$4,Date,"&lt;="&amp;F$5,Key_Gps,"*"&amp;F$1&amp;"*"),_xlpm.perc,_xlpm.calc/_xlpm.denom,IFERROR(IF(_xlpm.calc&lt;1000,_xlfn.CONCAT(_xlpm.calc," (",TEXT(_xlpm.perc,"0.0%"),")"),_xlfn.CONCAT(TEXT(_xlpm.calc,"0,000")," (",TEXT(_xlpm.perc,"0.0%"),")")),"-"))</f>
        <v>-</v>
      </c>
      <c r="G88" s="91" t="str" cm="1">
        <f t="array" ref="G88">_xlfn.LET(_xlpm.denom,G86,_xlpm.calc,COUNTIFS(ShortMP1,1,mp1_mins_short,"&gt;"&amp;$P87,mp1_mins_short,"&lt;="&amp;$P88,Date,"&gt;="&amp;G$4,Date,"&lt;="&amp;G$5,Key_Gps,"*"&amp;G$1&amp;"*"),_xlpm.perc,_xlpm.calc/_xlpm.denom,IFERROR(IF(_xlpm.calc&lt;1000,_xlfn.CONCAT(_xlpm.calc," (",TEXT(_xlpm.perc,"0.0%"),")"),_xlfn.CONCAT(TEXT(_xlpm.calc,"0,000")," (",TEXT(_xlpm.perc,"0.0%"),")")),"-"))</f>
        <v>-</v>
      </c>
      <c r="H88" s="91" t="str" cm="1">
        <f t="array" ref="H88">_xlfn.LET(_xlpm.denom,H86,_xlpm.calc,COUNTIFS(ShortMP1,1,mp1_mins_short,"&gt;"&amp;$P87,mp1_mins_short,"&lt;="&amp;$P88,Date,"&gt;="&amp;H$4,Date,"&lt;="&amp;H$5,Key_Gps,"*"&amp;H$1&amp;"*"),_xlpm.perc,_xlpm.calc/_xlpm.denom,IFERROR(IF(_xlpm.calc&lt;1000,_xlfn.CONCAT(_xlpm.calc," (",TEXT(_xlpm.perc,"0.0%"),")"),_xlfn.CONCAT(TEXT(_xlpm.calc,"0,000")," (",TEXT(_xlpm.perc,"0.0%"),")")),"-"))</f>
        <v>-</v>
      </c>
      <c r="I88" s="91" t="str" cm="1">
        <f t="array" ref="I88">_xlfn.LET(_xlpm.denom,I86,_xlpm.calc,COUNTIFS(ShortMP1,1,mp1_mins_short,"&gt;"&amp;$P87,mp1_mins_short,"&lt;="&amp;$P88,Date,"&gt;="&amp;I$4,Date,"&lt;="&amp;I$5,Key_Gps,"*"&amp;I$1&amp;"*"),_xlpm.perc,_xlpm.calc/_xlpm.denom,IFERROR(IF(_xlpm.calc&lt;1000,_xlfn.CONCAT(_xlpm.calc," (",TEXT(_xlpm.perc,"0.0%"),")"),_xlfn.CONCAT(TEXT(_xlpm.calc,"0,000")," (",TEXT(_xlpm.perc,"0.0%"),")")),"-"))</f>
        <v>-</v>
      </c>
      <c r="J88" s="91" t="str" cm="1">
        <f t="array" ref="J88">_xlfn.LET(_xlpm.denom,J86,_xlpm.calc,COUNTIFS(ShortMP1,1,mp1_mins_short,"&gt;"&amp;$P87,mp1_mins_short,"&lt;="&amp;$P88,Date,"&gt;="&amp;J$4,Date,"&lt;="&amp;J$5,Key_Gps,"*"&amp;J$1&amp;"*"),_xlpm.perc,_xlpm.calc/_xlpm.denom,IFERROR(IF(_xlpm.calc&lt;1000,_xlfn.CONCAT(_xlpm.calc," (",TEXT(_xlpm.perc,"0.0%"),")"),_xlfn.CONCAT(TEXT(_xlpm.calc,"0,000")," (",TEXT(_xlpm.perc,"0.0%"),")")),"-"))</f>
        <v>-</v>
      </c>
      <c r="K88" s="91" t="str" cm="1">
        <f t="array" ref="K88">_xlfn.LET(_xlpm.denom,K86,_xlpm.calc,COUNTIFS(ShortMP1,1,mp1_mins_short,"&gt;"&amp;$P87,mp1_mins_short,"&lt;="&amp;$P88,Date,"&gt;="&amp;K$4,Date,"&lt;="&amp;K$5,Key_Gps,"*"&amp;K$1&amp;"*"),_xlpm.perc,_xlpm.calc/_xlpm.denom,IFERROR(IF(_xlpm.calc&lt;1000,_xlfn.CONCAT(_xlpm.calc," (",TEXT(_xlpm.perc,"0.0%"),")"),_xlfn.CONCAT(TEXT(_xlpm.calc,"0,000")," (",TEXT(_xlpm.perc,"0.0%"),")")),"-"))</f>
        <v>-</v>
      </c>
      <c r="L88" s="91" t="str" cm="1">
        <f t="array" ref="L88">_xlfn.LET(_xlpm.denom,L86,_xlpm.calc,COUNTIFS(ShortMP1,1,mp1_mins_short,"&gt;"&amp;$P87,mp1_mins_short,"&lt;="&amp;$P88,Date,"&gt;="&amp;L$4,Date,"&lt;="&amp;L$5,Key_Gps,"*"&amp;L$1&amp;"*"),_xlpm.perc,_xlpm.calc/_xlpm.denom,IFERROR(IF(_xlpm.calc&lt;1000,_xlfn.CONCAT(_xlpm.calc," (",TEXT(_xlpm.perc,"0.0%"),")"),_xlfn.CONCAT(TEXT(_xlpm.calc,"0,000")," (",TEXT(_xlpm.perc,"0.0%"),")")),"-"))</f>
        <v>-</v>
      </c>
      <c r="M88" s="168" t="str" cm="1">
        <f t="array" ref="M88">_xlfn.LET(_xlpm.denom,M86,_xlpm.calc,COUNTIFS(ShortMP1,1,mp1_mins_short,"&gt;"&amp;$P87,mp1_mins_short,"&lt;="&amp;$P88,Date,"&gt;="&amp;M$4,Date,"&lt;="&amp;M$5,Key_Gps,"*"&amp;M$1&amp;"*"),_xlpm.perc,_xlpm.calc/_xlpm.denom,IFERROR(IF(_xlpm.calc&lt;1000,_xlfn.CONCAT(_xlpm.calc," (",TEXT(_xlpm.perc,"0.0%"),")"),_xlfn.CONCAT(TEXT(_xlpm.calc,"0,000")," (",TEXT(_xlpm.perc,"0.0%"),")")),"-"))</f>
        <v>-</v>
      </c>
      <c r="N88" s="92"/>
      <c r="O88" s="74"/>
      <c r="P88" s="277">
        <v>2</v>
      </c>
      <c r="Q88" s="75" t="str">
        <f t="shared" si="33"/>
        <v/>
      </c>
      <c r="R88" s="76" t="e">
        <f t="shared" si="34"/>
        <v>#VALUE!</v>
      </c>
      <c r="S88" s="64">
        <f t="shared" si="47"/>
        <v>1</v>
      </c>
      <c r="T88" s="42" t="str">
        <f t="shared" ca="1" si="35"/>
        <v>-</v>
      </c>
      <c r="U88" s="42" t="str">
        <f t="shared" si="36"/>
        <v>-</v>
      </c>
      <c r="V88" s="42" t="str">
        <f t="shared" si="37"/>
        <v>-</v>
      </c>
      <c r="W88" s="42" t="str">
        <f t="shared" si="38"/>
        <v>-</v>
      </c>
      <c r="X88" s="42" t="str">
        <f t="shared" si="39"/>
        <v>-</v>
      </c>
      <c r="Y88" s="42" t="str">
        <f t="shared" si="40"/>
        <v>-</v>
      </c>
      <c r="Z88" s="42" t="str">
        <f t="shared" si="41"/>
        <v>-</v>
      </c>
      <c r="AA88" s="42" t="str">
        <f t="shared" si="42"/>
        <v>-</v>
      </c>
      <c r="AB88" s="42" t="str">
        <f t="shared" si="43"/>
        <v>-</v>
      </c>
      <c r="AC88" s="42" t="str">
        <f t="shared" si="44"/>
        <v>-</v>
      </c>
      <c r="AD88" s="88"/>
      <c r="AE88" s="88"/>
      <c r="AF88" s="88"/>
      <c r="AG88" s="88"/>
      <c r="AH88" s="88"/>
      <c r="AI88" s="88"/>
      <c r="AJ88" s="88"/>
      <c r="AK88" s="88"/>
    </row>
    <row r="89" spans="1:37" s="89" customFormat="1" outlineLevel="2" x14ac:dyDescent="0.3">
      <c r="A89" s="83">
        <v>1</v>
      </c>
      <c r="B89" s="323"/>
      <c r="C89" s="90" t="str">
        <f t="shared" si="56"/>
        <v>Meal periods 3-4 mins short</v>
      </c>
      <c r="D89" s="201" t="str">
        <f t="shared" ca="1" si="57"/>
        <v>-</v>
      </c>
      <c r="E89" s="91" t="str" cm="1">
        <f t="array" ref="E89">_xlfn.LET(_xlpm.denom,E86,_xlpm.calc,COUNTIFS(ShortMP1,1,mp1_mins_short,"&gt;"&amp;$P87,mp1_mins_short,"&lt;="&amp;$P89,Date,"&gt;="&amp;E$4,Date,"&lt;="&amp;E$5,Key_Gps,"*"&amp;E$1&amp;"*"),_xlpm.perc,_xlpm.calc/_xlpm.denom,IFERROR(IF(_xlpm.calc&lt;1000,_xlfn.CONCAT(_xlpm.calc," (",TEXT(_xlpm.perc,"0.0%"),")"),_xlfn.CONCAT(TEXT(_xlpm.calc,"0,000")," (",TEXT(_xlpm.perc,"0.0%"),")")),"-"))</f>
        <v>-</v>
      </c>
      <c r="F89" s="91" t="str" cm="1">
        <f t="array" ref="F89">_xlfn.LET(_xlpm.denom,F86,_xlpm.calc,COUNTIFS(ShortMP1,1,mp1_mins_short,"&gt;"&amp;$P87,mp1_mins_short,"&lt;="&amp;$P89,Date,"&gt;="&amp;F$4,Date,"&lt;="&amp;F$5,Key_Gps,"*"&amp;F$1&amp;"*"),_xlpm.perc,_xlpm.calc/_xlpm.denom,IFERROR(IF(_xlpm.calc&lt;1000,_xlfn.CONCAT(_xlpm.calc," (",TEXT(_xlpm.perc,"0.0%"),")"),_xlfn.CONCAT(TEXT(_xlpm.calc,"0,000")," (",TEXT(_xlpm.perc,"0.0%"),")")),"-"))</f>
        <v>-</v>
      </c>
      <c r="G89" s="91" t="str" cm="1">
        <f t="array" ref="G89">_xlfn.LET(_xlpm.denom,G86,_xlpm.calc,COUNTIFS(ShortMP1,1,mp1_mins_short,"&gt;"&amp;$P87,mp1_mins_short,"&lt;="&amp;$P89,Date,"&gt;="&amp;G$4,Date,"&lt;="&amp;G$5,Key_Gps,"*"&amp;G$1&amp;"*"),_xlpm.perc,_xlpm.calc/_xlpm.denom,IFERROR(IF(_xlpm.calc&lt;1000,_xlfn.CONCAT(_xlpm.calc," (",TEXT(_xlpm.perc,"0.0%"),")"),_xlfn.CONCAT(TEXT(_xlpm.calc,"0,000")," (",TEXT(_xlpm.perc,"0.0%"),")")),"-"))</f>
        <v>-</v>
      </c>
      <c r="H89" s="91" t="str" cm="1">
        <f t="array" ref="H89">_xlfn.LET(_xlpm.denom,H86,_xlpm.calc,COUNTIFS(ShortMP1,1,mp1_mins_short,"&gt;"&amp;$P87,mp1_mins_short,"&lt;="&amp;$P89,Date,"&gt;="&amp;H$4,Date,"&lt;="&amp;H$5,Key_Gps,"*"&amp;H$1&amp;"*"),_xlpm.perc,_xlpm.calc/_xlpm.denom,IFERROR(IF(_xlpm.calc&lt;1000,_xlfn.CONCAT(_xlpm.calc," (",TEXT(_xlpm.perc,"0.0%"),")"),_xlfn.CONCAT(TEXT(_xlpm.calc,"0,000")," (",TEXT(_xlpm.perc,"0.0%"),")")),"-"))</f>
        <v>-</v>
      </c>
      <c r="I89" s="91" t="str" cm="1">
        <f t="array" ref="I89">_xlfn.LET(_xlpm.denom,I86,_xlpm.calc,COUNTIFS(ShortMP1,1,mp1_mins_short,"&gt;"&amp;$P87,mp1_mins_short,"&lt;="&amp;$P89,Date,"&gt;="&amp;I$4,Date,"&lt;="&amp;I$5,Key_Gps,"*"&amp;I$1&amp;"*"),_xlpm.perc,_xlpm.calc/_xlpm.denom,IFERROR(IF(_xlpm.calc&lt;1000,_xlfn.CONCAT(_xlpm.calc," (",TEXT(_xlpm.perc,"0.0%"),")"),_xlfn.CONCAT(TEXT(_xlpm.calc,"0,000")," (",TEXT(_xlpm.perc,"0.0%"),")")),"-"))</f>
        <v>-</v>
      </c>
      <c r="J89" s="91" t="str" cm="1">
        <f t="array" ref="J89">_xlfn.LET(_xlpm.denom,J86,_xlpm.calc,COUNTIFS(ShortMP1,1,mp1_mins_short,"&gt;"&amp;$P87,mp1_mins_short,"&lt;="&amp;$P89,Date,"&gt;="&amp;J$4,Date,"&lt;="&amp;J$5,Key_Gps,"*"&amp;J$1&amp;"*"),_xlpm.perc,_xlpm.calc/_xlpm.denom,IFERROR(IF(_xlpm.calc&lt;1000,_xlfn.CONCAT(_xlpm.calc," (",TEXT(_xlpm.perc,"0.0%"),")"),_xlfn.CONCAT(TEXT(_xlpm.calc,"0,000")," (",TEXT(_xlpm.perc,"0.0%"),")")),"-"))</f>
        <v>-</v>
      </c>
      <c r="K89" s="91" t="str" cm="1">
        <f t="array" ref="K89">_xlfn.LET(_xlpm.denom,K86,_xlpm.calc,COUNTIFS(ShortMP1,1,mp1_mins_short,"&gt;"&amp;$P87,mp1_mins_short,"&lt;="&amp;$P89,Date,"&gt;="&amp;K$4,Date,"&lt;="&amp;K$5,Key_Gps,"*"&amp;K$1&amp;"*"),_xlpm.perc,_xlpm.calc/_xlpm.denom,IFERROR(IF(_xlpm.calc&lt;1000,_xlfn.CONCAT(_xlpm.calc," (",TEXT(_xlpm.perc,"0.0%"),")"),_xlfn.CONCAT(TEXT(_xlpm.calc,"0,000")," (",TEXT(_xlpm.perc,"0.0%"),")")),"-"))</f>
        <v>-</v>
      </c>
      <c r="L89" s="91" t="str" cm="1">
        <f t="array" ref="L89">_xlfn.LET(_xlpm.denom,L86,_xlpm.calc,COUNTIFS(ShortMP1,1,mp1_mins_short,"&gt;"&amp;$P87,mp1_mins_short,"&lt;="&amp;$P89,Date,"&gt;="&amp;L$4,Date,"&lt;="&amp;L$5,Key_Gps,"*"&amp;L$1&amp;"*"),_xlpm.perc,_xlpm.calc/_xlpm.denom,IFERROR(IF(_xlpm.calc&lt;1000,_xlfn.CONCAT(_xlpm.calc," (",TEXT(_xlpm.perc,"0.0%"),")"),_xlfn.CONCAT(TEXT(_xlpm.calc,"0,000")," (",TEXT(_xlpm.perc,"0.0%"),")")),"-"))</f>
        <v>-</v>
      </c>
      <c r="M89" s="168" t="str" cm="1">
        <f t="array" ref="M89">_xlfn.LET(_xlpm.denom,M86,_xlpm.calc,COUNTIFS(ShortMP1,1,mp1_mins_short,"&gt;"&amp;$P87,mp1_mins_short,"&lt;="&amp;$P89,Date,"&gt;="&amp;M$4,Date,"&lt;="&amp;M$5,Key_Gps,"*"&amp;M$1&amp;"*"),_xlpm.perc,_xlpm.calc/_xlpm.denom,IFERROR(IF(_xlpm.calc&lt;1000,_xlfn.CONCAT(_xlpm.calc," (",TEXT(_xlpm.perc,"0.0%"),")"),_xlfn.CONCAT(TEXT(_xlpm.calc,"0,000")," (",TEXT(_xlpm.perc,"0.0%"),")")),"-"))</f>
        <v>-</v>
      </c>
      <c r="N89" s="92"/>
      <c r="O89" s="74"/>
      <c r="P89" s="277">
        <v>4</v>
      </c>
      <c r="Q89" s="75" t="str">
        <f t="shared" si="33"/>
        <v/>
      </c>
      <c r="R89" s="76" t="e">
        <f t="shared" si="34"/>
        <v>#VALUE!</v>
      </c>
      <c r="S89" s="64">
        <f t="shared" si="47"/>
        <v>1</v>
      </c>
      <c r="T89" s="42" t="str">
        <f t="shared" ca="1" si="35"/>
        <v>-</v>
      </c>
      <c r="U89" s="42" t="str">
        <f t="shared" si="36"/>
        <v>-</v>
      </c>
      <c r="V89" s="42" t="str">
        <f t="shared" si="37"/>
        <v>-</v>
      </c>
      <c r="W89" s="42" t="str">
        <f t="shared" si="38"/>
        <v>-</v>
      </c>
      <c r="X89" s="42" t="str">
        <f t="shared" si="39"/>
        <v>-</v>
      </c>
      <c r="Y89" s="42" t="str">
        <f t="shared" si="40"/>
        <v>-</v>
      </c>
      <c r="Z89" s="42" t="str">
        <f t="shared" si="41"/>
        <v>-</v>
      </c>
      <c r="AA89" s="42" t="str">
        <f t="shared" si="42"/>
        <v>-</v>
      </c>
      <c r="AB89" s="42" t="str">
        <f t="shared" si="43"/>
        <v>-</v>
      </c>
      <c r="AC89" s="42" t="str">
        <f t="shared" si="44"/>
        <v>-</v>
      </c>
      <c r="AD89" s="88"/>
      <c r="AE89" s="88"/>
      <c r="AF89" s="88"/>
      <c r="AG89" s="88"/>
      <c r="AH89" s="88"/>
      <c r="AI89" s="88"/>
      <c r="AJ89" s="88"/>
      <c r="AK89" s="88"/>
    </row>
    <row r="90" spans="1:37" s="89" customFormat="1" outlineLevel="2" x14ac:dyDescent="0.3">
      <c r="A90" s="83">
        <v>1</v>
      </c>
      <c r="B90" s="323"/>
      <c r="C90" s="90" t="str">
        <f t="shared" si="56"/>
        <v>Meal periods 5-10 mins short</v>
      </c>
      <c r="D90" s="201" t="str">
        <f t="shared" ca="1" si="57"/>
        <v>-</v>
      </c>
      <c r="E90" s="91" t="str" cm="1">
        <f t="array" ref="E90">_xlfn.LET(_xlpm.denom,E86,_xlpm.calc,COUNTIFS(ShortMP1,1,mp1_mins_short,"&gt;"&amp;$P89,mp1_mins_short,"&lt;="&amp;$P90,Date,"&gt;="&amp;E$4,Date,"&lt;="&amp;E$5,Key_Gps,"*"&amp;E$1&amp;"*"),_xlpm.perc,_xlpm.calc/_xlpm.denom,IFERROR(IF(_xlpm.calc&lt;1000,_xlfn.CONCAT(_xlpm.calc," (",TEXT(_xlpm.perc,"0.0%"),")"),_xlfn.CONCAT(TEXT(_xlpm.calc,"0,000")," (",TEXT(_xlpm.perc,"0.0%"),")")),"-"))</f>
        <v>-</v>
      </c>
      <c r="F90" s="91" t="str" cm="1">
        <f t="array" ref="F90">_xlfn.LET(_xlpm.denom,F86,_xlpm.calc,COUNTIFS(ShortMP1,1,mp1_mins_short,"&gt;"&amp;$P89,mp1_mins_short,"&lt;="&amp;$P90,Date,"&gt;="&amp;F$4,Date,"&lt;="&amp;F$5,Key_Gps,"*"&amp;F$1&amp;"*"),_xlpm.perc,_xlpm.calc/_xlpm.denom,IFERROR(IF(_xlpm.calc&lt;1000,_xlfn.CONCAT(_xlpm.calc," (",TEXT(_xlpm.perc,"0.0%"),")"),_xlfn.CONCAT(TEXT(_xlpm.calc,"0,000")," (",TEXT(_xlpm.perc,"0.0%"),")")),"-"))</f>
        <v>-</v>
      </c>
      <c r="G90" s="91" t="str" cm="1">
        <f t="array" ref="G90">_xlfn.LET(_xlpm.denom,G86,_xlpm.calc,COUNTIFS(ShortMP1,1,mp1_mins_short,"&gt;"&amp;$P89,mp1_mins_short,"&lt;="&amp;$P90,Date,"&gt;="&amp;G$4,Date,"&lt;="&amp;G$5,Key_Gps,"*"&amp;G$1&amp;"*"),_xlpm.perc,_xlpm.calc/_xlpm.denom,IFERROR(IF(_xlpm.calc&lt;1000,_xlfn.CONCAT(_xlpm.calc," (",TEXT(_xlpm.perc,"0.0%"),")"),_xlfn.CONCAT(TEXT(_xlpm.calc,"0,000")," (",TEXT(_xlpm.perc,"0.0%"),")")),"-"))</f>
        <v>-</v>
      </c>
      <c r="H90" s="91" t="str" cm="1">
        <f t="array" ref="H90">_xlfn.LET(_xlpm.denom,H86,_xlpm.calc,COUNTIFS(ShortMP1,1,mp1_mins_short,"&gt;"&amp;$P89,mp1_mins_short,"&lt;="&amp;$P90,Date,"&gt;="&amp;H$4,Date,"&lt;="&amp;H$5,Key_Gps,"*"&amp;H$1&amp;"*"),_xlpm.perc,_xlpm.calc/_xlpm.denom,IFERROR(IF(_xlpm.calc&lt;1000,_xlfn.CONCAT(_xlpm.calc," (",TEXT(_xlpm.perc,"0.0%"),")"),_xlfn.CONCAT(TEXT(_xlpm.calc,"0,000")," (",TEXT(_xlpm.perc,"0.0%"),")")),"-"))</f>
        <v>-</v>
      </c>
      <c r="I90" s="91" t="str" cm="1">
        <f t="array" ref="I90">_xlfn.LET(_xlpm.denom,I86,_xlpm.calc,COUNTIFS(ShortMP1,1,mp1_mins_short,"&gt;"&amp;$P89,mp1_mins_short,"&lt;="&amp;$P90,Date,"&gt;="&amp;I$4,Date,"&lt;="&amp;I$5,Key_Gps,"*"&amp;I$1&amp;"*"),_xlpm.perc,_xlpm.calc/_xlpm.denom,IFERROR(IF(_xlpm.calc&lt;1000,_xlfn.CONCAT(_xlpm.calc," (",TEXT(_xlpm.perc,"0.0%"),")"),_xlfn.CONCAT(TEXT(_xlpm.calc,"0,000")," (",TEXT(_xlpm.perc,"0.0%"),")")),"-"))</f>
        <v>-</v>
      </c>
      <c r="J90" s="91" t="str" cm="1">
        <f t="array" ref="J90">_xlfn.LET(_xlpm.denom,J86,_xlpm.calc,COUNTIFS(ShortMP1,1,mp1_mins_short,"&gt;"&amp;$P89,mp1_mins_short,"&lt;="&amp;$P90,Date,"&gt;="&amp;J$4,Date,"&lt;="&amp;J$5,Key_Gps,"*"&amp;J$1&amp;"*"),_xlpm.perc,_xlpm.calc/_xlpm.denom,IFERROR(IF(_xlpm.calc&lt;1000,_xlfn.CONCAT(_xlpm.calc," (",TEXT(_xlpm.perc,"0.0%"),")"),_xlfn.CONCAT(TEXT(_xlpm.calc,"0,000")," (",TEXT(_xlpm.perc,"0.0%"),")")),"-"))</f>
        <v>-</v>
      </c>
      <c r="K90" s="91" t="str" cm="1">
        <f t="array" ref="K90">_xlfn.LET(_xlpm.denom,K86,_xlpm.calc,COUNTIFS(ShortMP1,1,mp1_mins_short,"&gt;"&amp;$P89,mp1_mins_short,"&lt;="&amp;$P90,Date,"&gt;="&amp;K$4,Date,"&lt;="&amp;K$5,Key_Gps,"*"&amp;K$1&amp;"*"),_xlpm.perc,_xlpm.calc/_xlpm.denom,IFERROR(IF(_xlpm.calc&lt;1000,_xlfn.CONCAT(_xlpm.calc," (",TEXT(_xlpm.perc,"0.0%"),")"),_xlfn.CONCAT(TEXT(_xlpm.calc,"0,000")," (",TEXT(_xlpm.perc,"0.0%"),")")),"-"))</f>
        <v>-</v>
      </c>
      <c r="L90" s="91" t="str" cm="1">
        <f t="array" ref="L90">_xlfn.LET(_xlpm.denom,L86,_xlpm.calc,COUNTIFS(ShortMP1,1,mp1_mins_short,"&gt;"&amp;$P89,mp1_mins_short,"&lt;="&amp;$P90,Date,"&gt;="&amp;L$4,Date,"&lt;="&amp;L$5,Key_Gps,"*"&amp;L$1&amp;"*"),_xlpm.perc,_xlpm.calc/_xlpm.denom,IFERROR(IF(_xlpm.calc&lt;1000,_xlfn.CONCAT(_xlpm.calc," (",TEXT(_xlpm.perc,"0.0%"),")"),_xlfn.CONCAT(TEXT(_xlpm.calc,"0,000")," (",TEXT(_xlpm.perc,"0.0%"),")")),"-"))</f>
        <v>-</v>
      </c>
      <c r="M90" s="168" t="str" cm="1">
        <f t="array" ref="M90">_xlfn.LET(_xlpm.denom,M86,_xlpm.calc,COUNTIFS(ShortMP1,1,mp1_mins_short,"&gt;"&amp;$P89,mp1_mins_short,"&lt;="&amp;$P90,Date,"&gt;="&amp;M$4,Date,"&lt;="&amp;M$5,Key_Gps,"*"&amp;M$1&amp;"*"),_xlpm.perc,_xlpm.calc/_xlpm.denom,IFERROR(IF(_xlpm.calc&lt;1000,_xlfn.CONCAT(_xlpm.calc," (",TEXT(_xlpm.perc,"0.0%"),")"),_xlfn.CONCAT(TEXT(_xlpm.calc,"0,000")," (",TEXT(_xlpm.perc,"0.0%"),")")),"-"))</f>
        <v>-</v>
      </c>
      <c r="N90" s="92"/>
      <c r="O90" s="74"/>
      <c r="P90" s="277">
        <v>10</v>
      </c>
      <c r="Q90" s="75" t="str">
        <f t="shared" si="33"/>
        <v/>
      </c>
      <c r="R90" s="76" t="e">
        <f t="shared" si="34"/>
        <v>#VALUE!</v>
      </c>
      <c r="S90" s="64">
        <f t="shared" si="47"/>
        <v>1</v>
      </c>
      <c r="T90" s="42" t="str">
        <f t="shared" ca="1" si="35"/>
        <v>-</v>
      </c>
      <c r="U90" s="42" t="str">
        <f t="shared" si="36"/>
        <v>-</v>
      </c>
      <c r="V90" s="42" t="str">
        <f t="shared" si="37"/>
        <v>-</v>
      </c>
      <c r="W90" s="42" t="str">
        <f t="shared" si="38"/>
        <v>-</v>
      </c>
      <c r="X90" s="42" t="str">
        <f t="shared" si="39"/>
        <v>-</v>
      </c>
      <c r="Y90" s="42" t="str">
        <f t="shared" si="40"/>
        <v>-</v>
      </c>
      <c r="Z90" s="42" t="str">
        <f t="shared" si="41"/>
        <v>-</v>
      </c>
      <c r="AA90" s="42" t="str">
        <f t="shared" si="42"/>
        <v>-</v>
      </c>
      <c r="AB90" s="42" t="str">
        <f t="shared" si="43"/>
        <v>-</v>
      </c>
      <c r="AC90" s="42" t="str">
        <f t="shared" si="44"/>
        <v>-</v>
      </c>
      <c r="AD90" s="88"/>
      <c r="AE90" s="88"/>
      <c r="AF90" s="88"/>
      <c r="AG90" s="88"/>
      <c r="AH90" s="88"/>
      <c r="AI90" s="88"/>
      <c r="AJ90" s="88"/>
      <c r="AK90" s="88"/>
    </row>
    <row r="91" spans="1:37" s="89" customFormat="1" outlineLevel="2" x14ac:dyDescent="0.3">
      <c r="A91" s="83">
        <v>1</v>
      </c>
      <c r="B91" s="323"/>
      <c r="C91" s="90" t="str">
        <f t="shared" si="56"/>
        <v>Meal periods 11-15 mins short</v>
      </c>
      <c r="D91" s="201" t="str">
        <f t="shared" ca="1" si="57"/>
        <v>-</v>
      </c>
      <c r="E91" s="91" t="str" cm="1">
        <f t="array" ref="E91">_xlfn.LET(_xlpm.denom,E86,_xlpm.calc,COUNTIFS(ShortMP1,1,mp1_mins_short,"&gt;"&amp;$P90,mp1_mins_short,"&lt;="&amp;$P91,Date,"&gt;="&amp;E$4,Date,"&lt;="&amp;E$5,Key_Gps,"*"&amp;E$1&amp;"*"),_xlpm.perc,_xlpm.calc/_xlpm.denom,IFERROR(IF(_xlpm.calc&lt;1000,_xlfn.CONCAT(_xlpm.calc," (",TEXT(_xlpm.perc,"0.0%"),")"),_xlfn.CONCAT(TEXT(_xlpm.calc,"0,000")," (",TEXT(_xlpm.perc,"0.0%"),")")),"-"))</f>
        <v>-</v>
      </c>
      <c r="F91" s="91" t="str" cm="1">
        <f t="array" ref="F91">_xlfn.LET(_xlpm.denom,F86,_xlpm.calc,COUNTIFS(ShortMP1,1,mp1_mins_short,"&gt;"&amp;$P90,mp1_mins_short,"&lt;="&amp;$P91,Date,"&gt;="&amp;F$4,Date,"&lt;="&amp;F$5,Key_Gps,"*"&amp;F$1&amp;"*"),_xlpm.perc,_xlpm.calc/_xlpm.denom,IFERROR(IF(_xlpm.calc&lt;1000,_xlfn.CONCAT(_xlpm.calc," (",TEXT(_xlpm.perc,"0.0%"),")"),_xlfn.CONCAT(TEXT(_xlpm.calc,"0,000")," (",TEXT(_xlpm.perc,"0.0%"),")")),"-"))</f>
        <v>-</v>
      </c>
      <c r="G91" s="91" t="str" cm="1">
        <f t="array" ref="G91">_xlfn.LET(_xlpm.denom,G86,_xlpm.calc,COUNTIFS(ShortMP1,1,mp1_mins_short,"&gt;"&amp;$P90,mp1_mins_short,"&lt;="&amp;$P91,Date,"&gt;="&amp;G$4,Date,"&lt;="&amp;G$5,Key_Gps,"*"&amp;G$1&amp;"*"),_xlpm.perc,_xlpm.calc/_xlpm.denom,IFERROR(IF(_xlpm.calc&lt;1000,_xlfn.CONCAT(_xlpm.calc," (",TEXT(_xlpm.perc,"0.0%"),")"),_xlfn.CONCAT(TEXT(_xlpm.calc,"0,000")," (",TEXT(_xlpm.perc,"0.0%"),")")),"-"))</f>
        <v>-</v>
      </c>
      <c r="H91" s="91" t="str" cm="1">
        <f t="array" ref="H91">_xlfn.LET(_xlpm.denom,H86,_xlpm.calc,COUNTIFS(ShortMP1,1,mp1_mins_short,"&gt;"&amp;$P90,mp1_mins_short,"&lt;="&amp;$P91,Date,"&gt;="&amp;H$4,Date,"&lt;="&amp;H$5,Key_Gps,"*"&amp;H$1&amp;"*"),_xlpm.perc,_xlpm.calc/_xlpm.denom,IFERROR(IF(_xlpm.calc&lt;1000,_xlfn.CONCAT(_xlpm.calc," (",TEXT(_xlpm.perc,"0.0%"),")"),_xlfn.CONCAT(TEXT(_xlpm.calc,"0,000")," (",TEXT(_xlpm.perc,"0.0%"),")")),"-"))</f>
        <v>-</v>
      </c>
      <c r="I91" s="91" t="str" cm="1">
        <f t="array" ref="I91">_xlfn.LET(_xlpm.denom,I86,_xlpm.calc,COUNTIFS(ShortMP1,1,mp1_mins_short,"&gt;"&amp;$P90,mp1_mins_short,"&lt;="&amp;$P91,Date,"&gt;="&amp;I$4,Date,"&lt;="&amp;I$5,Key_Gps,"*"&amp;I$1&amp;"*"),_xlpm.perc,_xlpm.calc/_xlpm.denom,IFERROR(IF(_xlpm.calc&lt;1000,_xlfn.CONCAT(_xlpm.calc," (",TEXT(_xlpm.perc,"0.0%"),")"),_xlfn.CONCAT(TEXT(_xlpm.calc,"0,000")," (",TEXT(_xlpm.perc,"0.0%"),")")),"-"))</f>
        <v>-</v>
      </c>
      <c r="J91" s="91" t="str" cm="1">
        <f t="array" ref="J91">_xlfn.LET(_xlpm.denom,J86,_xlpm.calc,COUNTIFS(ShortMP1,1,mp1_mins_short,"&gt;"&amp;$P90,mp1_mins_short,"&lt;="&amp;$P91,Date,"&gt;="&amp;J$4,Date,"&lt;="&amp;J$5,Key_Gps,"*"&amp;J$1&amp;"*"),_xlpm.perc,_xlpm.calc/_xlpm.denom,IFERROR(IF(_xlpm.calc&lt;1000,_xlfn.CONCAT(_xlpm.calc," (",TEXT(_xlpm.perc,"0.0%"),")"),_xlfn.CONCAT(TEXT(_xlpm.calc,"0,000")," (",TEXT(_xlpm.perc,"0.0%"),")")),"-"))</f>
        <v>-</v>
      </c>
      <c r="K91" s="91" t="str" cm="1">
        <f t="array" ref="K91">_xlfn.LET(_xlpm.denom,K86,_xlpm.calc,COUNTIFS(ShortMP1,1,mp1_mins_short,"&gt;"&amp;$P90,mp1_mins_short,"&lt;="&amp;$P91,Date,"&gt;="&amp;K$4,Date,"&lt;="&amp;K$5,Key_Gps,"*"&amp;K$1&amp;"*"),_xlpm.perc,_xlpm.calc/_xlpm.denom,IFERROR(IF(_xlpm.calc&lt;1000,_xlfn.CONCAT(_xlpm.calc," (",TEXT(_xlpm.perc,"0.0%"),")"),_xlfn.CONCAT(TEXT(_xlpm.calc,"0,000")," (",TEXT(_xlpm.perc,"0.0%"),")")),"-"))</f>
        <v>-</v>
      </c>
      <c r="L91" s="91" t="str" cm="1">
        <f t="array" ref="L91">_xlfn.LET(_xlpm.denom,L86,_xlpm.calc,COUNTIFS(ShortMP1,1,mp1_mins_short,"&gt;"&amp;$P90,mp1_mins_short,"&lt;="&amp;$P91,Date,"&gt;="&amp;L$4,Date,"&lt;="&amp;L$5,Key_Gps,"*"&amp;L$1&amp;"*"),_xlpm.perc,_xlpm.calc/_xlpm.denom,IFERROR(IF(_xlpm.calc&lt;1000,_xlfn.CONCAT(_xlpm.calc," (",TEXT(_xlpm.perc,"0.0%"),")"),_xlfn.CONCAT(TEXT(_xlpm.calc,"0,000")," (",TEXT(_xlpm.perc,"0.0%"),")")),"-"))</f>
        <v>-</v>
      </c>
      <c r="M91" s="168" t="str" cm="1">
        <f t="array" ref="M91">_xlfn.LET(_xlpm.denom,M86,_xlpm.calc,COUNTIFS(ShortMP1,1,mp1_mins_short,"&gt;"&amp;$P90,mp1_mins_short,"&lt;="&amp;$P91,Date,"&gt;="&amp;M$4,Date,"&lt;="&amp;M$5,Key_Gps,"*"&amp;M$1&amp;"*"),_xlpm.perc,_xlpm.calc/_xlpm.denom,IFERROR(IF(_xlpm.calc&lt;1000,_xlfn.CONCAT(_xlpm.calc," (",TEXT(_xlpm.perc,"0.0%"),")"),_xlfn.CONCAT(TEXT(_xlpm.calc,"0,000")," (",TEXT(_xlpm.perc,"0.0%"),")")),"-"))</f>
        <v>-</v>
      </c>
      <c r="N91" s="92"/>
      <c r="O91" s="74"/>
      <c r="P91" s="277">
        <v>15</v>
      </c>
      <c r="Q91" s="75" t="str">
        <f t="shared" si="33"/>
        <v/>
      </c>
      <c r="R91" s="76" t="e">
        <f t="shared" si="34"/>
        <v>#VALUE!</v>
      </c>
      <c r="S91" s="64">
        <f t="shared" si="47"/>
        <v>1</v>
      </c>
      <c r="T91" s="42" t="str">
        <f t="shared" ca="1" si="35"/>
        <v>-</v>
      </c>
      <c r="U91" s="42" t="str">
        <f t="shared" si="36"/>
        <v>-</v>
      </c>
      <c r="V91" s="42" t="str">
        <f t="shared" si="37"/>
        <v>-</v>
      </c>
      <c r="W91" s="42" t="str">
        <f t="shared" si="38"/>
        <v>-</v>
      </c>
      <c r="X91" s="42" t="str">
        <f t="shared" si="39"/>
        <v>-</v>
      </c>
      <c r="Y91" s="42" t="str">
        <f t="shared" si="40"/>
        <v>-</v>
      </c>
      <c r="Z91" s="42" t="str">
        <f t="shared" si="41"/>
        <v>-</v>
      </c>
      <c r="AA91" s="42" t="str">
        <f t="shared" si="42"/>
        <v>-</v>
      </c>
      <c r="AB91" s="42" t="str">
        <f t="shared" si="43"/>
        <v>-</v>
      </c>
      <c r="AC91" s="42" t="str">
        <f t="shared" si="44"/>
        <v>-</v>
      </c>
      <c r="AD91" s="88"/>
      <c r="AE91" s="88"/>
      <c r="AF91" s="88"/>
      <c r="AG91" s="88"/>
      <c r="AH91" s="88"/>
      <c r="AI91" s="88"/>
      <c r="AJ91" s="88"/>
      <c r="AK91" s="88"/>
    </row>
    <row r="92" spans="1:37" s="89" customFormat="1" outlineLevel="2" x14ac:dyDescent="0.3">
      <c r="A92" s="83">
        <v>1</v>
      </c>
      <c r="B92" s="323"/>
      <c r="C92" s="90" t="str">
        <f t="shared" si="56"/>
        <v>Meal periods 16+ mins short</v>
      </c>
      <c r="D92" s="201" t="str">
        <f t="shared" ca="1" si="57"/>
        <v>-</v>
      </c>
      <c r="E92" s="91" t="str" cm="1">
        <f t="array" ref="E92">_xlfn.LET(_xlpm.denom,E86,_xlpm.calc,COUNTIFS(ShortMP1,1,mp1_mins_short,"&gt;"&amp;$P91,mp1_mins_short,"&lt;="&amp;$P92,Date,"&gt;="&amp;E$4,Date,"&lt;="&amp;E$5,Key_Gps,"*"&amp;E$1&amp;"*"),_xlpm.perc,_xlpm.calc/_xlpm.denom,IFERROR(IF(_xlpm.calc&lt;1000,_xlfn.CONCAT(_xlpm.calc," (",TEXT(_xlpm.perc,"0.0%"),")"),_xlfn.CONCAT(TEXT(_xlpm.calc,"0,000")," (",TEXT(_xlpm.perc,"0.0%"),")")),"-"))</f>
        <v>-</v>
      </c>
      <c r="F92" s="91" t="str" cm="1">
        <f t="array" ref="F92">_xlfn.LET(_xlpm.denom,F86,_xlpm.calc,COUNTIFS(ShortMP1,1,mp1_mins_short,"&gt;"&amp;$P91,mp1_mins_short,"&lt;="&amp;$P92,Date,"&gt;="&amp;F$4,Date,"&lt;="&amp;F$5,Key_Gps,"*"&amp;F$1&amp;"*"),_xlpm.perc,_xlpm.calc/_xlpm.denom,IFERROR(IF(_xlpm.calc&lt;1000,_xlfn.CONCAT(_xlpm.calc," (",TEXT(_xlpm.perc,"0.0%"),")"),_xlfn.CONCAT(TEXT(_xlpm.calc,"0,000")," (",TEXT(_xlpm.perc,"0.0%"),")")),"-"))</f>
        <v>-</v>
      </c>
      <c r="G92" s="91" t="str" cm="1">
        <f t="array" ref="G92">_xlfn.LET(_xlpm.denom,G86,_xlpm.calc,COUNTIFS(ShortMP1,1,mp1_mins_short,"&gt;"&amp;$P91,mp1_mins_short,"&lt;="&amp;$P92,Date,"&gt;="&amp;G$4,Date,"&lt;="&amp;G$5,Key_Gps,"*"&amp;G$1&amp;"*"),_xlpm.perc,_xlpm.calc/_xlpm.denom,IFERROR(IF(_xlpm.calc&lt;1000,_xlfn.CONCAT(_xlpm.calc," (",TEXT(_xlpm.perc,"0.0%"),")"),_xlfn.CONCAT(TEXT(_xlpm.calc,"0,000")," (",TEXT(_xlpm.perc,"0.0%"),")")),"-"))</f>
        <v>-</v>
      </c>
      <c r="H92" s="91" t="str" cm="1">
        <f t="array" ref="H92">_xlfn.LET(_xlpm.denom,H86,_xlpm.calc,COUNTIFS(ShortMP1,1,mp1_mins_short,"&gt;"&amp;$P91,mp1_mins_short,"&lt;="&amp;$P92,Date,"&gt;="&amp;H$4,Date,"&lt;="&amp;H$5,Key_Gps,"*"&amp;H$1&amp;"*"),_xlpm.perc,_xlpm.calc/_xlpm.denom,IFERROR(IF(_xlpm.calc&lt;1000,_xlfn.CONCAT(_xlpm.calc," (",TEXT(_xlpm.perc,"0.0%"),")"),_xlfn.CONCAT(TEXT(_xlpm.calc,"0,000")," (",TEXT(_xlpm.perc,"0.0%"),")")),"-"))</f>
        <v>-</v>
      </c>
      <c r="I92" s="91" t="str" cm="1">
        <f t="array" ref="I92">_xlfn.LET(_xlpm.denom,I86,_xlpm.calc,COUNTIFS(ShortMP1,1,mp1_mins_short,"&gt;"&amp;$P91,mp1_mins_short,"&lt;="&amp;$P92,Date,"&gt;="&amp;I$4,Date,"&lt;="&amp;I$5,Key_Gps,"*"&amp;I$1&amp;"*"),_xlpm.perc,_xlpm.calc/_xlpm.denom,IFERROR(IF(_xlpm.calc&lt;1000,_xlfn.CONCAT(_xlpm.calc," (",TEXT(_xlpm.perc,"0.0%"),")"),_xlfn.CONCAT(TEXT(_xlpm.calc,"0,000")," (",TEXT(_xlpm.perc,"0.0%"),")")),"-"))</f>
        <v>-</v>
      </c>
      <c r="J92" s="91" t="str" cm="1">
        <f t="array" ref="J92">_xlfn.LET(_xlpm.denom,J86,_xlpm.calc,COUNTIFS(ShortMP1,1,mp1_mins_short,"&gt;"&amp;$P91,mp1_mins_short,"&lt;="&amp;$P92,Date,"&gt;="&amp;J$4,Date,"&lt;="&amp;J$5,Key_Gps,"*"&amp;J$1&amp;"*"),_xlpm.perc,_xlpm.calc/_xlpm.denom,IFERROR(IF(_xlpm.calc&lt;1000,_xlfn.CONCAT(_xlpm.calc," (",TEXT(_xlpm.perc,"0.0%"),")"),_xlfn.CONCAT(TEXT(_xlpm.calc,"0,000")," (",TEXT(_xlpm.perc,"0.0%"),")")),"-"))</f>
        <v>-</v>
      </c>
      <c r="K92" s="91" t="str" cm="1">
        <f t="array" ref="K92">_xlfn.LET(_xlpm.denom,K86,_xlpm.calc,COUNTIFS(ShortMP1,1,mp1_mins_short,"&gt;"&amp;$P91,mp1_mins_short,"&lt;="&amp;$P92,Date,"&gt;="&amp;K$4,Date,"&lt;="&amp;K$5,Key_Gps,"*"&amp;K$1&amp;"*"),_xlpm.perc,_xlpm.calc/_xlpm.denom,IFERROR(IF(_xlpm.calc&lt;1000,_xlfn.CONCAT(_xlpm.calc," (",TEXT(_xlpm.perc,"0.0%"),")"),_xlfn.CONCAT(TEXT(_xlpm.calc,"0,000")," (",TEXT(_xlpm.perc,"0.0%"),")")),"-"))</f>
        <v>-</v>
      </c>
      <c r="L92" s="91" t="str" cm="1">
        <f t="array" ref="L92">_xlfn.LET(_xlpm.denom,L86,_xlpm.calc,COUNTIFS(ShortMP1,1,mp1_mins_short,"&gt;"&amp;$P91,mp1_mins_short,"&lt;="&amp;$P92,Date,"&gt;="&amp;L$4,Date,"&lt;="&amp;L$5,Key_Gps,"*"&amp;L$1&amp;"*"),_xlpm.perc,_xlpm.calc/_xlpm.denom,IFERROR(IF(_xlpm.calc&lt;1000,_xlfn.CONCAT(_xlpm.calc," (",TEXT(_xlpm.perc,"0.0%"),")"),_xlfn.CONCAT(TEXT(_xlpm.calc,"0,000")," (",TEXT(_xlpm.perc,"0.0%"),")")),"-"))</f>
        <v>-</v>
      </c>
      <c r="M92" s="168" t="str" cm="1">
        <f t="array" ref="M92">_xlfn.LET(_xlpm.denom,M86,_xlpm.calc,COUNTIFS(ShortMP1,1,mp1_mins_short,"&gt;"&amp;$P91,mp1_mins_short,"&lt;="&amp;$P92,Date,"&gt;="&amp;M$4,Date,"&lt;="&amp;M$5,Key_Gps,"*"&amp;M$1&amp;"*"),_xlpm.perc,_xlpm.calc/_xlpm.denom,IFERROR(IF(_xlpm.calc&lt;1000,_xlfn.CONCAT(_xlpm.calc," (",TEXT(_xlpm.perc,"0.0%"),")"),_xlfn.CONCAT(TEXT(_xlpm.calc,"0,000")," (",TEXT(_xlpm.perc,"0.0%"),")")),"-"))</f>
        <v>-</v>
      </c>
      <c r="N92" s="92"/>
      <c r="O92" s="74"/>
      <c r="P92" s="277">
        <v>30</v>
      </c>
      <c r="Q92" s="75" t="str">
        <f t="shared" si="33"/>
        <v/>
      </c>
      <c r="R92" s="76" t="e">
        <f t="shared" si="34"/>
        <v>#VALUE!</v>
      </c>
      <c r="S92" s="64">
        <f t="shared" si="47"/>
        <v>1</v>
      </c>
      <c r="T92" s="42" t="str">
        <f t="shared" ca="1" si="35"/>
        <v>-</v>
      </c>
      <c r="U92" s="42" t="str">
        <f t="shared" si="36"/>
        <v>-</v>
      </c>
      <c r="V92" s="42" t="str">
        <f t="shared" si="37"/>
        <v>-</v>
      </c>
      <c r="W92" s="42" t="str">
        <f t="shared" si="38"/>
        <v>-</v>
      </c>
      <c r="X92" s="42" t="str">
        <f t="shared" si="39"/>
        <v>-</v>
      </c>
      <c r="Y92" s="42" t="str">
        <f t="shared" si="40"/>
        <v>-</v>
      </c>
      <c r="Z92" s="42" t="str">
        <f t="shared" si="41"/>
        <v>-</v>
      </c>
      <c r="AA92" s="42" t="str">
        <f t="shared" si="42"/>
        <v>-</v>
      </c>
      <c r="AB92" s="42" t="str">
        <f t="shared" si="43"/>
        <v>-</v>
      </c>
      <c r="AC92" s="42" t="str">
        <f t="shared" si="44"/>
        <v>-</v>
      </c>
      <c r="AD92" s="88"/>
      <c r="AE92" s="88"/>
      <c r="AF92" s="88"/>
      <c r="AG92" s="88"/>
      <c r="AH92" s="88"/>
      <c r="AI92" s="88"/>
      <c r="AJ92" s="88"/>
      <c r="AK92" s="88"/>
    </row>
    <row r="93" spans="1:37" s="41" customFormat="1" ht="28.8" outlineLevel="1" x14ac:dyDescent="0.25">
      <c r="A93" s="42" t="s">
        <v>13</v>
      </c>
      <c r="B93" s="323"/>
      <c r="C93" s="49" t="s">
        <v>108</v>
      </c>
      <c r="D93" s="195" t="str">
        <f ca="1">_xlfn.LET(_xlpm.denom,D72,_xlpm.calc,ROUND($Q93*_xlpm.denom,0),_xlpm.perc,_xlpm.calc/_xlpm.denom,IFERROR(IF(_xlpm.calc&lt;1000,_xlfn.CONCAT(_xlpm.calc," (",TEXT(_xlpm.perc,"0.0%"),")"),_xlfn.CONCAT(TEXT(_xlpm.calc,"0,000")," (",TEXT(_xlpm.perc,"0.0%"),")")),"-"))</f>
        <v>-</v>
      </c>
      <c r="E93" s="65" t="str" cm="1">
        <f t="array" ref="E93">_xlfn.LET(_xlpm.denom,E72,_xlpm.calc,COUNTIFS(mpv_shift,1,Date,"&gt;="&amp;E$4,Date,"&lt;="&amp;E$5,Key_Gps,"*"&amp;E$1&amp;"*"),_xlpm.perc,_xlpm.calc/_xlpm.denom,IFERROR(IF(_xlpm.calc&lt;1000,_xlfn.CONCAT(_xlpm.calc," (",TEXT(_xlpm.perc,"0.0%"),")"),_xlfn.CONCAT(TEXT(_xlpm.calc,"0,000")," (",TEXT(_xlpm.perc,"0.0%"),")")),"-"))</f>
        <v>-</v>
      </c>
      <c r="F93" s="56" t="str" cm="1">
        <f t="array" ref="F93">_xlfn.LET(_xlpm.denom,F72,_xlpm.calc,COUNTIFS(mpv_shift,1,Date,"&gt;="&amp;F$4,Date,"&lt;="&amp;F$5,Key_Gps,"*"&amp;F$1&amp;"*"),_xlpm.perc,_xlpm.calc/_xlpm.denom,IFERROR(IF(_xlpm.calc&lt;1000,_xlfn.CONCAT(_xlpm.calc," (",TEXT(_xlpm.perc,"0.0%"),")"),_xlfn.CONCAT(TEXT(_xlpm.calc,"0,000")," (",TEXT(_xlpm.perc,"0.0%"),")")),"-"))</f>
        <v>-</v>
      </c>
      <c r="G93" s="56" t="str" cm="1">
        <f t="array" ref="G93">_xlfn.LET(_xlpm.denom,G72,_xlpm.calc,COUNTIFS(mpv_shift,1,Date,"&gt;="&amp;G$4,Date,"&lt;="&amp;G$5,Key_Gps,"*"&amp;G$1&amp;"*"),_xlpm.perc,_xlpm.calc/_xlpm.denom,IFERROR(IF(_xlpm.calc&lt;1000,_xlfn.CONCAT(_xlpm.calc," (",TEXT(_xlpm.perc,"0.0%"),")"),_xlfn.CONCAT(TEXT(_xlpm.calc,"0,000")," (",TEXT(_xlpm.perc,"0.0%"),")")),"-"))</f>
        <v>-</v>
      </c>
      <c r="H93" s="56" t="str" cm="1">
        <f t="array" ref="H93">_xlfn.LET(_xlpm.denom,H72,_xlpm.calc,COUNTIFS(mpv_shift,1,Date,"&gt;="&amp;H$4,Date,"&lt;="&amp;H$5,Key_Gps,"*"&amp;H$1&amp;"*"),_xlpm.perc,_xlpm.calc/_xlpm.denom,IFERROR(IF(_xlpm.calc&lt;1000,_xlfn.CONCAT(_xlpm.calc," (",TEXT(_xlpm.perc,"0.0%"),")"),_xlfn.CONCAT(TEXT(_xlpm.calc,"0,000")," (",TEXT(_xlpm.perc,"0.0%"),")")),"-"))</f>
        <v>-</v>
      </c>
      <c r="I93" s="56" t="str" cm="1">
        <f t="array" ref="I93">_xlfn.LET(_xlpm.denom,I72,_xlpm.calc,COUNTIFS(mpv_shift,1,Date,"&gt;="&amp;I$4,Date,"&lt;="&amp;I$5,Key_Gps,"*"&amp;I$1&amp;"*"),_xlpm.perc,_xlpm.calc/_xlpm.denom,IFERROR(IF(_xlpm.calc&lt;1000,_xlfn.CONCAT(_xlpm.calc," (",TEXT(_xlpm.perc,"0.0%"),")"),_xlfn.CONCAT(TEXT(_xlpm.calc,"0,000")," (",TEXT(_xlpm.perc,"0.0%"),")")),"-"))</f>
        <v>-</v>
      </c>
      <c r="J93" s="56" t="str" cm="1">
        <f t="array" ref="J93">_xlfn.LET(_xlpm.denom,J72,_xlpm.calc,COUNTIFS(mpv_shift,1,Date,"&gt;="&amp;J$4,Date,"&lt;="&amp;J$5,Key_Gps,"*"&amp;J$1&amp;"*"),_xlpm.perc,_xlpm.calc/_xlpm.denom,IFERROR(IF(_xlpm.calc&lt;1000,_xlfn.CONCAT(_xlpm.calc," (",TEXT(_xlpm.perc,"0.0%"),")"),_xlfn.CONCAT(TEXT(_xlpm.calc,"0,000")," (",TEXT(_xlpm.perc,"0.0%"),")")),"-"))</f>
        <v>-</v>
      </c>
      <c r="K93" s="56" t="str" cm="1">
        <f t="array" ref="K93">_xlfn.LET(_xlpm.denom,K72,_xlpm.calc,COUNTIFS(mpv_shift,1,Date,"&gt;="&amp;K$4,Date,"&lt;="&amp;K$5,Key_Gps,"*"&amp;K$1&amp;"*"),_xlpm.perc,_xlpm.calc/_xlpm.denom,IFERROR(IF(_xlpm.calc&lt;1000,_xlfn.CONCAT(_xlpm.calc," (",TEXT(_xlpm.perc,"0.0%"),")"),_xlfn.CONCAT(TEXT(_xlpm.calc,"0,000")," (",TEXT(_xlpm.perc,"0.0%"),")")),"-"))</f>
        <v>-</v>
      </c>
      <c r="L93" s="56" t="str" cm="1">
        <f t="array" ref="L93">_xlfn.LET(_xlpm.denom,L72,_xlpm.calc,COUNTIFS(mpv_shift,1,Date,"&gt;="&amp;L$4,Date,"&lt;="&amp;L$5,Key_Gps,"*"&amp;L$1&amp;"*"),_xlpm.perc,_xlpm.calc/_xlpm.denom,IFERROR(IF(_xlpm.calc&lt;1000,_xlfn.CONCAT(_xlpm.calc," (",TEXT(_xlpm.perc,"0.0%"),")"),_xlfn.CONCAT(TEXT(_xlpm.calc,"0,000")," (",TEXT(_xlpm.perc,"0.0%"),")")),"-"))</f>
        <v>-</v>
      </c>
      <c r="M93" s="155" t="str" cm="1">
        <f t="array" ref="M93">_xlfn.LET(_xlpm.denom,M72,_xlpm.calc,COUNTIFS(mpv_shift,1,Date,"&gt;="&amp;M$4,Date,"&lt;="&amp;M$5,Key_Gps,"*"&amp;M$1&amp;"*"),_xlpm.perc,_xlpm.calc/_xlpm.denom,IFERROR(IF(_xlpm.calc&lt;1000,_xlfn.CONCAT(_xlpm.calc," (",TEXT(_xlpm.perc,"0.0%"),")"),_xlfn.CONCAT(TEXT(_xlpm.calc,"0,000")," (",TEXT(_xlpm.perc,"0.0%"),")")),"-"))</f>
        <v>-</v>
      </c>
      <c r="N93" s="53" t="s">
        <v>102</v>
      </c>
      <c r="O93" s="74"/>
      <c r="P93" s="42"/>
      <c r="Q93" s="75" t="str">
        <f t="shared" si="33"/>
        <v/>
      </c>
      <c r="R93" s="76" t="e">
        <f t="shared" si="34"/>
        <v>#VALUE!</v>
      </c>
      <c r="S93" s="64">
        <f t="shared" si="47"/>
        <v>1</v>
      </c>
      <c r="T93" s="42" t="str">
        <f t="shared" ca="1" si="35"/>
        <v>-</v>
      </c>
      <c r="U93" s="42" t="str">
        <f t="shared" si="36"/>
        <v>-</v>
      </c>
      <c r="V93" s="42" t="str">
        <f t="shared" si="37"/>
        <v>-</v>
      </c>
      <c r="W93" s="42" t="str">
        <f t="shared" si="38"/>
        <v>-</v>
      </c>
      <c r="X93" s="42" t="str">
        <f t="shared" si="39"/>
        <v>-</v>
      </c>
      <c r="Y93" s="42" t="str">
        <f t="shared" si="40"/>
        <v>-</v>
      </c>
      <c r="Z93" s="42" t="str">
        <f t="shared" si="41"/>
        <v>-</v>
      </c>
      <c r="AA93" s="42" t="str">
        <f t="shared" si="42"/>
        <v>-</v>
      </c>
      <c r="AB93" s="42" t="str">
        <f t="shared" si="43"/>
        <v>-</v>
      </c>
      <c r="AC93" s="42" t="str">
        <f t="shared" si="44"/>
        <v>-</v>
      </c>
    </row>
    <row r="94" spans="1:37" s="41" customFormat="1" outlineLevel="1" x14ac:dyDescent="0.3">
      <c r="A94" s="83">
        <v>1</v>
      </c>
      <c r="B94" s="323"/>
      <c r="C94" s="49" t="s">
        <v>596</v>
      </c>
      <c r="D94" s="195">
        <f ca="1">IFERROR(E94/E72*D72,0)</f>
        <v>0</v>
      </c>
      <c r="E94" s="65" t="e">
        <f t="shared" ref="E94:M94" si="58">SUMIFS(Meal_Prem_Hrs,pp,1,Period_End,"&gt;="&amp;E$22,Period_End,"&lt;="&amp;E$23,Key_Gps,"*"&amp;E$1&amp;"*")</f>
        <v>#NAME?</v>
      </c>
      <c r="F94" s="56" t="e">
        <f t="shared" si="58"/>
        <v>#NAME?</v>
      </c>
      <c r="G94" s="56" t="e">
        <f t="shared" si="58"/>
        <v>#NAME?</v>
      </c>
      <c r="H94" s="56" t="e">
        <f t="shared" si="58"/>
        <v>#NAME?</v>
      </c>
      <c r="I94" s="56" t="e">
        <f t="shared" si="58"/>
        <v>#NAME?</v>
      </c>
      <c r="J94" s="56" t="e">
        <f t="shared" si="58"/>
        <v>#NAME?</v>
      </c>
      <c r="K94" s="56" t="e">
        <f t="shared" si="58"/>
        <v>#NAME?</v>
      </c>
      <c r="L94" s="56" t="e">
        <f t="shared" si="58"/>
        <v>#NAME?</v>
      </c>
      <c r="M94" s="155" t="e">
        <f t="shared" si="58"/>
        <v>#NAME?</v>
      </c>
      <c r="N94" s="53" t="s">
        <v>571</v>
      </c>
      <c r="O94" s="278" t="s">
        <v>569</v>
      </c>
      <c r="P94" s="42"/>
      <c r="Q94" s="75"/>
      <c r="R94" s="76"/>
      <c r="S94" s="64">
        <f t="shared" si="47"/>
        <v>1</v>
      </c>
      <c r="T94" s="42"/>
      <c r="U94" s="42"/>
      <c r="V94" s="42"/>
      <c r="W94" s="42"/>
      <c r="X94" s="42"/>
      <c r="Y94" s="42"/>
      <c r="Z94" s="42"/>
      <c r="AA94" s="42"/>
      <c r="AB94" s="42"/>
      <c r="AC94" s="42"/>
    </row>
    <row r="95" spans="1:37" s="41" customFormat="1" ht="28.8" outlineLevel="1" x14ac:dyDescent="0.25">
      <c r="A95" s="42" t="s">
        <v>13</v>
      </c>
      <c r="B95" s="323"/>
      <c r="C95" s="49" t="s">
        <v>572</v>
      </c>
      <c r="D95" s="195" t="str">
        <f ca="1">_xlfn.LET(_xlpm.denom,D72,_xlpm.calc,ROUND($Q95*_xlpm.denom,0),_xlpm.perc,_xlpm.calc/_xlpm.denom,IFERROR(IF(_xlpm.calc&lt;1000,_xlfn.CONCAT(_xlpm.calc," (",TEXT(_xlpm.perc,"0.0%"),")"),_xlfn.CONCAT(TEXT(_xlpm.calc,"0,000")," (",TEXT(_xlpm.perc,"0.0%"),")")),"-"))</f>
        <v>-</v>
      </c>
      <c r="E95" s="65" t="str" cm="1">
        <f t="array" ref="E95">_xlfn.LET(_xlpm.denom,E72,_xlpm.calc,SUMIFS(mpv_shift_less_prems,Date,"&gt;="&amp;E$4,Date,"&lt;="&amp;E$5,Key_Gps,"*"&amp;E$1&amp;"*"),_xlpm.perc,_xlpm.calc/_xlpm.denom,IFERROR(IF(_xlpm.calc&lt;1000,_xlfn.CONCAT(_xlpm.calc," (",TEXT(_xlpm.perc,"0.0%"),")"),_xlfn.CONCAT(TEXT(_xlpm.calc,"0,000")," (",TEXT(_xlpm.perc,"0.0%"),")")),"-"))</f>
        <v>-</v>
      </c>
      <c r="F95" s="56" t="str" cm="1">
        <f t="array" ref="F95">_xlfn.LET(_xlpm.denom,F72,_xlpm.calc,SUMIFS(mpv_shift_less_prems,Date,"&gt;="&amp;F$4,Date,"&lt;="&amp;F$5,Key_Gps,"*"&amp;F$1&amp;"*"),_xlpm.perc,_xlpm.calc/_xlpm.denom,IFERROR(IF(_xlpm.calc&lt;1000,_xlfn.CONCAT(_xlpm.calc," (",TEXT(_xlpm.perc,"0.0%"),")"),_xlfn.CONCAT(TEXT(_xlpm.calc,"0,000")," (",TEXT(_xlpm.perc,"0.0%"),")")),"-"))</f>
        <v>-</v>
      </c>
      <c r="G95" s="56" t="str" cm="1">
        <f t="array" ref="G95">_xlfn.LET(_xlpm.denom,G72,_xlpm.calc,SUMIFS(mpv_shift_less_prems,Date,"&gt;="&amp;G$4,Date,"&lt;="&amp;G$5,Key_Gps,"*"&amp;G$1&amp;"*"),_xlpm.perc,_xlpm.calc/_xlpm.denom,IFERROR(IF(_xlpm.calc&lt;1000,_xlfn.CONCAT(_xlpm.calc," (",TEXT(_xlpm.perc,"0.0%"),")"),_xlfn.CONCAT(TEXT(_xlpm.calc,"0,000")," (",TEXT(_xlpm.perc,"0.0%"),")")),"-"))</f>
        <v>-</v>
      </c>
      <c r="H95" s="56" t="str" cm="1">
        <f t="array" ref="H95">_xlfn.LET(_xlpm.denom,H72,_xlpm.calc,SUMIFS(mpv_shift_less_prems,Date,"&gt;="&amp;H$4,Date,"&lt;="&amp;H$5,Key_Gps,"*"&amp;H$1&amp;"*"),_xlpm.perc,_xlpm.calc/_xlpm.denom,IFERROR(IF(_xlpm.calc&lt;1000,_xlfn.CONCAT(_xlpm.calc," (",TEXT(_xlpm.perc,"0.0%"),")"),_xlfn.CONCAT(TEXT(_xlpm.calc,"0,000")," (",TEXT(_xlpm.perc,"0.0%"),")")),"-"))</f>
        <v>-</v>
      </c>
      <c r="I95" s="56" t="str" cm="1">
        <f t="array" ref="I95">_xlfn.LET(_xlpm.denom,I72,_xlpm.calc,SUMIFS(mpv_shift_less_prems,Date,"&gt;="&amp;I$4,Date,"&lt;="&amp;I$5,Key_Gps,"*"&amp;I$1&amp;"*"),_xlpm.perc,_xlpm.calc/_xlpm.denom,IFERROR(IF(_xlpm.calc&lt;1000,_xlfn.CONCAT(_xlpm.calc," (",TEXT(_xlpm.perc,"0.0%"),")"),_xlfn.CONCAT(TEXT(_xlpm.calc,"0,000")," (",TEXT(_xlpm.perc,"0.0%"),")")),"-"))</f>
        <v>-</v>
      </c>
      <c r="J95" s="56" t="str" cm="1">
        <f t="array" ref="J95">_xlfn.LET(_xlpm.denom,J72,_xlpm.calc,SUMIFS(mpv_shift_less_prems,Date,"&gt;="&amp;J$4,Date,"&lt;="&amp;J$5,Key_Gps,"*"&amp;J$1&amp;"*"),_xlpm.perc,_xlpm.calc/_xlpm.denom,IFERROR(IF(_xlpm.calc&lt;1000,_xlfn.CONCAT(_xlpm.calc," (",TEXT(_xlpm.perc,"0.0%"),")"),_xlfn.CONCAT(TEXT(_xlpm.calc,"0,000")," (",TEXT(_xlpm.perc,"0.0%"),")")),"-"))</f>
        <v>-</v>
      </c>
      <c r="K95" s="56" t="str" cm="1">
        <f t="array" ref="K95">_xlfn.LET(_xlpm.denom,K72,_xlpm.calc,SUMIFS(mpv_shift_less_prems,Date,"&gt;="&amp;K$4,Date,"&lt;="&amp;K$5,Key_Gps,"*"&amp;K$1&amp;"*"),_xlpm.perc,_xlpm.calc/_xlpm.denom,IFERROR(IF(_xlpm.calc&lt;1000,_xlfn.CONCAT(_xlpm.calc," (",TEXT(_xlpm.perc,"0.0%"),")"),_xlfn.CONCAT(TEXT(_xlpm.calc,"0,000")," (",TEXT(_xlpm.perc,"0.0%"),")")),"-"))</f>
        <v>-</v>
      </c>
      <c r="L95" s="56" t="str" cm="1">
        <f t="array" ref="L95">_xlfn.LET(_xlpm.denom,L72,_xlpm.calc,SUMIFS(mpv_shift_less_prems,Date,"&gt;="&amp;L$4,Date,"&lt;="&amp;L$5,Key_Gps,"*"&amp;L$1&amp;"*"),_xlpm.perc,_xlpm.calc/_xlpm.denom,IFERROR(IF(_xlpm.calc&lt;1000,_xlfn.CONCAT(_xlpm.calc," (",TEXT(_xlpm.perc,"0.0%"),")"),_xlfn.CONCAT(TEXT(_xlpm.calc,"0,000")," (",TEXT(_xlpm.perc,"0.0%"),")")),"-"))</f>
        <v>-</v>
      </c>
      <c r="M95" s="155" t="str" cm="1">
        <f t="array" ref="M95">_xlfn.LET(_xlpm.denom,M72,_xlpm.calc,SUMIFS(mpv_shift_less_prems,Date,"&gt;="&amp;M$4,Date,"&lt;="&amp;M$5,Key_Gps,"*"&amp;M$1&amp;"*"),_xlpm.perc,_xlpm.calc/_xlpm.denom,IFERROR(IF(_xlpm.calc&lt;1000,_xlfn.CONCAT(_xlpm.calc," (",TEXT(_xlpm.perc,"0.0%"),")"),_xlfn.CONCAT(TEXT(_xlpm.calc,"0,000")," (",TEXT(_xlpm.perc,"0.0%"),")")),"-"))</f>
        <v>-</v>
      </c>
      <c r="N95" s="53" t="s">
        <v>102</v>
      </c>
      <c r="O95" s="278" t="s">
        <v>567</v>
      </c>
      <c r="P95" s="42"/>
      <c r="Q95" s="75" t="str">
        <f>IF(IFERROR(SEARCH("(",E95),0)=0,"",VALUE(SUBSTITUTE(RIGHT(E95,LEN(E95)-SEARCH("(",E95)),")","")))</f>
        <v/>
      </c>
      <c r="R95" s="76" t="e">
        <f>IF(U95="","",SUM(V95:AB95)-U95)</f>
        <v>#VALUE!</v>
      </c>
      <c r="S95" s="64">
        <f t="shared" si="47"/>
        <v>1</v>
      </c>
      <c r="T95" s="42" t="str">
        <f ca="1">IF($S95&lt;&gt;1,"",IF(IFERROR(SEARCH("(",D95),0)=0,D95,VALUE(TRIM(LEFT(D95,SEARCH(" (",D95))))))</f>
        <v>-</v>
      </c>
      <c r="U95" s="42" t="str">
        <f>IF($S95&lt;&gt;1,"",IF(IFERROR(SEARCH("(",E95),0)=0,E95,VALUE(TRIM(LEFT(E95,SEARCH(" (",E95))))))</f>
        <v>-</v>
      </c>
      <c r="V95" s="42" t="str">
        <f>IF($S95&lt;&gt;1,"",IF(IFERROR(SEARCH("(",F95),0)=0,F95,VALUE(TRIM(LEFT(F95,SEARCH(" (",F95))))))</f>
        <v>-</v>
      </c>
      <c r="W95" s="42" t="str">
        <f t="shared" ref="W95:AB95" si="59">IF($S95&lt;&gt;1,"",IF(IFERROR(SEARCH("(",G95),0)=0,G95,VALUE(TRIM(LEFT(G95,SEARCH(" (",G95))))))</f>
        <v>-</v>
      </c>
      <c r="X95" s="42" t="str">
        <f t="shared" si="59"/>
        <v>-</v>
      </c>
      <c r="Y95" s="42" t="str">
        <f t="shared" si="59"/>
        <v>-</v>
      </c>
      <c r="Z95" s="42" t="str">
        <f t="shared" si="59"/>
        <v>-</v>
      </c>
      <c r="AA95" s="42" t="str">
        <f t="shared" si="59"/>
        <v>-</v>
      </c>
      <c r="AB95" s="42" t="str">
        <f t="shared" si="59"/>
        <v>-</v>
      </c>
      <c r="AC95" s="42" t="str">
        <f>IF($S95&lt;&gt;1,"",IF(IFERROR(SEARCH("(",M95),0)=0,M95,VALUE(TRIM(LEFT(M95,SEARCH(" (",M95))))))</f>
        <v>-</v>
      </c>
    </row>
    <row r="96" spans="1:37" s="41" customFormat="1" outlineLevel="1" x14ac:dyDescent="0.3">
      <c r="A96" s="83">
        <v>1</v>
      </c>
      <c r="B96" s="323"/>
      <c r="C96" s="49" t="s">
        <v>81</v>
      </c>
      <c r="D96" s="195" t="str">
        <f t="shared" ref="D96:K96" ca="1" si="60">_xlfn.LET(_xlpm.calc,_xlfn.XLOOKUP($C96,$C:$C,D:D),IF(IFERROR(SEARCH(" ",_xlpm.calc),0)&gt;0,IFERROR(VALUE(LEFT(_xlpm.calc,SEARCH(" ",_xlpm.calc))),"-"),IFERROR(_xlpm.calc,"-")))</f>
        <v>-</v>
      </c>
      <c r="E96" s="65" t="str">
        <f t="shared" si="60"/>
        <v>-</v>
      </c>
      <c r="F96" s="65" t="str">
        <f t="shared" si="60"/>
        <v>-</v>
      </c>
      <c r="G96" s="65" t="str">
        <f t="shared" si="60"/>
        <v>-</v>
      </c>
      <c r="H96" s="65" t="str">
        <f t="shared" si="60"/>
        <v>-</v>
      </c>
      <c r="I96" s="65" t="str">
        <f t="shared" si="60"/>
        <v>-</v>
      </c>
      <c r="J96" s="65" t="str">
        <f t="shared" si="60"/>
        <v>-</v>
      </c>
      <c r="K96" s="65" t="str">
        <f t="shared" si="60"/>
        <v>-</v>
      </c>
      <c r="L96" s="65" t="str">
        <f>_xlfn.LET(_xlpm.calc,_xlfn.XLOOKUP($C96,$C:$C,L:L),IF(IFERROR(SEARCH(" ",_xlpm.calc),0)&gt;0,IFERROR(VALUE(LEFT(_xlpm.calc,SEARCH(" ",_xlpm.calc))),"-"),IFERROR(_xlpm.calc,"-")))</f>
        <v>-</v>
      </c>
      <c r="M96" s="155" t="str">
        <f>_xlfn.LET(_xlpm.calc,_xlfn.XLOOKUP($C96,$C:$C,M:M),IF(IFERROR(SEARCH(" ",_xlpm.calc),0)&gt;0,IFERROR(VALUE(LEFT(_xlpm.calc,SEARCH(" ",_xlpm.calc))),"-"),IFERROR(_xlpm.calc,"-")))</f>
        <v>-</v>
      </c>
      <c r="N96" s="53" t="s">
        <v>599</v>
      </c>
      <c r="O96" s="278" t="s">
        <v>569</v>
      </c>
      <c r="P96" s="42"/>
      <c r="Q96" s="75"/>
      <c r="R96" s="76"/>
      <c r="S96" s="64">
        <f t="shared" si="47"/>
        <v>1</v>
      </c>
      <c r="T96" s="42"/>
      <c r="U96" s="42"/>
      <c r="V96" s="42"/>
      <c r="W96" s="42"/>
      <c r="X96" s="42"/>
      <c r="Y96" s="42"/>
      <c r="Z96" s="42"/>
      <c r="AA96" s="42"/>
      <c r="AB96" s="42"/>
      <c r="AC96" s="42"/>
    </row>
    <row r="97" spans="1:29" s="41" customFormat="1" ht="28.8" outlineLevel="1" x14ac:dyDescent="0.25">
      <c r="A97" s="42" t="s">
        <v>13</v>
      </c>
      <c r="B97" s="323"/>
      <c r="C97" s="49" t="s">
        <v>597</v>
      </c>
      <c r="D97" s="195" t="str">
        <f ca="1">_xlfn.LET(_xlpm.denom,D72,_xlpm.calc,ROUND($Q97*_xlpm.denom,0),_xlpm.perc,_xlpm.calc/_xlpm.denom,IFERROR(IF(_xlpm.calc&lt;1000,_xlfn.CONCAT(_xlpm.calc," (",TEXT(_xlpm.perc,"0.0%"),")"),_xlfn.CONCAT(TEXT(_xlpm.calc,"0,000")," (",TEXT(_xlpm.perc,"0.0%"),")")),"-"))</f>
        <v>-</v>
      </c>
      <c r="E97" s="65" t="str">
        <f>_xlfn.LET(_xlpm.denom,E72,_xlpm.calc,ROUND(MAX(0,VALUE(LEFT(E93,SEARCH(" ",E93)))-E96),0),_xlpm.perc,_xlpm.calc/_xlpm.denom,IFERROR(IF(_xlpm.calc&lt;1000,_xlfn.CONCAT(_xlpm.calc," (",TEXT(_xlpm.perc,"0.0%"),")"),_xlfn.CONCAT(TEXT(_xlpm.calc,"0,000")," (",TEXT(_xlpm.perc,"0.0%"),")")),"-"))</f>
        <v>-</v>
      </c>
      <c r="F97" s="56" t="str">
        <f t="shared" ref="F97:M97" si="61">_xlfn.LET(_xlpm.denom,F72,_xlpm.calc,ROUND(MAX(0,VALUE(LEFT(F93,SEARCH(" ",F93)))-F96),0),_xlpm.perc,_xlpm.calc/_xlpm.denom,IFERROR(IF(_xlpm.calc&lt;1000,_xlfn.CONCAT(_xlpm.calc," (",TEXT(_xlpm.perc,"0.0%"),")"),_xlfn.CONCAT(TEXT(_xlpm.calc,"0,000")," (",TEXT(_xlpm.perc,"0.0%"),")")),"-"))</f>
        <v>-</v>
      </c>
      <c r="G97" s="56" t="str">
        <f t="shared" si="61"/>
        <v>-</v>
      </c>
      <c r="H97" s="56" t="str">
        <f t="shared" si="61"/>
        <v>-</v>
      </c>
      <c r="I97" s="56" t="str">
        <f t="shared" si="61"/>
        <v>-</v>
      </c>
      <c r="J97" s="56" t="str">
        <f t="shared" si="61"/>
        <v>-</v>
      </c>
      <c r="K97" s="56" t="str">
        <f t="shared" ref="K97" si="62">_xlfn.LET(_xlpm.denom,K72,_xlpm.calc,ROUND(MAX(0,VALUE(LEFT(K93,SEARCH(" ",K93)))-K96),0),_xlpm.perc,_xlpm.calc/_xlpm.denom,IFERROR(IF(_xlpm.calc&lt;1000,_xlfn.CONCAT(_xlpm.calc," (",TEXT(_xlpm.perc,"0.0%"),")"),_xlfn.CONCAT(TEXT(_xlpm.calc,"0,000")," (",TEXT(_xlpm.perc,"0.0%"),")")),"-"))</f>
        <v>-</v>
      </c>
      <c r="L97" s="56" t="str">
        <f t="shared" si="61"/>
        <v>-</v>
      </c>
      <c r="M97" s="155" t="str">
        <f t="shared" si="61"/>
        <v>-</v>
      </c>
      <c r="N97" s="53" t="s">
        <v>102</v>
      </c>
      <c r="O97" s="278" t="s">
        <v>567</v>
      </c>
      <c r="P97" s="42"/>
      <c r="Q97" s="75" t="str">
        <f t="shared" ref="Q97:Q128" si="63">IF(IFERROR(SEARCH("(",E97),0)=0,"",VALUE(SUBSTITUTE(RIGHT(E97,LEN(E97)-SEARCH("(",E97)),")","")))</f>
        <v/>
      </c>
      <c r="R97" s="76" t="e">
        <f t="shared" ref="R97:R128" si="64">IF(U97="","",SUM(V97:AB97)-U97)</f>
        <v>#VALUE!</v>
      </c>
      <c r="S97" s="64">
        <f t="shared" si="47"/>
        <v>1</v>
      </c>
      <c r="T97" s="42" t="str">
        <f t="shared" ref="T97:T128" ca="1" si="65">IF($S97&lt;&gt;1,"",IF(IFERROR(SEARCH("(",D97),0)=0,D97,VALUE(TRIM(LEFT(D97,SEARCH(" (",D97))))))</f>
        <v>-</v>
      </c>
      <c r="U97" s="42" t="str">
        <f t="shared" ref="U97:U128" si="66">IF($S97&lt;&gt;1,"",IF(IFERROR(SEARCH("(",E97),0)=0,E97,VALUE(TRIM(LEFT(E97,SEARCH(" (",E97))))))</f>
        <v>-</v>
      </c>
      <c r="V97" s="42" t="str">
        <f t="shared" ref="V97:V128" si="67">IF($S97&lt;&gt;1,"",IF(IFERROR(SEARCH("(",F97),0)=0,F97,VALUE(TRIM(LEFT(F97,SEARCH(" (",F97))))))</f>
        <v>-</v>
      </c>
      <c r="W97" s="42" t="str">
        <f t="shared" ref="W97:W128" si="68">IF($S97&lt;&gt;1,"",IF(IFERROR(SEARCH("(",G97),0)=0,G97,VALUE(TRIM(LEFT(G97,SEARCH(" (",G97))))))</f>
        <v>-</v>
      </c>
      <c r="X97" s="42" t="str">
        <f t="shared" ref="X97:X128" si="69">IF($S97&lt;&gt;1,"",IF(IFERROR(SEARCH("(",H97),0)=0,H97,VALUE(TRIM(LEFT(H97,SEARCH(" (",H97))))))</f>
        <v>-</v>
      </c>
      <c r="Y97" s="42" t="str">
        <f t="shared" ref="Y97:Y128" si="70">IF($S97&lt;&gt;1,"",IF(IFERROR(SEARCH("(",I97),0)=0,I97,VALUE(TRIM(LEFT(I97,SEARCH(" (",I97))))))</f>
        <v>-</v>
      </c>
      <c r="Z97" s="42" t="str">
        <f t="shared" ref="Z97:Z128" si="71">IF($S97&lt;&gt;1,"",IF(IFERROR(SEARCH("(",J97),0)=0,J97,VALUE(TRIM(LEFT(J97,SEARCH(" (",J97))))))</f>
        <v>-</v>
      </c>
      <c r="AA97" s="42" t="str">
        <f t="shared" ref="AA97:AA128" si="72">IF($S97&lt;&gt;1,"",IF(IFERROR(SEARCH("(",K97),0)=0,K97,VALUE(TRIM(LEFT(K97,SEARCH(" (",K97))))))</f>
        <v>-</v>
      </c>
      <c r="AB97" s="42" t="str">
        <f t="shared" ref="AB97:AB128" si="73">IF($S97&lt;&gt;1,"",IF(IFERROR(SEARCH("(",L97),0)=0,L97,VALUE(TRIM(LEFT(L97,SEARCH(" (",L97))))))</f>
        <v>-</v>
      </c>
      <c r="AC97" s="42" t="str">
        <f t="shared" ref="AC97:AC128" si="74">IF($S97&lt;&gt;1,"",IF(IFERROR(SEARCH("(",M97),0)=0,M97,VALUE(TRIM(LEFT(M97,SEARCH(" (",M97))))))</f>
        <v>-</v>
      </c>
    </row>
    <row r="98" spans="1:29" s="41" customFormat="1" ht="28.8" outlineLevel="1" x14ac:dyDescent="0.25">
      <c r="A98" s="42" t="s">
        <v>13</v>
      </c>
      <c r="B98" s="323"/>
      <c r="C98" s="49" t="s">
        <v>21</v>
      </c>
      <c r="D98" s="195" t="str">
        <f t="shared" ref="D98:K98" ca="1" si="75">_xlfn.LET(_xlpm.calc,_xlfn.XLOOKUP($C98,$C:$C,D:D),IF(IFERROR(SEARCH(" ",_xlpm.calc),0)&gt;0,IFERROR(VALUE(LEFT(_xlpm.calc,SEARCH(" ",_xlpm.calc))),"-"),IFERROR(_xlpm.calc,"-")))</f>
        <v>-</v>
      </c>
      <c r="E98" s="65">
        <f t="shared" si="75"/>
        <v>0</v>
      </c>
      <c r="F98" s="56">
        <f t="shared" si="75"/>
        <v>0</v>
      </c>
      <c r="G98" s="56">
        <f t="shared" si="75"/>
        <v>0</v>
      </c>
      <c r="H98" s="56">
        <f t="shared" si="75"/>
        <v>0</v>
      </c>
      <c r="I98" s="56">
        <f t="shared" si="75"/>
        <v>0</v>
      </c>
      <c r="J98" s="56">
        <f t="shared" si="75"/>
        <v>0</v>
      </c>
      <c r="K98" s="56">
        <f t="shared" si="75"/>
        <v>0</v>
      </c>
      <c r="L98" s="56">
        <f>_xlfn.LET(_xlpm.calc,_xlfn.XLOOKUP($C98,$C:$C,L:L),IF(IFERROR(SEARCH(" ",_xlpm.calc),0)&gt;0,IFERROR(VALUE(LEFT(_xlpm.calc,SEARCH(" ",_xlpm.calc))),"-"),IFERROR(_xlpm.calc,"-")))</f>
        <v>0</v>
      </c>
      <c r="M98" s="155">
        <f>_xlfn.LET(_xlpm.calc,_xlfn.XLOOKUP($C98,$C:$C,M:M),IF(IFERROR(SEARCH(" ",_xlpm.calc),0)&gt;0,IFERROR(VALUE(LEFT(_xlpm.calc,SEARCH(" ",_xlpm.calc))),"-"),IFERROR(_xlpm.calc,"-")))</f>
        <v>0</v>
      </c>
      <c r="N98" s="53"/>
      <c r="O98" s="74"/>
      <c r="P98" s="42"/>
      <c r="Q98" s="75" t="str">
        <f t="shared" si="63"/>
        <v/>
      </c>
      <c r="R98" s="76">
        <f t="shared" si="64"/>
        <v>0</v>
      </c>
      <c r="S98" s="64">
        <f t="shared" si="47"/>
        <v>1</v>
      </c>
      <c r="T98" s="42" t="str">
        <f t="shared" ca="1" si="65"/>
        <v>-</v>
      </c>
      <c r="U98" s="42">
        <f t="shared" si="66"/>
        <v>0</v>
      </c>
      <c r="V98" s="42">
        <f t="shared" si="67"/>
        <v>0</v>
      </c>
      <c r="W98" s="42">
        <f t="shared" si="68"/>
        <v>0</v>
      </c>
      <c r="X98" s="42">
        <f t="shared" si="69"/>
        <v>0</v>
      </c>
      <c r="Y98" s="42">
        <f t="shared" si="70"/>
        <v>0</v>
      </c>
      <c r="Z98" s="42">
        <f t="shared" si="71"/>
        <v>0</v>
      </c>
      <c r="AA98" s="42">
        <f t="shared" si="72"/>
        <v>0</v>
      </c>
      <c r="AB98" s="42">
        <f t="shared" si="73"/>
        <v>0</v>
      </c>
      <c r="AC98" s="42">
        <f t="shared" si="74"/>
        <v>0</v>
      </c>
    </row>
    <row r="99" spans="1:29" s="41" customFormat="1" ht="28.8" outlineLevel="1" x14ac:dyDescent="0.25">
      <c r="A99" s="42" t="s">
        <v>13</v>
      </c>
      <c r="B99" s="323"/>
      <c r="C99" s="49" t="s">
        <v>27</v>
      </c>
      <c r="D99" s="195" t="str">
        <f ca="1">_xlfn.LET(_xlpm.denom,D98,_xlpm.calc,ROUND($Q99*_xlpm.denom,0),_xlpm.perc,_xlpm.calc/_xlpm.denom,IFERROR(IF(_xlpm.calc&lt;1000,_xlfn.CONCAT(_xlpm.calc," (",TEXT(_xlpm.perc,"0.0%"),")"),_xlfn.CONCAT(TEXT(_xlpm.calc,"0,000")," (",TEXT(_xlpm.perc,"0.0%"),")")),"-"))</f>
        <v>-</v>
      </c>
      <c r="E99" s="65" t="str" cm="1">
        <f t="array" ref="E99">_xlfn.LET(_xlpm.denom,E98,_xlpm.calc,IFERROR(ROWS(_xlfn.UNIQUE(_xlfn._xlws.FILTER(ID_Period_End,(Period_End &gt;= E$4) * (Period_End &lt;= E$5) * (IFERROR(SEARCH(E$1, Key_Gps),0)&gt;0) * (mpv_shift &gt; 0)))),0),_xlpm.perc,_xlpm.calc/_xlpm.denom,IFERROR(IF(_xlpm.calc&lt;1000,_xlfn.CONCAT(_xlpm.calc," (",TEXT(_xlpm.perc,"0.0%"),")"),_xlfn.CONCAT(TEXT(_xlpm.calc,"0,000")," (",TEXT(_xlpm.perc,"0.0%"),")")),"-"))</f>
        <v>-</v>
      </c>
      <c r="F99" s="56" t="str" cm="1">
        <f t="array" ref="F99">_xlfn.LET(_xlpm.denom,F98,_xlpm.calc,IFERROR(ROWS(_xlfn.UNIQUE(_xlfn._xlws.FILTER(ID_Period_End,(Period_End &gt;= F$4) * (Period_End &lt;= F$5) * (IFERROR(SEARCH(F$1, Key_Gps),0)&gt;0) * (mpv_shift &gt; 0)))),0),_xlpm.perc,_xlpm.calc/_xlpm.denom,IFERROR(IF(_xlpm.calc&lt;1000,_xlfn.CONCAT(_xlpm.calc," (",TEXT(_xlpm.perc,"0.0%"),")"),_xlfn.CONCAT(TEXT(_xlpm.calc,"0,000")," (",TEXT(_xlpm.perc,"0.0%"),")")),"-"))</f>
        <v>-</v>
      </c>
      <c r="G99" s="56" t="str" cm="1">
        <f t="array" ref="G99">_xlfn.LET(_xlpm.denom,G98,_xlpm.calc,IFERROR(ROWS(_xlfn.UNIQUE(_xlfn._xlws.FILTER(ID_Period_End,(Period_End &gt;= G$4) * (Period_End &lt;= G$5) * (IFERROR(SEARCH(G$1, Key_Gps),0)&gt;0) * (mpv_shift &gt; 0)))),0),_xlpm.perc,_xlpm.calc/_xlpm.denom,IFERROR(IF(_xlpm.calc&lt;1000,_xlfn.CONCAT(_xlpm.calc," (",TEXT(_xlpm.perc,"0.0%"),")"),_xlfn.CONCAT(TEXT(_xlpm.calc,"0,000")," (",TEXT(_xlpm.perc,"0.0%"),")")),"-"))</f>
        <v>-</v>
      </c>
      <c r="H99" s="56" t="str" cm="1">
        <f t="array" ref="H99">_xlfn.LET(_xlpm.denom,H98,_xlpm.calc,IFERROR(ROWS(_xlfn.UNIQUE(_xlfn._xlws.FILTER(ID_Period_End,(Period_End &gt;= H$4) * (Period_End &lt;= H$5) * (IFERROR(SEARCH(H$1, Key_Gps),0)&gt;0) * (mpv_shift &gt; 0)))),0),_xlpm.perc,_xlpm.calc/_xlpm.denom,IFERROR(IF(_xlpm.calc&lt;1000,_xlfn.CONCAT(_xlpm.calc," (",TEXT(_xlpm.perc,"0.0%"),")"),_xlfn.CONCAT(TEXT(_xlpm.calc,"0,000")," (",TEXT(_xlpm.perc,"0.0%"),")")),"-"))</f>
        <v>-</v>
      </c>
      <c r="I99" s="56" t="str" cm="1">
        <f t="array" ref="I99">_xlfn.LET(_xlpm.denom,I98,_xlpm.calc,IFERROR(ROWS(_xlfn.UNIQUE(_xlfn._xlws.FILTER(ID_Period_End,(Period_End &gt;= I$4) * (Period_End &lt;= I$5) * (IFERROR(SEARCH(I$1, Key_Gps),0)&gt;0) * (mpv_shift &gt; 0)))),0),_xlpm.perc,_xlpm.calc/_xlpm.denom,IFERROR(IF(_xlpm.calc&lt;1000,_xlfn.CONCAT(_xlpm.calc," (",TEXT(_xlpm.perc,"0.0%"),")"),_xlfn.CONCAT(TEXT(_xlpm.calc,"0,000")," (",TEXT(_xlpm.perc,"0.0%"),")")),"-"))</f>
        <v>-</v>
      </c>
      <c r="J99" s="56" t="str" cm="1">
        <f t="array" ref="J99">_xlfn.LET(_xlpm.denom,J98,_xlpm.calc,IFERROR(ROWS(_xlfn.UNIQUE(_xlfn._xlws.FILTER(ID_Period_End,(Period_End &gt;= J$4) * (Period_End &lt;= J$5) * (IFERROR(SEARCH(J$1, Key_Gps),0)&gt;0) * (mpv_shift &gt; 0)))),0),_xlpm.perc,_xlpm.calc/_xlpm.denom,IFERROR(IF(_xlpm.calc&lt;1000,_xlfn.CONCAT(_xlpm.calc," (",TEXT(_xlpm.perc,"0.0%"),")"),_xlfn.CONCAT(TEXT(_xlpm.calc,"0,000")," (",TEXT(_xlpm.perc,"0.0%"),")")),"-"))</f>
        <v>-</v>
      </c>
      <c r="K99" s="56" t="str" cm="1">
        <f t="array" ref="K99">_xlfn.LET(_xlpm.denom,K98,_xlpm.calc,IFERROR(ROWS(_xlfn.UNIQUE(_xlfn._xlws.FILTER(ID_Period_End,(Period_End &gt;= K$4) * (Period_End &lt;= K$5) * (IFERROR(SEARCH(K$1, Key_Gps),0)&gt;0) * (mpv_shift &gt; 0)))),0),_xlpm.perc,_xlpm.calc/_xlpm.denom,IFERROR(IF(_xlpm.calc&lt;1000,_xlfn.CONCAT(_xlpm.calc," (",TEXT(_xlpm.perc,"0.0%"),")"),_xlfn.CONCAT(TEXT(_xlpm.calc,"0,000")," (",TEXT(_xlpm.perc,"0.0%"),")")),"-"))</f>
        <v>-</v>
      </c>
      <c r="L99" s="56" t="str" cm="1">
        <f t="array" ref="L99">_xlfn.LET(_xlpm.denom,L98,_xlpm.calc,IFERROR(ROWS(_xlfn.UNIQUE(_xlfn._xlws.FILTER(ID_Period_End,(Period_End &gt;= L$4) * (Period_End &lt;= L$5) * (IFERROR(SEARCH(L$1, Key_Gps),0)&gt;0) * (mpv_shift &gt; 0)))),0),_xlpm.perc,_xlpm.calc/_xlpm.denom,IFERROR(IF(_xlpm.calc&lt;1000,_xlfn.CONCAT(_xlpm.calc," (",TEXT(_xlpm.perc,"0.0%"),")"),_xlfn.CONCAT(TEXT(_xlpm.calc,"0,000")," (",TEXT(_xlpm.perc,"0.0%"),")")),"-"))</f>
        <v>-</v>
      </c>
      <c r="M99" s="155" t="str" cm="1">
        <f t="array" ref="M99">_xlfn.LET(_xlpm.denom,M98,_xlpm.calc,IFERROR(ROWS(_xlfn.UNIQUE(_xlfn._xlws.FILTER(ID_Period_End,(Period_End &gt;= M$4) * (Period_End &lt;= M$5) * (IFERROR(SEARCH(M$1, Key_Gps),0)&gt;0) * (mpv_shift &gt; 0)))),0),_xlpm.perc,_xlpm.calc/_xlpm.denom,IFERROR(IF(_xlpm.calc&lt;1000,_xlfn.CONCAT(_xlpm.calc," (",TEXT(_xlpm.perc,"0.0%"),")"),_xlfn.CONCAT(TEXT(_xlpm.calc,"0,000")," (",TEXT(_xlpm.perc,"0.0%"),")")),"-"))</f>
        <v>-</v>
      </c>
      <c r="N99" s="53" t="s">
        <v>80</v>
      </c>
      <c r="O99" s="74"/>
      <c r="P99" s="42"/>
      <c r="Q99" s="75" t="str">
        <f t="shared" si="63"/>
        <v/>
      </c>
      <c r="R99" s="76" t="e">
        <f t="shared" si="64"/>
        <v>#VALUE!</v>
      </c>
      <c r="S99" s="64">
        <f t="shared" si="47"/>
        <v>1</v>
      </c>
      <c r="T99" s="42" t="str">
        <f t="shared" ca="1" si="65"/>
        <v>-</v>
      </c>
      <c r="U99" s="42" t="str">
        <f t="shared" si="66"/>
        <v>-</v>
      </c>
      <c r="V99" s="42" t="str">
        <f t="shared" si="67"/>
        <v>-</v>
      </c>
      <c r="W99" s="42" t="str">
        <f t="shared" si="68"/>
        <v>-</v>
      </c>
      <c r="X99" s="42" t="str">
        <f t="shared" si="69"/>
        <v>-</v>
      </c>
      <c r="Y99" s="42" t="str">
        <f t="shared" si="70"/>
        <v>-</v>
      </c>
      <c r="Z99" s="42" t="str">
        <f t="shared" si="71"/>
        <v>-</v>
      </c>
      <c r="AA99" s="42" t="str">
        <f t="shared" si="72"/>
        <v>-</v>
      </c>
      <c r="AB99" s="42" t="str">
        <f t="shared" si="73"/>
        <v>-</v>
      </c>
      <c r="AC99" s="42" t="str">
        <f t="shared" si="74"/>
        <v>-</v>
      </c>
    </row>
    <row r="100" spans="1:29" s="41" customFormat="1" ht="28.8" outlineLevel="1" x14ac:dyDescent="0.25">
      <c r="A100" s="42" t="s">
        <v>13</v>
      </c>
      <c r="B100" s="323"/>
      <c r="C100" s="49" t="s">
        <v>109</v>
      </c>
      <c r="D100" s="195" t="str">
        <f ca="1">_xlfn.LET(_xlpm.denom,D98,_xlpm.calc,ROUND($Q100*_xlpm.denom,0),_xlpm.perc,_xlpm.calc/_xlpm.denom,IFERROR(IF(_xlpm.calc&lt;1000,_xlfn.CONCAT(_xlpm.calc," (",TEXT(_xlpm.perc,"0.0%"),")"),_xlfn.CONCAT(TEXT(_xlpm.calc,"0,000")," (",TEXT(_xlpm.perc,"0.0%"),")")),"-"))</f>
        <v>-</v>
      </c>
      <c r="E100" s="65" t="str" cm="1">
        <f t="array" ref="E100">_xlfn.LET(_xlpm.denom,E98,_xlpm.calc,IFERROR(ROWS(_xlfn.UNIQUE(_xlfn._xlws.FILTER(ID_Period_End,(Period_End &gt;= E$4) * (Period_End &lt;= E$5) * (IFERROR(SEARCH(E$1, Key_Gps),0)&gt;0) * (mpv_per_pp_less_prems &gt; 0)))),0),_xlpm.perc,_xlpm.calc/_xlpm.denom,IFERROR(IF(_xlpm.calc&lt;1000,_xlfn.CONCAT(_xlpm.calc," (",TEXT(_xlpm.perc,"0.0%"),")"),_xlfn.CONCAT(TEXT(_xlpm.calc,"0,000")," (",TEXT(_xlpm.perc,"0.0%"),")")),"-"))</f>
        <v>-</v>
      </c>
      <c r="F100" s="56" t="str" cm="1">
        <f t="array" ref="F100">_xlfn.LET(_xlpm.denom,F98,_xlpm.calc,IFERROR(ROWS(_xlfn.UNIQUE(_xlfn._xlws.FILTER(ID_Period_End,(Period_End &gt;= F$4) * (Period_End &lt;= F$5) * (IFERROR(SEARCH(F$1, Key_Gps),0)&gt;0) * (mpv_per_pp_less_prems &gt; 0)))),0),_xlpm.perc,_xlpm.calc/_xlpm.denom,IFERROR(IF(_xlpm.calc&lt;1000,_xlfn.CONCAT(_xlpm.calc," (",TEXT(_xlpm.perc,"0.0%"),")"),_xlfn.CONCAT(TEXT(_xlpm.calc,"0,000")," (",TEXT(_xlpm.perc,"0.0%"),")")),"-"))</f>
        <v>-</v>
      </c>
      <c r="G100" s="56" t="str" cm="1">
        <f t="array" ref="G100">_xlfn.LET(_xlpm.denom,G98,_xlpm.calc,IFERROR(ROWS(_xlfn.UNIQUE(_xlfn._xlws.FILTER(ID_Period_End,(Period_End &gt;= G$4) * (Period_End &lt;= G$5) * (IFERROR(SEARCH(G$1, Key_Gps),0)&gt;0) * (mpv_per_pp_less_prems &gt; 0)))),0),_xlpm.perc,_xlpm.calc/_xlpm.denom,IFERROR(IF(_xlpm.calc&lt;1000,_xlfn.CONCAT(_xlpm.calc," (",TEXT(_xlpm.perc,"0.0%"),")"),_xlfn.CONCAT(TEXT(_xlpm.calc,"0,000")," (",TEXT(_xlpm.perc,"0.0%"),")")),"-"))</f>
        <v>-</v>
      </c>
      <c r="H100" s="56" t="str" cm="1">
        <f t="array" ref="H100">_xlfn.LET(_xlpm.denom,H98,_xlpm.calc,IFERROR(ROWS(_xlfn.UNIQUE(_xlfn._xlws.FILTER(ID_Period_End,(Period_End &gt;= H$4) * (Period_End &lt;= H$5) * (IFERROR(SEARCH(H$1, Key_Gps),0)&gt;0) * (mpv_per_pp_less_prems &gt; 0)))),0),_xlpm.perc,_xlpm.calc/_xlpm.denom,IFERROR(IF(_xlpm.calc&lt;1000,_xlfn.CONCAT(_xlpm.calc," (",TEXT(_xlpm.perc,"0.0%"),")"),_xlfn.CONCAT(TEXT(_xlpm.calc,"0,000")," (",TEXT(_xlpm.perc,"0.0%"),")")),"-"))</f>
        <v>-</v>
      </c>
      <c r="I100" s="56" t="str" cm="1">
        <f t="array" ref="I100">_xlfn.LET(_xlpm.denom,I98,_xlpm.calc,IFERROR(ROWS(_xlfn.UNIQUE(_xlfn._xlws.FILTER(ID_Period_End,(Period_End &gt;= I$4) * (Period_End &lt;= I$5) * (IFERROR(SEARCH(I$1, Key_Gps),0)&gt;0) * (mpv_per_pp_less_prems &gt; 0)))),0),_xlpm.perc,_xlpm.calc/_xlpm.denom,IFERROR(IF(_xlpm.calc&lt;1000,_xlfn.CONCAT(_xlpm.calc," (",TEXT(_xlpm.perc,"0.0%"),")"),_xlfn.CONCAT(TEXT(_xlpm.calc,"0,000")," (",TEXT(_xlpm.perc,"0.0%"),")")),"-"))</f>
        <v>-</v>
      </c>
      <c r="J100" s="56" t="str" cm="1">
        <f t="array" ref="J100">_xlfn.LET(_xlpm.denom,J98,_xlpm.calc,IFERROR(ROWS(_xlfn.UNIQUE(_xlfn._xlws.FILTER(ID_Period_End,(Period_End &gt;= J$4) * (Period_End &lt;= J$5) * (IFERROR(SEARCH(J$1, Key_Gps),0)&gt;0) * (mpv_per_pp_less_prems &gt; 0)))),0),_xlpm.perc,_xlpm.calc/_xlpm.denom,IFERROR(IF(_xlpm.calc&lt;1000,_xlfn.CONCAT(_xlpm.calc," (",TEXT(_xlpm.perc,"0.0%"),")"),_xlfn.CONCAT(TEXT(_xlpm.calc,"0,000")," (",TEXT(_xlpm.perc,"0.0%"),")")),"-"))</f>
        <v>-</v>
      </c>
      <c r="K100" s="56" t="str" cm="1">
        <f t="array" ref="K100">_xlfn.LET(_xlpm.denom,K98,_xlpm.calc,IFERROR(ROWS(_xlfn.UNIQUE(_xlfn._xlws.FILTER(ID_Period_End,(Period_End &gt;= K$4) * (Period_End &lt;= K$5) * (IFERROR(SEARCH(K$1, Key_Gps),0)&gt;0) * (mpv_per_pp_less_prems &gt; 0)))),0),_xlpm.perc,_xlpm.calc/_xlpm.denom,IFERROR(IF(_xlpm.calc&lt;1000,_xlfn.CONCAT(_xlpm.calc," (",TEXT(_xlpm.perc,"0.0%"),")"),_xlfn.CONCAT(TEXT(_xlpm.calc,"0,000")," (",TEXT(_xlpm.perc,"0.0%"),")")),"-"))</f>
        <v>-</v>
      </c>
      <c r="L100" s="56" t="str" cm="1">
        <f t="array" ref="L100">_xlfn.LET(_xlpm.denom,L98,_xlpm.calc,IFERROR(ROWS(_xlfn.UNIQUE(_xlfn._xlws.FILTER(ID_Period_End,(Period_End &gt;= L$4) * (Period_End &lt;= L$5) * (IFERROR(SEARCH(L$1, Key_Gps),0)&gt;0) * (mpv_per_pp_less_prems &gt; 0)))),0),_xlpm.perc,_xlpm.calc/_xlpm.denom,IFERROR(IF(_xlpm.calc&lt;1000,_xlfn.CONCAT(_xlpm.calc," (",TEXT(_xlpm.perc,"0.0%"),")"),_xlfn.CONCAT(TEXT(_xlpm.calc,"0,000")," (",TEXT(_xlpm.perc,"0.0%"),")")),"-"))</f>
        <v>-</v>
      </c>
      <c r="M100" s="155" t="str" cm="1">
        <f t="array" ref="M100">_xlfn.LET(_xlpm.denom,M98,_xlpm.calc,IFERROR(ROWS(_xlfn.UNIQUE(_xlfn._xlws.FILTER(ID_Period_End,(Period_End &gt;= M$4) * (Period_End &lt;= M$5) * (IFERROR(SEARCH(M$1, Key_Gps),0)&gt;0) * (mpv_per_pp_less_prems &gt; 0)))),0),_xlpm.perc,_xlpm.calc/_xlpm.denom,IFERROR(IF(_xlpm.calc&lt;1000,_xlfn.CONCAT(_xlpm.calc," (",TEXT(_xlpm.perc,"0.0%"),")"),_xlfn.CONCAT(TEXT(_xlpm.calc,"0,000")," (",TEXT(_xlpm.perc,"0.0%"),")")),"-"))</f>
        <v>-</v>
      </c>
      <c r="N100" s="53" t="s">
        <v>80</v>
      </c>
      <c r="O100" s="278" t="s">
        <v>567</v>
      </c>
      <c r="P100" s="42"/>
      <c r="Q100" s="75" t="str">
        <f t="shared" si="63"/>
        <v/>
      </c>
      <c r="R100" s="76" t="e">
        <f t="shared" si="64"/>
        <v>#VALUE!</v>
      </c>
      <c r="S100" s="64">
        <f t="shared" si="47"/>
        <v>1</v>
      </c>
      <c r="T100" s="42" t="str">
        <f t="shared" ca="1" si="65"/>
        <v>-</v>
      </c>
      <c r="U100" s="42" t="str">
        <f t="shared" si="66"/>
        <v>-</v>
      </c>
      <c r="V100" s="42" t="str">
        <f t="shared" si="67"/>
        <v>-</v>
      </c>
      <c r="W100" s="42" t="str">
        <f t="shared" si="68"/>
        <v>-</v>
      </c>
      <c r="X100" s="42" t="str">
        <f t="shared" si="69"/>
        <v>-</v>
      </c>
      <c r="Y100" s="42" t="str">
        <f t="shared" si="70"/>
        <v>-</v>
      </c>
      <c r="Z100" s="42" t="str">
        <f t="shared" si="71"/>
        <v>-</v>
      </c>
      <c r="AA100" s="42" t="str">
        <f t="shared" si="72"/>
        <v>-</v>
      </c>
      <c r="AB100" s="42" t="str">
        <f t="shared" si="73"/>
        <v>-</v>
      </c>
      <c r="AC100" s="42" t="str">
        <f t="shared" si="74"/>
        <v>-</v>
      </c>
    </row>
    <row r="101" spans="1:29" s="41" customFormat="1" ht="28.8" outlineLevel="1" x14ac:dyDescent="0.25">
      <c r="A101" s="42" t="s">
        <v>13</v>
      </c>
      <c r="B101" s="323"/>
      <c r="C101" s="49" t="s">
        <v>17</v>
      </c>
      <c r="D101" s="195">
        <f t="shared" ref="D101:K101" si="76">_xlfn.LET(_xlpm.calc,_xlfn.XLOOKUP($C101,$C:$C,D:D),IF(IFERROR(SEARCH(" ",_xlpm.calc),0)&gt;0,IFERROR(VALUE(LEFT(_xlpm.calc,SEARCH(" ",_xlpm.calc))),"-"),IFERROR(_xlpm.calc,"-")))</f>
        <v>0</v>
      </c>
      <c r="E101" s="65">
        <f t="shared" si="76"/>
        <v>0</v>
      </c>
      <c r="F101" s="56">
        <f t="shared" si="76"/>
        <v>0</v>
      </c>
      <c r="G101" s="56">
        <f t="shared" si="76"/>
        <v>0</v>
      </c>
      <c r="H101" s="56">
        <f t="shared" si="76"/>
        <v>0</v>
      </c>
      <c r="I101" s="56">
        <f t="shared" si="76"/>
        <v>0</v>
      </c>
      <c r="J101" s="56">
        <f t="shared" si="76"/>
        <v>0</v>
      </c>
      <c r="K101" s="56">
        <f t="shared" si="76"/>
        <v>0</v>
      </c>
      <c r="L101" s="56">
        <f>_xlfn.LET(_xlpm.calc,_xlfn.XLOOKUP($C101,$C:$C,L:L),IF(IFERROR(SEARCH(" ",_xlpm.calc),0)&gt;0,IFERROR(VALUE(LEFT(_xlpm.calc,SEARCH(" ",_xlpm.calc))),"-"),IFERROR(_xlpm.calc,"-")))</f>
        <v>0</v>
      </c>
      <c r="M101" s="155">
        <f>_xlfn.LET(_xlpm.calc,_xlfn.XLOOKUP($C101,$C:$C,M:M),IF(IFERROR(SEARCH(" ",_xlpm.calc),0)&gt;0,IFERROR(VALUE(LEFT(_xlpm.calc,SEARCH(" ",_xlpm.calc))),"-"),IFERROR(_xlpm.calc,"-")))</f>
        <v>0</v>
      </c>
      <c r="N101" s="53"/>
      <c r="O101" s="74"/>
      <c r="P101" s="42"/>
      <c r="Q101" s="75" t="str">
        <f t="shared" si="63"/>
        <v/>
      </c>
      <c r="R101" s="76" t="str">
        <f t="shared" si="64"/>
        <v/>
      </c>
      <c r="S101" s="64" t="str">
        <f t="shared" si="47"/>
        <v/>
      </c>
      <c r="T101" s="42" t="str">
        <f t="shared" si="65"/>
        <v/>
      </c>
      <c r="U101" s="42" t="str">
        <f t="shared" si="66"/>
        <v/>
      </c>
      <c r="V101" s="42" t="str">
        <f t="shared" si="67"/>
        <v/>
      </c>
      <c r="W101" s="42" t="str">
        <f t="shared" si="68"/>
        <v/>
      </c>
      <c r="X101" s="42" t="str">
        <f t="shared" si="69"/>
        <v/>
      </c>
      <c r="Y101" s="42" t="str">
        <f t="shared" si="70"/>
        <v/>
      </c>
      <c r="Z101" s="42" t="str">
        <f t="shared" si="71"/>
        <v/>
      </c>
      <c r="AA101" s="42" t="str">
        <f t="shared" si="72"/>
        <v/>
      </c>
      <c r="AB101" s="42" t="str">
        <f t="shared" si="73"/>
        <v/>
      </c>
      <c r="AC101" s="42" t="str">
        <f t="shared" si="74"/>
        <v/>
      </c>
    </row>
    <row r="102" spans="1:29" s="41" customFormat="1" ht="28.8" outlineLevel="1" x14ac:dyDescent="0.25">
      <c r="A102" s="42" t="s">
        <v>13</v>
      </c>
      <c r="B102" s="323"/>
      <c r="C102" s="49" t="s">
        <v>23</v>
      </c>
      <c r="D102" s="195" t="str">
        <f>_xlfn.LET(_xlpm.denom,D101,_xlpm.calc,ROUND($Q102*_xlpm.denom,0),_xlpm.perc,_xlpm.calc/_xlpm.denom,IFERROR(IF(_xlpm.calc&lt;1000,_xlfn.CONCAT(_xlpm.calc," (",TEXT(_xlpm.perc,"0.0%"),")"),_xlfn.CONCAT(TEXT(_xlpm.calc,"0,000")," (",TEXT(_xlpm.perc,"0.0%"),")")),"-"))</f>
        <v>-</v>
      </c>
      <c r="E102" s="65" t="str" cm="1">
        <f t="array" ref="E102">_xlfn.LET(_xlpm.denom,E101,_xlpm.calc,IFERROR(ROWS(_xlfn.UNIQUE(_xlfn._xlws.FILTER(ID,(Period_End &gt;= E$4) * (Period_End &lt;= E$5) * (IFERROR(SEARCH(E$1, Key_Gps),0)&gt;0) * (mpv_shift &gt; 0)))),0),_xlpm.perc,_xlpm.calc/_xlpm.denom,IFERROR(IF(_xlpm.calc&lt;1000,_xlfn.CONCAT(_xlpm.calc," (",TEXT(_xlpm.perc,"0.0%"),")"),_xlfn.CONCAT(TEXT(_xlpm.calc,"0,000")," (",TEXT(_xlpm.perc,"0.0%"),")")),"-"))</f>
        <v>-</v>
      </c>
      <c r="F102" s="56" t="str" cm="1">
        <f t="array" ref="F102">_xlfn.LET(_xlpm.denom,F101,_xlpm.calc,IFERROR(ROWS(_xlfn.UNIQUE(_xlfn._xlws.FILTER(ID,(Period_End &gt;= F$4) * (Period_End &lt;= F$5) * (IFERROR(SEARCH(F$1, Key_Gps),0)&gt;0) * (mpv_shift &gt; 0)))),0),_xlpm.perc,_xlpm.calc/_xlpm.denom,IFERROR(IF(_xlpm.calc&lt;1000,_xlfn.CONCAT(_xlpm.calc," (",TEXT(_xlpm.perc,"0.0%"),")"),_xlfn.CONCAT(TEXT(_xlpm.calc,"0,000")," (",TEXT(_xlpm.perc,"0.0%"),")")),"-"))</f>
        <v>-</v>
      </c>
      <c r="G102" s="56" t="str" cm="1">
        <f t="array" ref="G102">_xlfn.LET(_xlpm.denom,G101,_xlpm.calc,IFERROR(ROWS(_xlfn.UNIQUE(_xlfn._xlws.FILTER(ID,(Period_End &gt;= G$4) * (Period_End &lt;= G$5) * (IFERROR(SEARCH(G$1, Key_Gps),0)&gt;0) * (mpv_shift &gt; 0)))),0),_xlpm.perc,_xlpm.calc/_xlpm.denom,IFERROR(IF(_xlpm.calc&lt;1000,_xlfn.CONCAT(_xlpm.calc," (",TEXT(_xlpm.perc,"0.0%"),")"),_xlfn.CONCAT(TEXT(_xlpm.calc,"0,000")," (",TEXT(_xlpm.perc,"0.0%"),")")),"-"))</f>
        <v>-</v>
      </c>
      <c r="H102" s="56" t="str" cm="1">
        <f t="array" ref="H102">_xlfn.LET(_xlpm.denom,H101,_xlpm.calc,IFERROR(ROWS(_xlfn.UNIQUE(_xlfn._xlws.FILTER(ID,(Period_End &gt;= H$4) * (Period_End &lt;= H$5) * (IFERROR(SEARCH(H$1, Key_Gps),0)&gt;0) * (mpv_shift &gt; 0)))),0),_xlpm.perc,_xlpm.calc/_xlpm.denom,IFERROR(IF(_xlpm.calc&lt;1000,_xlfn.CONCAT(_xlpm.calc," (",TEXT(_xlpm.perc,"0.0%"),")"),_xlfn.CONCAT(TEXT(_xlpm.calc,"0,000")," (",TEXT(_xlpm.perc,"0.0%"),")")),"-"))</f>
        <v>-</v>
      </c>
      <c r="I102" s="56" t="str" cm="1">
        <f t="array" ref="I102">_xlfn.LET(_xlpm.denom,I101,_xlpm.calc,IFERROR(ROWS(_xlfn.UNIQUE(_xlfn._xlws.FILTER(ID,(Period_End &gt;= I$4) * (Period_End &lt;= I$5) * (IFERROR(SEARCH(I$1, Key_Gps),0)&gt;0) * (mpv_shift &gt; 0)))),0),_xlpm.perc,_xlpm.calc/_xlpm.denom,IFERROR(IF(_xlpm.calc&lt;1000,_xlfn.CONCAT(_xlpm.calc," (",TEXT(_xlpm.perc,"0.0%"),")"),_xlfn.CONCAT(TEXT(_xlpm.calc,"0,000")," (",TEXT(_xlpm.perc,"0.0%"),")")),"-"))</f>
        <v>-</v>
      </c>
      <c r="J102" s="56" t="str" cm="1">
        <f t="array" ref="J102">_xlfn.LET(_xlpm.denom,J101,_xlpm.calc,IFERROR(ROWS(_xlfn.UNIQUE(_xlfn._xlws.FILTER(ID,(Period_End &gt;= J$4) * (Period_End &lt;= J$5) * (IFERROR(SEARCH(J$1, Key_Gps),0)&gt;0) * (mpv_shift &gt; 0)))),0),_xlpm.perc,_xlpm.calc/_xlpm.denom,IFERROR(IF(_xlpm.calc&lt;1000,_xlfn.CONCAT(_xlpm.calc," (",TEXT(_xlpm.perc,"0.0%"),")"),_xlfn.CONCAT(TEXT(_xlpm.calc,"0,000")," (",TEXT(_xlpm.perc,"0.0%"),")")),"-"))</f>
        <v>-</v>
      </c>
      <c r="K102" s="56" t="str" cm="1">
        <f t="array" ref="K102">_xlfn.LET(_xlpm.denom,K101,_xlpm.calc,IFERROR(ROWS(_xlfn.UNIQUE(_xlfn._xlws.FILTER(ID,(Period_End &gt;= K$4) * (Period_End &lt;= K$5) * (IFERROR(SEARCH(K$1, Key_Gps),0)&gt;0) * (mpv_shift &gt; 0)))),0),_xlpm.perc,_xlpm.calc/_xlpm.denom,IFERROR(IF(_xlpm.calc&lt;1000,_xlfn.CONCAT(_xlpm.calc," (",TEXT(_xlpm.perc,"0.0%"),")"),_xlfn.CONCAT(TEXT(_xlpm.calc,"0,000")," (",TEXT(_xlpm.perc,"0.0%"),")")),"-"))</f>
        <v>-</v>
      </c>
      <c r="L102" s="56" t="str" cm="1">
        <f t="array" ref="L102">_xlfn.LET(_xlpm.denom,L101,_xlpm.calc,IFERROR(ROWS(_xlfn.UNIQUE(_xlfn._xlws.FILTER(ID,(Period_End &gt;= L$4) * (Period_End &lt;= L$5) * (IFERROR(SEARCH(L$1, Key_Gps),0)&gt;0) * (mpv_shift &gt; 0)))),0),_xlpm.perc,_xlpm.calc/_xlpm.denom,IFERROR(IF(_xlpm.calc&lt;1000,_xlfn.CONCAT(_xlpm.calc," (",TEXT(_xlpm.perc,"0.0%"),")"),_xlfn.CONCAT(TEXT(_xlpm.calc,"0,000")," (",TEXT(_xlpm.perc,"0.0%"),")")),"-"))</f>
        <v>-</v>
      </c>
      <c r="M102" s="155" t="str" cm="1">
        <f t="array" ref="M102">_xlfn.LET(_xlpm.denom,M101,_xlpm.calc,IFERROR(ROWS(_xlfn.UNIQUE(_xlfn._xlws.FILTER(ID,(Period_End &gt;= M$4) * (Period_End &lt;= M$5) * (IFERROR(SEARCH(M$1, Key_Gps),0)&gt;0) * (mpv_shift &gt; 0)))),0),_xlpm.perc,_xlpm.calc/_xlpm.denom,IFERROR(IF(_xlpm.calc&lt;1000,_xlfn.CONCAT(_xlpm.calc," (",TEXT(_xlpm.perc,"0.0%"),")"),_xlfn.CONCAT(TEXT(_xlpm.calc,"0,000")," (",TEXT(_xlpm.perc,"0.0%"),")")),"-"))</f>
        <v>-</v>
      </c>
      <c r="N102" s="53" t="s">
        <v>128</v>
      </c>
      <c r="O102" s="74"/>
      <c r="P102" s="42"/>
      <c r="Q102" s="75" t="str">
        <f t="shared" si="63"/>
        <v/>
      </c>
      <c r="R102" s="76" t="str">
        <f t="shared" si="64"/>
        <v/>
      </c>
      <c r="S102" s="64" t="str">
        <f t="shared" si="47"/>
        <v/>
      </c>
      <c r="T102" s="42" t="str">
        <f t="shared" si="65"/>
        <v/>
      </c>
      <c r="U102" s="42" t="str">
        <f t="shared" si="66"/>
        <v/>
      </c>
      <c r="V102" s="42" t="str">
        <f t="shared" si="67"/>
        <v/>
      </c>
      <c r="W102" s="42" t="str">
        <f t="shared" si="68"/>
        <v/>
      </c>
      <c r="X102" s="42" t="str">
        <f t="shared" si="69"/>
        <v/>
      </c>
      <c r="Y102" s="42" t="str">
        <f t="shared" si="70"/>
        <v/>
      </c>
      <c r="Z102" s="42" t="str">
        <f t="shared" si="71"/>
        <v/>
      </c>
      <c r="AA102" s="42" t="str">
        <f t="shared" si="72"/>
        <v/>
      </c>
      <c r="AB102" s="42" t="str">
        <f t="shared" si="73"/>
        <v/>
      </c>
      <c r="AC102" s="42" t="str">
        <f t="shared" si="74"/>
        <v/>
      </c>
    </row>
    <row r="103" spans="1:29" s="41" customFormat="1" ht="28.8" outlineLevel="1" x14ac:dyDescent="0.25">
      <c r="A103" s="42" t="s">
        <v>13</v>
      </c>
      <c r="B103" s="323"/>
      <c r="C103" s="49" t="s">
        <v>565</v>
      </c>
      <c r="D103" s="195" t="str">
        <f>_xlfn.LET(_xlpm.denom,D101,_xlpm.calc,ROUND($Q103*_xlpm.denom,0),_xlpm.perc,_xlpm.calc/_xlpm.denom,IFERROR(IF(_xlpm.calc&lt;1000,_xlfn.CONCAT(_xlpm.calc," (",TEXT(_xlpm.perc,"0.0%"),")"),_xlfn.CONCAT(TEXT(_xlpm.calc,"0,000")," (",TEXT(_xlpm.perc,"0.0%"),")")),"-"))</f>
        <v>-</v>
      </c>
      <c r="E103" s="65" t="str" cm="1">
        <f t="array" ref="E103">_xlfn.LET(_xlpm.denom,E101,_xlpm.calc,IFERROR(ROWS(_xlfn.UNIQUE(_xlfn._xlws.FILTER(ID,(Period_End &gt;= E$4) * (Period_End &lt;= E$5) * (IFERROR(SEARCH(E$1, Key_Gps),0)&gt;0) * (mpv_per_pp_less_prems &gt; 0)))),0),_xlpm.perc,_xlpm.calc/_xlpm.denom,IFERROR(IF(_xlpm.calc&lt;1000,_xlfn.CONCAT(_xlpm.calc," (",TEXT(_xlpm.perc,"0.0%"),")"),_xlfn.CONCAT(TEXT(_xlpm.calc,"0,000")," (",TEXT(_xlpm.perc,"0.0%"),")")),"-"))</f>
        <v>-</v>
      </c>
      <c r="F103" s="56" t="str" cm="1">
        <f t="array" ref="F103">_xlfn.LET(_xlpm.denom,F101,_xlpm.calc,IFERROR(ROWS(_xlfn.UNIQUE(_xlfn._xlws.FILTER(ID,(Period_End &gt;= F$4) * (Period_End &lt;= F$5) * (IFERROR(SEARCH(F$1, Key_Gps),0)&gt;0) * (mpv_per_pp_less_prems &gt; 0)))),0),_xlpm.perc,_xlpm.calc/_xlpm.denom,IFERROR(IF(_xlpm.calc&lt;1000,_xlfn.CONCAT(_xlpm.calc," (",TEXT(_xlpm.perc,"0.0%"),")"),_xlfn.CONCAT(TEXT(_xlpm.calc,"0,000")," (",TEXT(_xlpm.perc,"0.0%"),")")),"-"))</f>
        <v>-</v>
      </c>
      <c r="G103" s="56" t="str" cm="1">
        <f t="array" ref="G103">_xlfn.LET(_xlpm.denom,G101,_xlpm.calc,IFERROR(ROWS(_xlfn.UNIQUE(_xlfn._xlws.FILTER(ID,(Period_End &gt;= G$4) * (Period_End &lt;= G$5) * (IFERROR(SEARCH(G$1, Key_Gps),0)&gt;0) * (mpv_per_pp_less_prems &gt; 0)))),0),_xlpm.perc,_xlpm.calc/_xlpm.denom,IFERROR(IF(_xlpm.calc&lt;1000,_xlfn.CONCAT(_xlpm.calc," (",TEXT(_xlpm.perc,"0.0%"),")"),_xlfn.CONCAT(TEXT(_xlpm.calc,"0,000")," (",TEXT(_xlpm.perc,"0.0%"),")")),"-"))</f>
        <v>-</v>
      </c>
      <c r="H103" s="56" t="str" cm="1">
        <f t="array" ref="H103">_xlfn.LET(_xlpm.denom,H101,_xlpm.calc,IFERROR(ROWS(_xlfn.UNIQUE(_xlfn._xlws.FILTER(ID,(Period_End &gt;= H$4) * (Period_End &lt;= H$5) * (IFERROR(SEARCH(H$1, Key_Gps),0)&gt;0) * (mpv_per_pp_less_prems &gt; 0)))),0),_xlpm.perc,_xlpm.calc/_xlpm.denom,IFERROR(IF(_xlpm.calc&lt;1000,_xlfn.CONCAT(_xlpm.calc," (",TEXT(_xlpm.perc,"0.0%"),")"),_xlfn.CONCAT(TEXT(_xlpm.calc,"0,000")," (",TEXT(_xlpm.perc,"0.0%"),")")),"-"))</f>
        <v>-</v>
      </c>
      <c r="I103" s="56" t="str" cm="1">
        <f t="array" ref="I103">_xlfn.LET(_xlpm.denom,I101,_xlpm.calc,IFERROR(ROWS(_xlfn.UNIQUE(_xlfn._xlws.FILTER(ID,(Period_End &gt;= I$4) * (Period_End &lt;= I$5) * (IFERROR(SEARCH(I$1, Key_Gps),0)&gt;0) * (mpv_per_pp_less_prems &gt; 0)))),0),_xlpm.perc,_xlpm.calc/_xlpm.denom,IFERROR(IF(_xlpm.calc&lt;1000,_xlfn.CONCAT(_xlpm.calc," (",TEXT(_xlpm.perc,"0.0%"),")"),_xlfn.CONCAT(TEXT(_xlpm.calc,"0,000")," (",TEXT(_xlpm.perc,"0.0%"),")")),"-"))</f>
        <v>-</v>
      </c>
      <c r="J103" s="56" t="str" cm="1">
        <f t="array" ref="J103">_xlfn.LET(_xlpm.denom,J101,_xlpm.calc,IFERROR(ROWS(_xlfn.UNIQUE(_xlfn._xlws.FILTER(ID,(Period_End &gt;= J$4) * (Period_End &lt;= J$5) * (IFERROR(SEARCH(J$1, Key_Gps),0)&gt;0) * (mpv_per_pp_less_prems &gt; 0)))),0),_xlpm.perc,_xlpm.calc/_xlpm.denom,IFERROR(IF(_xlpm.calc&lt;1000,_xlfn.CONCAT(_xlpm.calc," (",TEXT(_xlpm.perc,"0.0%"),")"),_xlfn.CONCAT(TEXT(_xlpm.calc,"0,000")," (",TEXT(_xlpm.perc,"0.0%"),")")),"-"))</f>
        <v>-</v>
      </c>
      <c r="K103" s="56" t="str" cm="1">
        <f t="array" ref="K103">_xlfn.LET(_xlpm.denom,K101,_xlpm.calc,IFERROR(ROWS(_xlfn.UNIQUE(_xlfn._xlws.FILTER(ID,(Period_End &gt;= K$4) * (Period_End &lt;= K$5) * (IFERROR(SEARCH(K$1, Key_Gps),0)&gt;0) * (mpv_per_pp_less_prems &gt; 0)))),0),_xlpm.perc,_xlpm.calc/_xlpm.denom,IFERROR(IF(_xlpm.calc&lt;1000,_xlfn.CONCAT(_xlpm.calc," (",TEXT(_xlpm.perc,"0.0%"),")"),_xlfn.CONCAT(TEXT(_xlpm.calc,"0,000")," (",TEXT(_xlpm.perc,"0.0%"),")")),"-"))</f>
        <v>-</v>
      </c>
      <c r="L103" s="56" t="str" cm="1">
        <f t="array" ref="L103">_xlfn.LET(_xlpm.denom,L101,_xlpm.calc,IFERROR(ROWS(_xlfn.UNIQUE(_xlfn._xlws.FILTER(ID,(Period_End &gt;= L$4) * (Period_End &lt;= L$5) * (IFERROR(SEARCH(L$1, Key_Gps),0)&gt;0) * (mpv_per_pp_less_prems &gt; 0)))),0),_xlpm.perc,_xlpm.calc/_xlpm.denom,IFERROR(IF(_xlpm.calc&lt;1000,_xlfn.CONCAT(_xlpm.calc," (",TEXT(_xlpm.perc,"0.0%"),")"),_xlfn.CONCAT(TEXT(_xlpm.calc,"0,000")," (",TEXT(_xlpm.perc,"0.0%"),")")),"-"))</f>
        <v>-</v>
      </c>
      <c r="M103" s="155" t="str" cm="1">
        <f t="array" ref="M103">_xlfn.LET(_xlpm.denom,M101,_xlpm.calc,IFERROR(ROWS(_xlfn.UNIQUE(_xlfn._xlws.FILTER(ID,(Period_End &gt;= M$4) * (Period_End &lt;= M$5) * (IFERROR(SEARCH(M$1, Key_Gps),0)&gt;0) * (mpv_per_pp_less_prems &gt; 0)))),0),_xlpm.perc,_xlpm.calc/_xlpm.denom,IFERROR(IF(_xlpm.calc&lt;1000,_xlfn.CONCAT(_xlpm.calc," (",TEXT(_xlpm.perc,"0.0%"),")"),_xlfn.CONCAT(TEXT(_xlpm.calc,"0,000")," (",TEXT(_xlpm.perc,"0.0%"),")")),"-"))</f>
        <v>-</v>
      </c>
      <c r="N103" s="53" t="s">
        <v>128</v>
      </c>
      <c r="O103" s="278" t="s">
        <v>567</v>
      </c>
      <c r="P103" s="42"/>
      <c r="Q103" s="75" t="str">
        <f t="shared" si="63"/>
        <v/>
      </c>
      <c r="R103" s="76" t="str">
        <f t="shared" si="64"/>
        <v/>
      </c>
      <c r="S103" s="64" t="str">
        <f t="shared" si="47"/>
        <v/>
      </c>
      <c r="T103" s="42" t="str">
        <f t="shared" si="65"/>
        <v/>
      </c>
      <c r="U103" s="42" t="str">
        <f t="shared" si="66"/>
        <v/>
      </c>
      <c r="V103" s="42" t="str">
        <f t="shared" si="67"/>
        <v/>
      </c>
      <c r="W103" s="42" t="str">
        <f t="shared" si="68"/>
        <v/>
      </c>
      <c r="X103" s="42" t="str">
        <f t="shared" si="69"/>
        <v/>
      </c>
      <c r="Y103" s="42" t="str">
        <f t="shared" si="70"/>
        <v/>
      </c>
      <c r="Z103" s="42" t="str">
        <f t="shared" si="71"/>
        <v/>
      </c>
      <c r="AA103" s="42" t="str">
        <f t="shared" si="72"/>
        <v/>
      </c>
      <c r="AB103" s="42" t="str">
        <f t="shared" si="73"/>
        <v/>
      </c>
      <c r="AC103" s="42" t="str">
        <f t="shared" si="74"/>
        <v/>
      </c>
    </row>
    <row r="104" spans="1:29" x14ac:dyDescent="0.25">
      <c r="A104" s="42">
        <v>1</v>
      </c>
      <c r="D104" s="190"/>
      <c r="E104" s="57"/>
      <c r="F104" s="57"/>
      <c r="G104" s="57"/>
      <c r="H104" s="57"/>
      <c r="I104" s="57"/>
      <c r="J104" s="57"/>
      <c r="K104" s="57"/>
      <c r="L104" s="57"/>
      <c r="M104" s="152"/>
      <c r="O104" s="74"/>
      <c r="Q104" s="75" t="str">
        <f t="shared" si="63"/>
        <v/>
      </c>
      <c r="R104" s="76" t="str">
        <f t="shared" si="64"/>
        <v/>
      </c>
      <c r="S104" s="64" t="str">
        <f t="shared" si="47"/>
        <v/>
      </c>
      <c r="T104" s="42" t="str">
        <f t="shared" si="65"/>
        <v/>
      </c>
      <c r="U104" s="42" t="str">
        <f t="shared" si="66"/>
        <v/>
      </c>
      <c r="V104" s="42" t="str">
        <f t="shared" si="67"/>
        <v/>
      </c>
      <c r="W104" s="42" t="str">
        <f t="shared" si="68"/>
        <v/>
      </c>
      <c r="X104" s="42" t="str">
        <f t="shared" si="69"/>
        <v/>
      </c>
      <c r="Y104" s="42" t="str">
        <f t="shared" si="70"/>
        <v/>
      </c>
      <c r="Z104" s="42" t="str">
        <f t="shared" si="71"/>
        <v/>
      </c>
      <c r="AA104" s="42" t="str">
        <f t="shared" si="72"/>
        <v/>
      </c>
      <c r="AB104" s="42" t="str">
        <f t="shared" si="73"/>
        <v/>
      </c>
      <c r="AC104" s="42" t="str">
        <f t="shared" si="74"/>
        <v/>
      </c>
    </row>
    <row r="105" spans="1:29" s="41" customFormat="1" ht="28.8" outlineLevel="1" x14ac:dyDescent="0.25">
      <c r="A105" s="42" t="s">
        <v>13</v>
      </c>
      <c r="B105" s="314" t="s">
        <v>110</v>
      </c>
      <c r="C105" s="51" t="s">
        <v>15</v>
      </c>
      <c r="D105" s="193">
        <f t="shared" ref="D105:K107" si="77">_xlfn.LET(_xlpm.calc,_xlfn.XLOOKUP($C105,$C:$C,D:D),IF(IFERROR(SEARCH(" ",_xlpm.calc),0)&gt;0,IFERROR(VALUE(LEFT(_xlpm.calc,SEARCH(" ",_xlpm.calc))),"-"),IFERROR(_xlpm.calc,"-")))</f>
        <v>43466</v>
      </c>
      <c r="E105" s="52" t="str">
        <f t="shared" si="77"/>
        <v>-</v>
      </c>
      <c r="F105" s="52" t="str">
        <f t="shared" si="77"/>
        <v>-</v>
      </c>
      <c r="G105" s="52" t="str">
        <f t="shared" si="77"/>
        <v>-</v>
      </c>
      <c r="H105" s="52" t="str">
        <f t="shared" si="77"/>
        <v>-</v>
      </c>
      <c r="I105" s="52" t="str">
        <f t="shared" si="77"/>
        <v>-</v>
      </c>
      <c r="J105" s="52" t="str">
        <f t="shared" si="77"/>
        <v>-</v>
      </c>
      <c r="K105" s="52" t="str">
        <f t="shared" si="77"/>
        <v>-</v>
      </c>
      <c r="L105" s="52" t="str">
        <f t="shared" ref="L105:M107" si="78">_xlfn.LET(_xlpm.calc,_xlfn.XLOOKUP($C105,$C:$C,L:L),IF(IFERROR(SEARCH(" ",_xlpm.calc),0)&gt;0,IFERROR(VALUE(LEFT(_xlpm.calc,SEARCH(" ",_xlpm.calc))),"-"),IFERROR(_xlpm.calc,"-")))</f>
        <v>-</v>
      </c>
      <c r="M105" s="154" t="str">
        <f t="shared" si="78"/>
        <v>-</v>
      </c>
      <c r="N105" s="84" t="s">
        <v>32</v>
      </c>
      <c r="O105" s="74"/>
      <c r="P105" s="42"/>
      <c r="Q105" s="75" t="str">
        <f t="shared" si="63"/>
        <v/>
      </c>
      <c r="R105" s="76" t="str">
        <f t="shared" si="64"/>
        <v/>
      </c>
      <c r="S105" s="64" t="str">
        <f t="shared" si="47"/>
        <v/>
      </c>
      <c r="T105" s="42" t="str">
        <f t="shared" si="65"/>
        <v/>
      </c>
      <c r="U105" s="42" t="str">
        <f t="shared" si="66"/>
        <v/>
      </c>
      <c r="V105" s="42" t="str">
        <f t="shared" si="67"/>
        <v/>
      </c>
      <c r="W105" s="42" t="str">
        <f t="shared" si="68"/>
        <v/>
      </c>
      <c r="X105" s="42" t="str">
        <f t="shared" si="69"/>
        <v/>
      </c>
      <c r="Y105" s="42" t="str">
        <f t="shared" si="70"/>
        <v/>
      </c>
      <c r="Z105" s="42" t="str">
        <f t="shared" si="71"/>
        <v/>
      </c>
      <c r="AA105" s="42" t="str">
        <f t="shared" si="72"/>
        <v/>
      </c>
      <c r="AB105" s="42" t="str">
        <f t="shared" si="73"/>
        <v/>
      </c>
      <c r="AC105" s="42" t="str">
        <f t="shared" si="74"/>
        <v/>
      </c>
    </row>
    <row r="106" spans="1:29" s="41" customFormat="1" ht="28.8" outlineLevel="1" x14ac:dyDescent="0.25">
      <c r="A106" s="42" t="s">
        <v>13</v>
      </c>
      <c r="B106" s="314"/>
      <c r="C106" s="51" t="s">
        <v>16</v>
      </c>
      <c r="D106" s="193">
        <f t="shared" ca="1" si="77"/>
        <v>46083</v>
      </c>
      <c r="E106" s="52" t="str">
        <f t="shared" si="77"/>
        <v>-</v>
      </c>
      <c r="F106" s="52" t="str">
        <f t="shared" si="77"/>
        <v>-</v>
      </c>
      <c r="G106" s="52" t="str">
        <f t="shared" si="77"/>
        <v>-</v>
      </c>
      <c r="H106" s="52" t="str">
        <f t="shared" si="77"/>
        <v>-</v>
      </c>
      <c r="I106" s="52" t="str">
        <f t="shared" si="77"/>
        <v>-</v>
      </c>
      <c r="J106" s="52" t="str">
        <f t="shared" si="77"/>
        <v>-</v>
      </c>
      <c r="K106" s="52" t="str">
        <f t="shared" si="77"/>
        <v>-</v>
      </c>
      <c r="L106" s="52" t="str">
        <f t="shared" si="78"/>
        <v>-</v>
      </c>
      <c r="M106" s="154" t="str">
        <f t="shared" si="78"/>
        <v>-</v>
      </c>
      <c r="N106" s="53"/>
      <c r="O106" s="74"/>
      <c r="P106" s="42"/>
      <c r="Q106" s="75" t="str">
        <f t="shared" si="63"/>
        <v/>
      </c>
      <c r="R106" s="76" t="str">
        <f t="shared" si="64"/>
        <v/>
      </c>
      <c r="S106" s="64" t="str">
        <f t="shared" si="47"/>
        <v/>
      </c>
      <c r="T106" s="42" t="str">
        <f t="shared" si="65"/>
        <v/>
      </c>
      <c r="U106" s="42" t="str">
        <f t="shared" si="66"/>
        <v/>
      </c>
      <c r="V106" s="42" t="str">
        <f t="shared" si="67"/>
        <v/>
      </c>
      <c r="W106" s="42" t="str">
        <f t="shared" si="68"/>
        <v/>
      </c>
      <c r="X106" s="42" t="str">
        <f t="shared" si="69"/>
        <v/>
      </c>
      <c r="Y106" s="42" t="str">
        <f t="shared" si="70"/>
        <v/>
      </c>
      <c r="Z106" s="42" t="str">
        <f t="shared" si="71"/>
        <v/>
      </c>
      <c r="AA106" s="42" t="str">
        <f t="shared" si="72"/>
        <v/>
      </c>
      <c r="AB106" s="42" t="str">
        <f t="shared" si="73"/>
        <v/>
      </c>
      <c r="AC106" s="42" t="str">
        <f t="shared" si="74"/>
        <v/>
      </c>
    </row>
    <row r="107" spans="1:29" s="41" customFormat="1" ht="28.8" outlineLevel="1" x14ac:dyDescent="0.25">
      <c r="A107" s="42" t="s">
        <v>13</v>
      </c>
      <c r="B107" s="314"/>
      <c r="C107" s="49" t="s">
        <v>67</v>
      </c>
      <c r="D107" s="195" t="str">
        <f t="shared" ca="1" si="77"/>
        <v>-</v>
      </c>
      <c r="E107" s="65" t="str">
        <f t="shared" si="77"/>
        <v>-</v>
      </c>
      <c r="F107" s="65" t="str">
        <f t="shared" si="77"/>
        <v>-</v>
      </c>
      <c r="G107" s="65" t="str">
        <f t="shared" si="77"/>
        <v>-</v>
      </c>
      <c r="H107" s="65" t="str">
        <f t="shared" si="77"/>
        <v>-</v>
      </c>
      <c r="I107" s="65" t="str">
        <f t="shared" si="77"/>
        <v>-</v>
      </c>
      <c r="J107" s="65" t="str">
        <f t="shared" si="77"/>
        <v>-</v>
      </c>
      <c r="K107" s="65" t="str">
        <f t="shared" si="77"/>
        <v>-</v>
      </c>
      <c r="L107" s="65" t="str">
        <f t="shared" si="78"/>
        <v>-</v>
      </c>
      <c r="M107" s="155" t="str">
        <f t="shared" si="78"/>
        <v>-</v>
      </c>
      <c r="N107" s="53"/>
      <c r="O107" s="74"/>
      <c r="P107" s="42"/>
      <c r="Q107" s="75" t="str">
        <f t="shared" si="63"/>
        <v/>
      </c>
      <c r="R107" s="76" t="e">
        <f t="shared" si="64"/>
        <v>#VALUE!</v>
      </c>
      <c r="S107" s="64">
        <f t="shared" si="47"/>
        <v>1</v>
      </c>
      <c r="T107" s="42" t="str">
        <f t="shared" ca="1" si="65"/>
        <v>-</v>
      </c>
      <c r="U107" s="42" t="str">
        <f t="shared" si="66"/>
        <v>-</v>
      </c>
      <c r="V107" s="42" t="str">
        <f t="shared" si="67"/>
        <v>-</v>
      </c>
      <c r="W107" s="42" t="str">
        <f t="shared" si="68"/>
        <v>-</v>
      </c>
      <c r="X107" s="42" t="str">
        <f t="shared" si="69"/>
        <v>-</v>
      </c>
      <c r="Y107" s="42" t="str">
        <f t="shared" si="70"/>
        <v>-</v>
      </c>
      <c r="Z107" s="42" t="str">
        <f t="shared" si="71"/>
        <v>-</v>
      </c>
      <c r="AA107" s="42" t="str">
        <f t="shared" si="72"/>
        <v>-</v>
      </c>
      <c r="AB107" s="42" t="str">
        <f t="shared" si="73"/>
        <v>-</v>
      </c>
      <c r="AC107" s="42" t="str">
        <f t="shared" si="74"/>
        <v>-</v>
      </c>
    </row>
    <row r="108" spans="1:29" s="41" customFormat="1" ht="28.8" outlineLevel="1" x14ac:dyDescent="0.25">
      <c r="A108" s="42" t="s">
        <v>13</v>
      </c>
      <c r="B108" s="314"/>
      <c r="C108" s="49" t="s">
        <v>111</v>
      </c>
      <c r="D108" s="195" t="str">
        <f ca="1">_xlfn.LET(_xlpm.denom,D107,_xlpm.calc,ROUND($Q108*_xlpm.denom,0),_xlpm.perc,_xlpm.calc/_xlpm.denom,IFERROR(IF(_xlpm.calc&lt;1000,_xlfn.CONCAT(_xlpm.calc," (",TEXT(_xlpm.perc,"0.0%"),")"),_xlfn.CONCAT(TEXT(_xlpm.calc,"0,000")," (",TEXT(_xlpm.perc,"0.0%"),")")),"-"))</f>
        <v>-</v>
      </c>
      <c r="E108" s="56" t="str" cm="1">
        <f t="array" ref="E108">_xlfn.LET(_xlpm.denom,E107,_xlpm.calc,COUNTIFS(MissMP1_w,1,Date,"&gt;="&amp;E$4,Date,"&lt;="&amp;E$5,Key_Gps,"*"&amp;E$1&amp;"*"),_xlpm.perc,_xlpm.calc/_xlpm.denom,IFERROR(IF(_xlpm.calc&lt;1000,_xlfn.CONCAT(_xlpm.calc," (",TEXT(_xlpm.perc,"0.0%"),")"),_xlfn.CONCAT(TEXT(_xlpm.calc,"0,000")," (",TEXT(_xlpm.perc,"0.0%"),")")),"-"))</f>
        <v>-</v>
      </c>
      <c r="F108" s="56" t="str" cm="1">
        <f t="array" ref="F108">_xlfn.LET(_xlpm.denom,F107,_xlpm.calc,COUNTIFS(MissMP1_w,1,Date,"&gt;="&amp;F$4,Date,"&lt;="&amp;F$5,Key_Gps,"*"&amp;F$1&amp;"*"),_xlpm.perc,_xlpm.calc/_xlpm.denom,IFERROR(IF(_xlpm.calc&lt;1000,_xlfn.CONCAT(_xlpm.calc," (",TEXT(_xlpm.perc,"0.0%"),")"),_xlfn.CONCAT(TEXT(_xlpm.calc,"0,000")," (",TEXT(_xlpm.perc,"0.0%"),")")),"-"))</f>
        <v>-</v>
      </c>
      <c r="G108" s="56" t="str" cm="1">
        <f t="array" ref="G108">_xlfn.LET(_xlpm.denom,G107,_xlpm.calc,COUNTIFS(MissMP1_w,1,Date,"&gt;="&amp;G$4,Date,"&lt;="&amp;G$5,Key_Gps,"*"&amp;G$1&amp;"*"),_xlpm.perc,_xlpm.calc/_xlpm.denom,IFERROR(IF(_xlpm.calc&lt;1000,_xlfn.CONCAT(_xlpm.calc," (",TEXT(_xlpm.perc,"0.0%"),")"),_xlfn.CONCAT(TEXT(_xlpm.calc,"0,000")," (",TEXT(_xlpm.perc,"0.0%"),")")),"-"))</f>
        <v>-</v>
      </c>
      <c r="H108" s="56" t="str" cm="1">
        <f t="array" ref="H108">_xlfn.LET(_xlpm.denom,H107,_xlpm.calc,COUNTIFS(MissMP1_w,1,Date,"&gt;="&amp;H$4,Date,"&lt;="&amp;H$5,Key_Gps,"*"&amp;H$1&amp;"*"),_xlpm.perc,_xlpm.calc/_xlpm.denom,IFERROR(IF(_xlpm.calc&lt;1000,_xlfn.CONCAT(_xlpm.calc," (",TEXT(_xlpm.perc,"0.0%"),")"),_xlfn.CONCAT(TEXT(_xlpm.calc,"0,000")," (",TEXT(_xlpm.perc,"0.0%"),")")),"-"))</f>
        <v>-</v>
      </c>
      <c r="I108" s="56" t="str" cm="1">
        <f t="array" ref="I108">_xlfn.LET(_xlpm.denom,I107,_xlpm.calc,COUNTIFS(MissMP1_w,1,Date,"&gt;="&amp;I$4,Date,"&lt;="&amp;I$5,Key_Gps,"*"&amp;I$1&amp;"*"),_xlpm.perc,_xlpm.calc/_xlpm.denom,IFERROR(IF(_xlpm.calc&lt;1000,_xlfn.CONCAT(_xlpm.calc," (",TEXT(_xlpm.perc,"0.0%"),")"),_xlfn.CONCAT(TEXT(_xlpm.calc,"0,000")," (",TEXT(_xlpm.perc,"0.0%"),")")),"-"))</f>
        <v>-</v>
      </c>
      <c r="J108" s="56" t="str" cm="1">
        <f t="array" ref="J108">_xlfn.LET(_xlpm.denom,J107,_xlpm.calc,COUNTIFS(MissMP1_w,1,Date,"&gt;="&amp;J$4,Date,"&lt;="&amp;J$5,Key_Gps,"*"&amp;J$1&amp;"*"),_xlpm.perc,_xlpm.calc/_xlpm.denom,IFERROR(IF(_xlpm.calc&lt;1000,_xlfn.CONCAT(_xlpm.calc," (",TEXT(_xlpm.perc,"0.0%"),")"),_xlfn.CONCAT(TEXT(_xlpm.calc,"0,000")," (",TEXT(_xlpm.perc,"0.0%"),")")),"-"))</f>
        <v>-</v>
      </c>
      <c r="K108" s="56" t="str" cm="1">
        <f t="array" ref="K108">_xlfn.LET(_xlpm.denom,K107,_xlpm.calc,COUNTIFS(MissMP1_w,1,Date,"&gt;="&amp;K$4,Date,"&lt;="&amp;K$5,Key_Gps,"*"&amp;K$1&amp;"*"),_xlpm.perc,_xlpm.calc/_xlpm.denom,IFERROR(IF(_xlpm.calc&lt;1000,_xlfn.CONCAT(_xlpm.calc," (",TEXT(_xlpm.perc,"0.0%"),")"),_xlfn.CONCAT(TEXT(_xlpm.calc,"0,000")," (",TEXT(_xlpm.perc,"0.0%"),")")),"-"))</f>
        <v>-</v>
      </c>
      <c r="L108" s="56" t="str" cm="1">
        <f t="array" ref="L108">_xlfn.LET(_xlpm.denom,L107,_xlpm.calc,COUNTIFS(MissMP1_w,1,Date,"&gt;="&amp;L$4,Date,"&lt;="&amp;L$5,Key_Gps,"*"&amp;L$1&amp;"*"),_xlpm.perc,_xlpm.calc/_xlpm.denom,IFERROR(IF(_xlpm.calc&lt;1000,_xlfn.CONCAT(_xlpm.calc," (",TEXT(_xlpm.perc,"0.0%"),")"),_xlfn.CONCAT(TEXT(_xlpm.calc,"0,000")," (",TEXT(_xlpm.perc,"0.0%"),")")),"-"))</f>
        <v>-</v>
      </c>
      <c r="M108" s="155" t="str" cm="1">
        <f t="array" ref="M108">_xlfn.LET(_xlpm.denom,M107,_xlpm.calc,COUNTIFS(MissMP1_w,1,Date,"&gt;="&amp;M$4,Date,"&lt;="&amp;M$5,Key_Gps,"*"&amp;M$1&amp;"*"),_xlpm.perc,_xlpm.calc/_xlpm.denom,IFERROR(IF(_xlpm.calc&lt;1000,_xlfn.CONCAT(_xlpm.calc," (",TEXT(_xlpm.perc,"0.0%"),")"),_xlfn.CONCAT(TEXT(_xlpm.calc,"0,000")," (",TEXT(_xlpm.perc,"0.0%"),")")),"-"))</f>
        <v>-</v>
      </c>
      <c r="N108" s="53" t="s">
        <v>112</v>
      </c>
      <c r="O108" s="74"/>
      <c r="P108" s="42"/>
      <c r="Q108" s="75" t="str">
        <f t="shared" si="63"/>
        <v/>
      </c>
      <c r="R108" s="76" t="e">
        <f t="shared" si="64"/>
        <v>#VALUE!</v>
      </c>
      <c r="S108" s="64">
        <f t="shared" si="47"/>
        <v>1</v>
      </c>
      <c r="T108" s="42" t="str">
        <f t="shared" ca="1" si="65"/>
        <v>-</v>
      </c>
      <c r="U108" s="42" t="str">
        <f t="shared" si="66"/>
        <v>-</v>
      </c>
      <c r="V108" s="42" t="str">
        <f t="shared" si="67"/>
        <v>-</v>
      </c>
      <c r="W108" s="42" t="str">
        <f t="shared" si="68"/>
        <v>-</v>
      </c>
      <c r="X108" s="42" t="str">
        <f t="shared" si="69"/>
        <v>-</v>
      </c>
      <c r="Y108" s="42" t="str">
        <f t="shared" si="70"/>
        <v>-</v>
      </c>
      <c r="Z108" s="42" t="str">
        <f t="shared" si="71"/>
        <v>-</v>
      </c>
      <c r="AA108" s="42" t="str">
        <f t="shared" si="72"/>
        <v>-</v>
      </c>
      <c r="AB108" s="42" t="str">
        <f t="shared" si="73"/>
        <v>-</v>
      </c>
      <c r="AC108" s="42" t="str">
        <f t="shared" si="74"/>
        <v>-</v>
      </c>
    </row>
    <row r="109" spans="1:29" ht="28.8" outlineLevel="1" x14ac:dyDescent="0.25">
      <c r="A109" s="42" t="s">
        <v>13</v>
      </c>
      <c r="B109" s="314"/>
      <c r="C109" s="49" t="s">
        <v>113</v>
      </c>
      <c r="D109" s="195" t="str">
        <f ca="1">_xlfn.LET(_xlpm.denom,D107,_xlpm.calc,ROUND($Q109*_xlpm.denom,0),_xlpm.perc,_xlpm.calc/_xlpm.denom,IFERROR(IF(_xlpm.calc&lt;1000,_xlfn.CONCAT(_xlpm.calc," (",TEXT(_xlpm.perc,"0.0%"),")"),_xlfn.CONCAT(TEXT(_xlpm.calc,"0,000")," (",TEXT(_xlpm.perc,"0.0%"),")")),"-"))</f>
        <v>-</v>
      </c>
      <c r="E109" s="56" t="str" cm="1">
        <f t="array" ref="E109">_xlfn.LET(_xlpm.denom,E107,_xlpm.calc,COUNTIFS(LateMP1_w,1,Date,"&gt;="&amp;E$4,Date,"&lt;="&amp;E$5,Key_Gps,"*"&amp;E$1&amp;"*"),_xlpm.perc,_xlpm.calc/_xlpm.denom,IFERROR(IF(_xlpm.calc&lt;1000,_xlfn.CONCAT(_xlpm.calc," (",TEXT(_xlpm.perc,"0.0%"),")"),_xlfn.CONCAT(TEXT(_xlpm.calc,"0,000")," (",TEXT(_xlpm.perc,"0.0%"),")")),"-"))</f>
        <v>-</v>
      </c>
      <c r="F109" s="56" t="str" cm="1">
        <f t="array" ref="F109">_xlfn.LET(_xlpm.denom,F107,_xlpm.calc,COUNTIFS(LateMP1_w,1,Date,"&gt;="&amp;F$4,Date,"&lt;="&amp;F$5,Key_Gps,"*"&amp;F$1&amp;"*"),_xlpm.perc,_xlpm.calc/_xlpm.denom,IFERROR(IF(_xlpm.calc&lt;1000,_xlfn.CONCAT(_xlpm.calc," (",TEXT(_xlpm.perc,"0.0%"),")"),_xlfn.CONCAT(TEXT(_xlpm.calc,"0,000")," (",TEXT(_xlpm.perc,"0.0%"),")")),"-"))</f>
        <v>-</v>
      </c>
      <c r="G109" s="56" t="str" cm="1">
        <f t="array" ref="G109">_xlfn.LET(_xlpm.denom,G107,_xlpm.calc,COUNTIFS(LateMP1_w,1,Date,"&gt;="&amp;G$4,Date,"&lt;="&amp;G$5,Key_Gps,"*"&amp;G$1&amp;"*"),_xlpm.perc,_xlpm.calc/_xlpm.denom,IFERROR(IF(_xlpm.calc&lt;1000,_xlfn.CONCAT(_xlpm.calc," (",TEXT(_xlpm.perc,"0.0%"),")"),_xlfn.CONCAT(TEXT(_xlpm.calc,"0,000")," (",TEXT(_xlpm.perc,"0.0%"),")")),"-"))</f>
        <v>-</v>
      </c>
      <c r="H109" s="56" t="str" cm="1">
        <f t="array" ref="H109">_xlfn.LET(_xlpm.denom,H107,_xlpm.calc,COUNTIFS(LateMP1_w,1,Date,"&gt;="&amp;H$4,Date,"&lt;="&amp;H$5,Key_Gps,"*"&amp;H$1&amp;"*"),_xlpm.perc,_xlpm.calc/_xlpm.denom,IFERROR(IF(_xlpm.calc&lt;1000,_xlfn.CONCAT(_xlpm.calc," (",TEXT(_xlpm.perc,"0.0%"),")"),_xlfn.CONCAT(TEXT(_xlpm.calc,"0,000")," (",TEXT(_xlpm.perc,"0.0%"),")")),"-"))</f>
        <v>-</v>
      </c>
      <c r="I109" s="56" t="str" cm="1">
        <f t="array" ref="I109">_xlfn.LET(_xlpm.denom,I107,_xlpm.calc,COUNTIFS(LateMP1_w,1,Date,"&gt;="&amp;I$4,Date,"&lt;="&amp;I$5,Key_Gps,"*"&amp;I$1&amp;"*"),_xlpm.perc,_xlpm.calc/_xlpm.denom,IFERROR(IF(_xlpm.calc&lt;1000,_xlfn.CONCAT(_xlpm.calc," (",TEXT(_xlpm.perc,"0.0%"),")"),_xlfn.CONCAT(TEXT(_xlpm.calc,"0,000")," (",TEXT(_xlpm.perc,"0.0%"),")")),"-"))</f>
        <v>-</v>
      </c>
      <c r="J109" s="56" t="str" cm="1">
        <f t="array" ref="J109">_xlfn.LET(_xlpm.denom,J107,_xlpm.calc,COUNTIFS(LateMP1_w,1,Date,"&gt;="&amp;J$4,Date,"&lt;="&amp;J$5,Key_Gps,"*"&amp;J$1&amp;"*"),_xlpm.perc,_xlpm.calc/_xlpm.denom,IFERROR(IF(_xlpm.calc&lt;1000,_xlfn.CONCAT(_xlpm.calc," (",TEXT(_xlpm.perc,"0.0%"),")"),_xlfn.CONCAT(TEXT(_xlpm.calc,"0,000")," (",TEXT(_xlpm.perc,"0.0%"),")")),"-"))</f>
        <v>-</v>
      </c>
      <c r="K109" s="56" t="str" cm="1">
        <f t="array" ref="K109">_xlfn.LET(_xlpm.denom,K107,_xlpm.calc,COUNTIFS(LateMP1_w,1,Date,"&gt;="&amp;K$4,Date,"&lt;="&amp;K$5,Key_Gps,"*"&amp;K$1&amp;"*"),_xlpm.perc,_xlpm.calc/_xlpm.denom,IFERROR(IF(_xlpm.calc&lt;1000,_xlfn.CONCAT(_xlpm.calc," (",TEXT(_xlpm.perc,"0.0%"),")"),_xlfn.CONCAT(TEXT(_xlpm.calc,"0,000")," (",TEXT(_xlpm.perc,"0.0%"),")")),"-"))</f>
        <v>-</v>
      </c>
      <c r="L109" s="56" t="str" cm="1">
        <f t="array" ref="L109">_xlfn.LET(_xlpm.denom,L107,_xlpm.calc,COUNTIFS(LateMP1_w,1,Date,"&gt;="&amp;L$4,Date,"&lt;="&amp;L$5,Key_Gps,"*"&amp;L$1&amp;"*"),_xlpm.perc,_xlpm.calc/_xlpm.denom,IFERROR(IF(_xlpm.calc&lt;1000,_xlfn.CONCAT(_xlpm.calc," (",TEXT(_xlpm.perc,"0.0%"),")"),_xlfn.CONCAT(TEXT(_xlpm.calc,"0,000")," (",TEXT(_xlpm.perc,"0.0%"),")")),"-"))</f>
        <v>-</v>
      </c>
      <c r="M109" s="155" t="str" cm="1">
        <f t="array" ref="M109">_xlfn.LET(_xlpm.denom,M107,_xlpm.calc,COUNTIFS(LateMP1_w,1,Date,"&gt;="&amp;M$4,Date,"&lt;="&amp;M$5,Key_Gps,"*"&amp;M$1&amp;"*"),_xlpm.perc,_xlpm.calc/_xlpm.denom,IFERROR(IF(_xlpm.calc&lt;1000,_xlfn.CONCAT(_xlpm.calc," (",TEXT(_xlpm.perc,"0.0%"),")"),_xlfn.CONCAT(TEXT(_xlpm.calc,"0,000")," (",TEXT(_xlpm.perc,"0.0%"),")")),"-"))</f>
        <v>-</v>
      </c>
      <c r="N109" s="53" t="s">
        <v>112</v>
      </c>
      <c r="O109" s="74"/>
      <c r="Q109" s="75" t="str">
        <f t="shared" si="63"/>
        <v/>
      </c>
      <c r="R109" s="76" t="e">
        <f t="shared" si="64"/>
        <v>#VALUE!</v>
      </c>
      <c r="S109" s="64">
        <f t="shared" si="47"/>
        <v>1</v>
      </c>
      <c r="T109" s="42" t="str">
        <f t="shared" ca="1" si="65"/>
        <v>-</v>
      </c>
      <c r="U109" s="42" t="str">
        <f t="shared" si="66"/>
        <v>-</v>
      </c>
      <c r="V109" s="42" t="str">
        <f t="shared" si="67"/>
        <v>-</v>
      </c>
      <c r="W109" s="42" t="str">
        <f t="shared" si="68"/>
        <v>-</v>
      </c>
      <c r="X109" s="42" t="str">
        <f t="shared" si="69"/>
        <v>-</v>
      </c>
      <c r="Y109" s="42" t="str">
        <f t="shared" si="70"/>
        <v>-</v>
      </c>
      <c r="Z109" s="42" t="str">
        <f t="shared" si="71"/>
        <v>-</v>
      </c>
      <c r="AA109" s="42" t="str">
        <f t="shared" si="72"/>
        <v>-</v>
      </c>
      <c r="AB109" s="42" t="str">
        <f t="shared" si="73"/>
        <v>-</v>
      </c>
      <c r="AC109" s="42" t="str">
        <f t="shared" si="74"/>
        <v>-</v>
      </c>
    </row>
    <row r="110" spans="1:29" ht="28.8" outlineLevel="1" x14ac:dyDescent="0.25">
      <c r="A110" s="42" t="s">
        <v>13</v>
      </c>
      <c r="B110" s="314"/>
      <c r="C110" s="49" t="s">
        <v>114</v>
      </c>
      <c r="D110" s="195" t="str">
        <f ca="1">_xlfn.LET(_xlpm.denom,D107,_xlpm.calc,ROUND($Q110*_xlpm.denom,0),_xlpm.perc,_xlpm.calc/_xlpm.denom,IFERROR(IF(_xlpm.calc&lt;1000,_xlfn.CONCAT(_xlpm.calc," (",TEXT(_xlpm.perc,"0.0%"),")"),_xlfn.CONCAT(TEXT(_xlpm.calc,"0,000")," (",TEXT(_xlpm.perc,"0.0%"),")")),"-"))</f>
        <v>-</v>
      </c>
      <c r="E110" s="56" t="str" cm="1">
        <f t="array" ref="E110">_xlfn.LET(_xlpm.denom,E107,_xlpm.calc,COUNTIFS(ShortMP1_w,1,Date,"&gt;="&amp;E$4,Date,"&lt;="&amp;E$5,Key_Gps,"*"&amp;E$1&amp;"*"),_xlpm.perc,_xlpm.calc/_xlpm.denom,IFERROR(IF(_xlpm.calc&lt;1000,_xlfn.CONCAT(_xlpm.calc," (",TEXT(_xlpm.perc,"0.0%"),")"),_xlfn.CONCAT(TEXT(_xlpm.calc,"0,000")," (",TEXT(_xlpm.perc,"0.0%"),")")),"-"))</f>
        <v>-</v>
      </c>
      <c r="F110" s="56" t="str" cm="1">
        <f t="array" ref="F110">_xlfn.LET(_xlpm.denom,F107,_xlpm.calc,COUNTIFS(ShortMP1_w,1,Date,"&gt;="&amp;F$4,Date,"&lt;="&amp;F$5,Key_Gps,"*"&amp;F$1&amp;"*"),_xlpm.perc,_xlpm.calc/_xlpm.denom,IFERROR(IF(_xlpm.calc&lt;1000,_xlfn.CONCAT(_xlpm.calc," (",TEXT(_xlpm.perc,"0.0%"),")"),_xlfn.CONCAT(TEXT(_xlpm.calc,"0,000")," (",TEXT(_xlpm.perc,"0.0%"),")")),"-"))</f>
        <v>-</v>
      </c>
      <c r="G110" s="56" t="str" cm="1">
        <f t="array" ref="G110">_xlfn.LET(_xlpm.denom,G107,_xlpm.calc,COUNTIFS(ShortMP1_w,1,Date,"&gt;="&amp;G$4,Date,"&lt;="&amp;G$5,Key_Gps,"*"&amp;G$1&amp;"*"),_xlpm.perc,_xlpm.calc/_xlpm.denom,IFERROR(IF(_xlpm.calc&lt;1000,_xlfn.CONCAT(_xlpm.calc," (",TEXT(_xlpm.perc,"0.0%"),")"),_xlfn.CONCAT(TEXT(_xlpm.calc,"0,000")," (",TEXT(_xlpm.perc,"0.0%"),")")),"-"))</f>
        <v>-</v>
      </c>
      <c r="H110" s="56" t="str" cm="1">
        <f t="array" ref="H110">_xlfn.LET(_xlpm.denom,H107,_xlpm.calc,COUNTIFS(ShortMP1_w,1,Date,"&gt;="&amp;H$4,Date,"&lt;="&amp;H$5,Key_Gps,"*"&amp;H$1&amp;"*"),_xlpm.perc,_xlpm.calc/_xlpm.denom,IFERROR(IF(_xlpm.calc&lt;1000,_xlfn.CONCAT(_xlpm.calc," (",TEXT(_xlpm.perc,"0.0%"),")"),_xlfn.CONCAT(TEXT(_xlpm.calc,"0,000")," (",TEXT(_xlpm.perc,"0.0%"),")")),"-"))</f>
        <v>-</v>
      </c>
      <c r="I110" s="56" t="str" cm="1">
        <f t="array" ref="I110">_xlfn.LET(_xlpm.denom,I107,_xlpm.calc,COUNTIFS(ShortMP1_w,1,Date,"&gt;="&amp;I$4,Date,"&lt;="&amp;I$5,Key_Gps,"*"&amp;I$1&amp;"*"),_xlpm.perc,_xlpm.calc/_xlpm.denom,IFERROR(IF(_xlpm.calc&lt;1000,_xlfn.CONCAT(_xlpm.calc," (",TEXT(_xlpm.perc,"0.0%"),")"),_xlfn.CONCAT(TEXT(_xlpm.calc,"0,000")," (",TEXT(_xlpm.perc,"0.0%"),")")),"-"))</f>
        <v>-</v>
      </c>
      <c r="J110" s="56" t="str" cm="1">
        <f t="array" ref="J110">_xlfn.LET(_xlpm.denom,J107,_xlpm.calc,COUNTIFS(ShortMP1_w,1,Date,"&gt;="&amp;J$4,Date,"&lt;="&amp;J$5,Key_Gps,"*"&amp;J$1&amp;"*"),_xlpm.perc,_xlpm.calc/_xlpm.denom,IFERROR(IF(_xlpm.calc&lt;1000,_xlfn.CONCAT(_xlpm.calc," (",TEXT(_xlpm.perc,"0.0%"),")"),_xlfn.CONCAT(TEXT(_xlpm.calc,"0,000")," (",TEXT(_xlpm.perc,"0.0%"),")")),"-"))</f>
        <v>-</v>
      </c>
      <c r="K110" s="56" t="str" cm="1">
        <f t="array" ref="K110">_xlfn.LET(_xlpm.denom,K107,_xlpm.calc,COUNTIFS(ShortMP1_w,1,Date,"&gt;="&amp;K$4,Date,"&lt;="&amp;K$5,Key_Gps,"*"&amp;K$1&amp;"*"),_xlpm.perc,_xlpm.calc/_xlpm.denom,IFERROR(IF(_xlpm.calc&lt;1000,_xlfn.CONCAT(_xlpm.calc," (",TEXT(_xlpm.perc,"0.0%"),")"),_xlfn.CONCAT(TEXT(_xlpm.calc,"0,000")," (",TEXT(_xlpm.perc,"0.0%"),")")),"-"))</f>
        <v>-</v>
      </c>
      <c r="L110" s="56" t="str" cm="1">
        <f t="array" ref="L110">_xlfn.LET(_xlpm.denom,L107,_xlpm.calc,COUNTIFS(ShortMP1_w,1,Date,"&gt;="&amp;L$4,Date,"&lt;="&amp;L$5,Key_Gps,"*"&amp;L$1&amp;"*"),_xlpm.perc,_xlpm.calc/_xlpm.denom,IFERROR(IF(_xlpm.calc&lt;1000,_xlfn.CONCAT(_xlpm.calc," (",TEXT(_xlpm.perc,"0.0%"),")"),_xlfn.CONCAT(TEXT(_xlpm.calc,"0,000")," (",TEXT(_xlpm.perc,"0.0%"),")")),"-"))</f>
        <v>-</v>
      </c>
      <c r="M110" s="155" t="str" cm="1">
        <f t="array" ref="M110">_xlfn.LET(_xlpm.denom,M107,_xlpm.calc,COUNTIFS(ShortMP1_w,1,Date,"&gt;="&amp;M$4,Date,"&lt;="&amp;M$5,Key_Gps,"*"&amp;M$1&amp;"*"),_xlpm.perc,_xlpm.calc/_xlpm.denom,IFERROR(IF(_xlpm.calc&lt;1000,_xlfn.CONCAT(_xlpm.calc," (",TEXT(_xlpm.perc,"0.0%"),")"),_xlfn.CONCAT(TEXT(_xlpm.calc,"0,000")," (",TEXT(_xlpm.perc,"0.0%"),")")),"-"))</f>
        <v>-</v>
      </c>
      <c r="N110" s="53" t="s">
        <v>112</v>
      </c>
      <c r="O110" s="74"/>
      <c r="Q110" s="75" t="str">
        <f t="shared" si="63"/>
        <v/>
      </c>
      <c r="R110" s="76" t="e">
        <f t="shared" si="64"/>
        <v>#VALUE!</v>
      </c>
      <c r="S110" s="64">
        <f t="shared" si="47"/>
        <v>1</v>
      </c>
      <c r="T110" s="42" t="str">
        <f t="shared" ca="1" si="65"/>
        <v>-</v>
      </c>
      <c r="U110" s="42" t="str">
        <f t="shared" si="66"/>
        <v>-</v>
      </c>
      <c r="V110" s="42" t="str">
        <f t="shared" si="67"/>
        <v>-</v>
      </c>
      <c r="W110" s="42" t="str">
        <f t="shared" si="68"/>
        <v>-</v>
      </c>
      <c r="X110" s="42" t="str">
        <f t="shared" si="69"/>
        <v>-</v>
      </c>
      <c r="Y110" s="42" t="str">
        <f t="shared" si="70"/>
        <v>-</v>
      </c>
      <c r="Z110" s="42" t="str">
        <f t="shared" si="71"/>
        <v>-</v>
      </c>
      <c r="AA110" s="42" t="str">
        <f t="shared" si="72"/>
        <v>-</v>
      </c>
      <c r="AB110" s="42" t="str">
        <f t="shared" si="73"/>
        <v>-</v>
      </c>
      <c r="AC110" s="42" t="str">
        <f t="shared" si="74"/>
        <v>-</v>
      </c>
    </row>
    <row r="111" spans="1:29" s="41" customFormat="1" ht="28.8" outlineLevel="1" x14ac:dyDescent="0.25">
      <c r="A111" s="42" t="s">
        <v>13</v>
      </c>
      <c r="B111" s="314"/>
      <c r="C111" s="49" t="s">
        <v>71</v>
      </c>
      <c r="D111" s="195" t="str">
        <f t="shared" ref="D111:K111" ca="1" si="79">_xlfn.LET(_xlpm.calc,_xlfn.XLOOKUP($C111,$C:$C,D:D),IF(IFERROR(SEARCH(" ",_xlpm.calc),0)&gt;0,IFERROR(VALUE(LEFT(_xlpm.calc,SEARCH(" ",_xlpm.calc))),"-"),IFERROR(_xlpm.calc,"-")))</f>
        <v>-</v>
      </c>
      <c r="E111" s="65" t="str">
        <f t="shared" si="79"/>
        <v>-</v>
      </c>
      <c r="F111" s="65" t="str">
        <f t="shared" si="79"/>
        <v>-</v>
      </c>
      <c r="G111" s="65" t="str">
        <f t="shared" si="79"/>
        <v>-</v>
      </c>
      <c r="H111" s="65" t="str">
        <f t="shared" si="79"/>
        <v>-</v>
      </c>
      <c r="I111" s="65" t="str">
        <f t="shared" si="79"/>
        <v>-</v>
      </c>
      <c r="J111" s="65" t="str">
        <f t="shared" si="79"/>
        <v>-</v>
      </c>
      <c r="K111" s="65" t="str">
        <f t="shared" si="79"/>
        <v>-</v>
      </c>
      <c r="L111" s="65" t="str">
        <f>_xlfn.LET(_xlpm.calc,_xlfn.XLOOKUP($C111,$C:$C,L:L),IF(IFERROR(SEARCH(" ",_xlpm.calc),0)&gt;0,IFERROR(VALUE(LEFT(_xlpm.calc,SEARCH(" ",_xlpm.calc))),"-"),IFERROR(_xlpm.calc,"-")))</f>
        <v>-</v>
      </c>
      <c r="M111" s="155" t="str">
        <f>_xlfn.LET(_xlpm.calc,_xlfn.XLOOKUP($C111,$C:$C,M:M),IF(IFERROR(SEARCH(" ",_xlpm.calc),0)&gt;0,IFERROR(VALUE(LEFT(_xlpm.calc,SEARCH(" ",_xlpm.calc))),"-"),IFERROR(_xlpm.calc,"-")))</f>
        <v>-</v>
      </c>
      <c r="N111" s="53"/>
      <c r="O111" s="74"/>
      <c r="P111" s="42"/>
      <c r="Q111" s="75" t="str">
        <f t="shared" si="63"/>
        <v/>
      </c>
      <c r="R111" s="76" t="e">
        <f t="shared" si="64"/>
        <v>#VALUE!</v>
      </c>
      <c r="S111" s="64">
        <f t="shared" si="47"/>
        <v>1</v>
      </c>
      <c r="T111" s="42" t="str">
        <f t="shared" ca="1" si="65"/>
        <v>-</v>
      </c>
      <c r="U111" s="42" t="str">
        <f t="shared" si="66"/>
        <v>-</v>
      </c>
      <c r="V111" s="42" t="str">
        <f t="shared" si="67"/>
        <v>-</v>
      </c>
      <c r="W111" s="42" t="str">
        <f t="shared" si="68"/>
        <v>-</v>
      </c>
      <c r="X111" s="42" t="str">
        <f t="shared" si="69"/>
        <v>-</v>
      </c>
      <c r="Y111" s="42" t="str">
        <f t="shared" si="70"/>
        <v>-</v>
      </c>
      <c r="Z111" s="42" t="str">
        <f t="shared" si="71"/>
        <v>-</v>
      </c>
      <c r="AA111" s="42" t="str">
        <f t="shared" si="72"/>
        <v>-</v>
      </c>
      <c r="AB111" s="42" t="str">
        <f t="shared" si="73"/>
        <v>-</v>
      </c>
      <c r="AC111" s="42" t="str">
        <f t="shared" si="74"/>
        <v>-</v>
      </c>
    </row>
    <row r="112" spans="1:29" s="41" customFormat="1" ht="28.8" outlineLevel="1" x14ac:dyDescent="0.25">
      <c r="A112" s="42" t="s">
        <v>13</v>
      </c>
      <c r="B112" s="315"/>
      <c r="C112" s="49" t="s">
        <v>416</v>
      </c>
      <c r="D112" s="195" t="str">
        <f ca="1">_xlfn.LET(_xlpm.denom,D111,_xlpm.calc,ROUND($Q112*_xlpm.denom,0),_xlpm.perc,_xlpm.calc/_xlpm.denom,IFERROR(IF(_xlpm.calc&lt;1000,_xlfn.CONCAT(_xlpm.calc," (",TEXT(_xlpm.perc,"0.0%"),")"),_xlfn.CONCAT(TEXT(_xlpm.calc,"0,000")," (",TEXT(_xlpm.perc,"0.0%"),")")),"-"))</f>
        <v>-</v>
      </c>
      <c r="E112" s="56" t="str" cm="1">
        <f t="array" ref="E112">_xlfn.LET(_xlpm.denom,E111,_xlpm.calc,COUNTIFS(MissMP2_w,1,Date,"&gt;="&amp;E$4,Date,"&lt;="&amp;E$5,Key_Gps,"*"&amp;E$1&amp;"*"),_xlpm.perc,_xlpm.calc/_xlpm.denom,IFERROR(IF(_xlpm.calc&lt;1000,_xlfn.CONCAT(_xlpm.calc," (",TEXT(_xlpm.perc,"0.0%"),")"),_xlfn.CONCAT(TEXT(_xlpm.calc,"0,000")," (",TEXT(_xlpm.perc,"0.0%"),")")),"-"))</f>
        <v>-</v>
      </c>
      <c r="F112" s="56" t="str" cm="1">
        <f t="array" ref="F112">_xlfn.LET(_xlpm.denom,F111,_xlpm.calc,COUNTIFS(MissMP2_w,1,Date,"&gt;="&amp;F$4,Date,"&lt;="&amp;F$5,Key_Gps,"*"&amp;F$1&amp;"*"),_xlpm.perc,_xlpm.calc/_xlpm.denom,IFERROR(IF(_xlpm.calc&lt;1000,_xlfn.CONCAT(_xlpm.calc," (",TEXT(_xlpm.perc,"0.0%"),")"),_xlfn.CONCAT(TEXT(_xlpm.calc,"0,000")," (",TEXT(_xlpm.perc,"0.0%"),")")),"-"))</f>
        <v>-</v>
      </c>
      <c r="G112" s="56" t="str" cm="1">
        <f t="array" ref="G112">_xlfn.LET(_xlpm.denom,G111,_xlpm.calc,COUNTIFS(MissMP2_w,1,Date,"&gt;="&amp;G$4,Date,"&lt;="&amp;G$5,Key_Gps,"*"&amp;G$1&amp;"*"),_xlpm.perc,_xlpm.calc/_xlpm.denom,IFERROR(IF(_xlpm.calc&lt;1000,_xlfn.CONCAT(_xlpm.calc," (",TEXT(_xlpm.perc,"0.0%"),")"),_xlfn.CONCAT(TEXT(_xlpm.calc,"0,000")," (",TEXT(_xlpm.perc,"0.0%"),")")),"-"))</f>
        <v>-</v>
      </c>
      <c r="H112" s="56" t="str" cm="1">
        <f t="array" ref="H112">_xlfn.LET(_xlpm.denom,H111,_xlpm.calc,COUNTIFS(MissMP2_w,1,Date,"&gt;="&amp;H$4,Date,"&lt;="&amp;H$5,Key_Gps,"*"&amp;H$1&amp;"*"),_xlpm.perc,_xlpm.calc/_xlpm.denom,IFERROR(IF(_xlpm.calc&lt;1000,_xlfn.CONCAT(_xlpm.calc," (",TEXT(_xlpm.perc,"0.0%"),")"),_xlfn.CONCAT(TEXT(_xlpm.calc,"0,000")," (",TEXT(_xlpm.perc,"0.0%"),")")),"-"))</f>
        <v>-</v>
      </c>
      <c r="I112" s="56" t="str" cm="1">
        <f t="array" ref="I112">_xlfn.LET(_xlpm.denom,I111,_xlpm.calc,COUNTIFS(MissMP2_w,1,Date,"&gt;="&amp;I$4,Date,"&lt;="&amp;I$5,Key_Gps,"*"&amp;I$1&amp;"*"),_xlpm.perc,_xlpm.calc/_xlpm.denom,IFERROR(IF(_xlpm.calc&lt;1000,_xlfn.CONCAT(_xlpm.calc," (",TEXT(_xlpm.perc,"0.0%"),")"),_xlfn.CONCAT(TEXT(_xlpm.calc,"0,000")," (",TEXT(_xlpm.perc,"0.0%"),")")),"-"))</f>
        <v>-</v>
      </c>
      <c r="J112" s="56" t="str" cm="1">
        <f t="array" ref="J112">_xlfn.LET(_xlpm.denom,J111,_xlpm.calc,COUNTIFS(MissMP2_w,1,Date,"&gt;="&amp;J$4,Date,"&lt;="&amp;J$5,Key_Gps,"*"&amp;J$1&amp;"*"),_xlpm.perc,_xlpm.calc/_xlpm.denom,IFERROR(IF(_xlpm.calc&lt;1000,_xlfn.CONCAT(_xlpm.calc," (",TEXT(_xlpm.perc,"0.0%"),")"),_xlfn.CONCAT(TEXT(_xlpm.calc,"0,000")," (",TEXT(_xlpm.perc,"0.0%"),")")),"-"))</f>
        <v>-</v>
      </c>
      <c r="K112" s="56" t="str" cm="1">
        <f t="array" ref="K112">_xlfn.LET(_xlpm.denom,K111,_xlpm.calc,COUNTIFS(MissMP2_w,1,Date,"&gt;="&amp;K$4,Date,"&lt;="&amp;K$5,Key_Gps,"*"&amp;K$1&amp;"*"),_xlpm.perc,_xlpm.calc/_xlpm.denom,IFERROR(IF(_xlpm.calc&lt;1000,_xlfn.CONCAT(_xlpm.calc," (",TEXT(_xlpm.perc,"0.0%"),")"),_xlfn.CONCAT(TEXT(_xlpm.calc,"0,000")," (",TEXT(_xlpm.perc,"0.0%"),")")),"-"))</f>
        <v>-</v>
      </c>
      <c r="L112" s="56" t="str" cm="1">
        <f t="array" ref="L112">_xlfn.LET(_xlpm.denom,L111,_xlpm.calc,COUNTIFS(MissMP2_w,1,Date,"&gt;="&amp;L$4,Date,"&lt;="&amp;L$5,Key_Gps,"*"&amp;L$1&amp;"*"),_xlpm.perc,_xlpm.calc/_xlpm.denom,IFERROR(IF(_xlpm.calc&lt;1000,_xlfn.CONCAT(_xlpm.calc," (",TEXT(_xlpm.perc,"0.0%"),")"),_xlfn.CONCAT(TEXT(_xlpm.calc,"0,000")," (",TEXT(_xlpm.perc,"0.0%"),")")),"-"))</f>
        <v>-</v>
      </c>
      <c r="M112" s="155" t="str" cm="1">
        <f t="array" ref="M112">_xlfn.LET(_xlpm.denom,M111,_xlpm.calc,COUNTIFS(MissMP2_w,1,Date,"&gt;="&amp;M$4,Date,"&lt;="&amp;M$5,Key_Gps,"*"&amp;M$1&amp;"*"),_xlpm.perc,_xlpm.calc/_xlpm.denom,IFERROR(IF(_xlpm.calc&lt;1000,_xlfn.CONCAT(_xlpm.calc," (",TEXT(_xlpm.perc,"0.0%"),")"),_xlfn.CONCAT(TEXT(_xlpm.calc,"0,000")," (",TEXT(_xlpm.perc,"0.0%"),")")),"-"))</f>
        <v>-</v>
      </c>
      <c r="N112" s="53" t="s">
        <v>115</v>
      </c>
      <c r="O112" s="74"/>
      <c r="P112" s="42"/>
      <c r="Q112" s="75" t="str">
        <f t="shared" si="63"/>
        <v/>
      </c>
      <c r="R112" s="76" t="e">
        <f t="shared" si="64"/>
        <v>#VALUE!</v>
      </c>
      <c r="S112" s="64">
        <f t="shared" si="47"/>
        <v>1</v>
      </c>
      <c r="T112" s="42" t="str">
        <f t="shared" ca="1" si="65"/>
        <v>-</v>
      </c>
      <c r="U112" s="42" t="str">
        <f t="shared" si="66"/>
        <v>-</v>
      </c>
      <c r="V112" s="42" t="str">
        <f t="shared" si="67"/>
        <v>-</v>
      </c>
      <c r="W112" s="42" t="str">
        <f t="shared" si="68"/>
        <v>-</v>
      </c>
      <c r="X112" s="42" t="str">
        <f t="shared" si="69"/>
        <v>-</v>
      </c>
      <c r="Y112" s="42" t="str">
        <f t="shared" si="70"/>
        <v>-</v>
      </c>
      <c r="Z112" s="42" t="str">
        <f t="shared" si="71"/>
        <v>-</v>
      </c>
      <c r="AA112" s="42" t="str">
        <f t="shared" si="72"/>
        <v>-</v>
      </c>
      <c r="AB112" s="42" t="str">
        <f t="shared" si="73"/>
        <v>-</v>
      </c>
      <c r="AC112" s="42" t="str">
        <f t="shared" si="74"/>
        <v>-</v>
      </c>
    </row>
    <row r="113" spans="1:37" s="89" customFormat="1" outlineLevel="2" x14ac:dyDescent="0.3">
      <c r="A113" s="83">
        <v>1</v>
      </c>
      <c r="B113" s="315"/>
      <c r="C113" s="85" t="s">
        <v>106</v>
      </c>
      <c r="D113" s="200">
        <f ca="1">IF(D109="-",0,VALUE(LEFT(D109,SEARCH(" ",D109))))</f>
        <v>0</v>
      </c>
      <c r="E113" s="86">
        <f t="shared" ref="E113:M113" si="80">IF(E109="-",0,VALUE(LEFT(E109,SEARCH(" ",E109))))</f>
        <v>0</v>
      </c>
      <c r="F113" s="86">
        <f t="shared" si="80"/>
        <v>0</v>
      </c>
      <c r="G113" s="86">
        <f t="shared" si="80"/>
        <v>0</v>
      </c>
      <c r="H113" s="86">
        <f t="shared" si="80"/>
        <v>0</v>
      </c>
      <c r="I113" s="86">
        <f t="shared" si="80"/>
        <v>0</v>
      </c>
      <c r="J113" s="86">
        <f t="shared" si="80"/>
        <v>0</v>
      </c>
      <c r="K113" s="86">
        <f t="shared" ref="K113" si="81">IF(K109="-",0,VALUE(LEFT(K109,SEARCH(" ",K109))))</f>
        <v>0</v>
      </c>
      <c r="L113" s="86">
        <f t="shared" si="80"/>
        <v>0</v>
      </c>
      <c r="M113" s="167">
        <f t="shared" si="80"/>
        <v>0</v>
      </c>
      <c r="N113" s="93"/>
      <c r="O113" s="74"/>
      <c r="P113" s="276">
        <v>0</v>
      </c>
      <c r="Q113" s="75" t="str">
        <f t="shared" si="63"/>
        <v/>
      </c>
      <c r="R113" s="76">
        <f t="shared" si="64"/>
        <v>0</v>
      </c>
      <c r="S113" s="64">
        <f t="shared" si="47"/>
        <v>1</v>
      </c>
      <c r="T113" s="42">
        <f t="shared" ca="1" si="65"/>
        <v>0</v>
      </c>
      <c r="U113" s="42">
        <f t="shared" si="66"/>
        <v>0</v>
      </c>
      <c r="V113" s="42">
        <f t="shared" si="67"/>
        <v>0</v>
      </c>
      <c r="W113" s="42">
        <f t="shared" si="68"/>
        <v>0</v>
      </c>
      <c r="X113" s="42">
        <f t="shared" si="69"/>
        <v>0</v>
      </c>
      <c r="Y113" s="42">
        <f t="shared" si="70"/>
        <v>0</v>
      </c>
      <c r="Z113" s="42">
        <f t="shared" si="71"/>
        <v>0</v>
      </c>
      <c r="AA113" s="42">
        <f t="shared" si="72"/>
        <v>0</v>
      </c>
      <c r="AB113" s="42">
        <f t="shared" si="73"/>
        <v>0</v>
      </c>
      <c r="AC113" s="42">
        <f t="shared" si="74"/>
        <v>0</v>
      </c>
      <c r="AD113" s="88"/>
      <c r="AE113" s="88"/>
      <c r="AF113" s="88"/>
      <c r="AG113" s="88"/>
      <c r="AH113" s="88"/>
      <c r="AI113" s="88"/>
      <c r="AJ113" s="88"/>
      <c r="AK113" s="88"/>
    </row>
    <row r="114" spans="1:37" s="89" customFormat="1" outlineLevel="2" x14ac:dyDescent="0.3">
      <c r="A114" s="83">
        <v>1</v>
      </c>
      <c r="B114" s="315"/>
      <c r="C114" s="85" t="str">
        <f>IF(P115&lt;P114,_xlfn.CONCAT("Meal periods ",P113+1,"+ mins late"),IF(P114-P113=1,_xlfn.CONCAT("Meal periods ",P114," mins late"),_xlfn.CONCAT("Meal periods ",P113+1,"-",P114," mins late")))</f>
        <v>Meal periods 1 mins late</v>
      </c>
      <c r="D114" s="200" t="str">
        <f t="shared" ref="D114:D120" ca="1" si="82">_xlfn.LET(_xlpm.denom,D$113,_xlpm.calc,ROUND($Q114*_xlpm.denom,0),_xlpm.perc,_xlpm.calc/_xlpm.denom,IFERROR(IF(_xlpm.calc&lt;1000,_xlfn.CONCAT(_xlpm.calc," (",TEXT(_xlpm.perc,"0.0%"),")"),_xlfn.CONCAT(TEXT(_xlpm.calc,"0,000")," (",TEXT(_xlpm.perc,"0.0%"),")")),"-"))</f>
        <v>-</v>
      </c>
      <c r="E114" s="86" t="str" cm="1">
        <f t="array" ref="E114">_xlfn.LET(_xlpm.denom,E113,_xlpm.calc,COUNTIFS(LateMP1_w,1,mp1_mins_late,"&gt;"&amp;$P113,mp1_mins_late,"&lt;="&amp;$P114,Date,"&gt;="&amp;E$4,Date,"&lt;="&amp;E$5,Key_Gps,"*"&amp;E$1&amp;"*"),_xlpm.perc,_xlpm.calc/_xlpm.denom,IFERROR(IF(_xlpm.calc&lt;1000,_xlfn.CONCAT(_xlpm.calc," (",TEXT(_xlpm.perc,"0.0%"),")"),_xlfn.CONCAT(TEXT(_xlpm.calc,"0,000")," (",TEXT(_xlpm.perc,"0.0%"),")")),"-"))</f>
        <v>-</v>
      </c>
      <c r="F114" s="86" t="str" cm="1">
        <f t="array" ref="F114">_xlfn.LET(_xlpm.denom,F113,_xlpm.calc,COUNTIFS(LateMP1_w,1,mp1_mins_late,"&gt;"&amp;$P113,mp1_mins_late,"&lt;="&amp;$P114,Date,"&gt;="&amp;F$4,Date,"&lt;="&amp;F$5,Key_Gps,"*"&amp;F$1&amp;"*"),_xlpm.perc,_xlpm.calc/_xlpm.denom,IFERROR(IF(_xlpm.calc&lt;1000,_xlfn.CONCAT(_xlpm.calc," (",TEXT(_xlpm.perc,"0.0%"),")"),_xlfn.CONCAT(TEXT(_xlpm.calc,"0,000")," (",TEXT(_xlpm.perc,"0.0%"),")")),"-"))</f>
        <v>-</v>
      </c>
      <c r="G114" s="86" t="str" cm="1">
        <f t="array" ref="G114">_xlfn.LET(_xlpm.denom,G113,_xlpm.calc,COUNTIFS(LateMP1_w,1,mp1_mins_late,"&gt;"&amp;$P113,mp1_mins_late,"&lt;="&amp;$P114,Date,"&gt;="&amp;G$4,Date,"&lt;="&amp;G$5,Key_Gps,"*"&amp;G$1&amp;"*"),_xlpm.perc,_xlpm.calc/_xlpm.denom,IFERROR(IF(_xlpm.calc&lt;1000,_xlfn.CONCAT(_xlpm.calc," (",TEXT(_xlpm.perc,"0.0%"),")"),_xlfn.CONCAT(TEXT(_xlpm.calc,"0,000")," (",TEXT(_xlpm.perc,"0.0%"),")")),"-"))</f>
        <v>-</v>
      </c>
      <c r="H114" s="86" t="str" cm="1">
        <f t="array" ref="H114">_xlfn.LET(_xlpm.denom,H113,_xlpm.calc,COUNTIFS(LateMP1_w,1,mp1_mins_late,"&gt;"&amp;$P113,mp1_mins_late,"&lt;="&amp;$P114,Date,"&gt;="&amp;H$4,Date,"&lt;="&amp;H$5,Key_Gps,"*"&amp;H$1&amp;"*"),_xlpm.perc,_xlpm.calc/_xlpm.denom,IFERROR(IF(_xlpm.calc&lt;1000,_xlfn.CONCAT(_xlpm.calc," (",TEXT(_xlpm.perc,"0.0%"),")"),_xlfn.CONCAT(TEXT(_xlpm.calc,"0,000")," (",TEXT(_xlpm.perc,"0.0%"),")")),"-"))</f>
        <v>-</v>
      </c>
      <c r="I114" s="86" t="str" cm="1">
        <f t="array" ref="I114">_xlfn.LET(_xlpm.denom,I113,_xlpm.calc,COUNTIFS(LateMP1_w,1,mp1_mins_late,"&gt;"&amp;$P113,mp1_mins_late,"&lt;="&amp;$P114,Date,"&gt;="&amp;I$4,Date,"&lt;="&amp;I$5,Key_Gps,"*"&amp;I$1&amp;"*"),_xlpm.perc,_xlpm.calc/_xlpm.denom,IFERROR(IF(_xlpm.calc&lt;1000,_xlfn.CONCAT(_xlpm.calc," (",TEXT(_xlpm.perc,"0.0%"),")"),_xlfn.CONCAT(TEXT(_xlpm.calc,"0,000")," (",TEXT(_xlpm.perc,"0.0%"),")")),"-"))</f>
        <v>-</v>
      </c>
      <c r="J114" s="86" t="str" cm="1">
        <f t="array" ref="J114">_xlfn.LET(_xlpm.denom,J113,_xlpm.calc,COUNTIFS(LateMP1_w,1,mp1_mins_late,"&gt;"&amp;$P113,mp1_mins_late,"&lt;="&amp;$P114,Date,"&gt;="&amp;J$4,Date,"&lt;="&amp;J$5,Key_Gps,"*"&amp;J$1&amp;"*"),_xlpm.perc,_xlpm.calc/_xlpm.denom,IFERROR(IF(_xlpm.calc&lt;1000,_xlfn.CONCAT(_xlpm.calc," (",TEXT(_xlpm.perc,"0.0%"),")"),_xlfn.CONCAT(TEXT(_xlpm.calc,"0,000")," (",TEXT(_xlpm.perc,"0.0%"),")")),"-"))</f>
        <v>-</v>
      </c>
      <c r="K114" s="86" t="str" cm="1">
        <f t="array" ref="K114">_xlfn.LET(_xlpm.denom,K113,_xlpm.calc,COUNTIFS(LateMP1_w,1,mp1_mins_late,"&gt;"&amp;$P113,mp1_mins_late,"&lt;="&amp;$P114,Date,"&gt;="&amp;K$4,Date,"&lt;="&amp;K$5,Key_Gps,"*"&amp;K$1&amp;"*"),_xlpm.perc,_xlpm.calc/_xlpm.denom,IFERROR(IF(_xlpm.calc&lt;1000,_xlfn.CONCAT(_xlpm.calc," (",TEXT(_xlpm.perc,"0.0%"),")"),_xlfn.CONCAT(TEXT(_xlpm.calc,"0,000")," (",TEXT(_xlpm.perc,"0.0%"),")")),"-"))</f>
        <v>-</v>
      </c>
      <c r="L114" s="86" t="str" cm="1">
        <f t="array" ref="L114">_xlfn.LET(_xlpm.denom,L113,_xlpm.calc,COUNTIFS(LateMP1_w,1,mp1_mins_late,"&gt;"&amp;$P113,mp1_mins_late,"&lt;="&amp;$P114,Date,"&gt;="&amp;L$4,Date,"&lt;="&amp;L$5,Key_Gps,"*"&amp;L$1&amp;"*"),_xlpm.perc,_xlpm.calc/_xlpm.denom,IFERROR(IF(_xlpm.calc&lt;1000,_xlfn.CONCAT(_xlpm.calc," (",TEXT(_xlpm.perc,"0.0%"),")"),_xlfn.CONCAT(TEXT(_xlpm.calc,"0,000")," (",TEXT(_xlpm.perc,"0.0%"),")")),"-"))</f>
        <v>-</v>
      </c>
      <c r="M114" s="167" t="str" cm="1">
        <f t="array" ref="M114">_xlfn.LET(_xlpm.denom,M113,_xlpm.calc,COUNTIFS(LateMP1_w,1,mp1_mins_late,"&gt;"&amp;$P113,mp1_mins_late,"&lt;="&amp;$P114,Date,"&gt;="&amp;M$4,Date,"&lt;="&amp;M$5,Key_Gps,"*"&amp;M$1&amp;"*"),_xlpm.perc,_xlpm.calc/_xlpm.denom,IFERROR(IF(_xlpm.calc&lt;1000,_xlfn.CONCAT(_xlpm.calc," (",TEXT(_xlpm.perc,"0.0%"),")"),_xlfn.CONCAT(TEXT(_xlpm.calc,"0,000")," (",TEXT(_xlpm.perc,"0.0%"),")")),"-"))</f>
        <v>-</v>
      </c>
      <c r="N114" s="93"/>
      <c r="O114" s="74"/>
      <c r="P114" s="276">
        <v>1</v>
      </c>
      <c r="Q114" s="75" t="str">
        <f t="shared" si="63"/>
        <v/>
      </c>
      <c r="R114" s="76" t="e">
        <f t="shared" si="64"/>
        <v>#VALUE!</v>
      </c>
      <c r="S114" s="64">
        <f t="shared" si="47"/>
        <v>1</v>
      </c>
      <c r="T114" s="42" t="str">
        <f t="shared" ca="1" si="65"/>
        <v>-</v>
      </c>
      <c r="U114" s="42" t="str">
        <f t="shared" si="66"/>
        <v>-</v>
      </c>
      <c r="V114" s="42" t="str">
        <f t="shared" si="67"/>
        <v>-</v>
      </c>
      <c r="W114" s="42" t="str">
        <f t="shared" si="68"/>
        <v>-</v>
      </c>
      <c r="X114" s="42" t="str">
        <f t="shared" si="69"/>
        <v>-</v>
      </c>
      <c r="Y114" s="42" t="str">
        <f t="shared" si="70"/>
        <v>-</v>
      </c>
      <c r="Z114" s="42" t="str">
        <f t="shared" si="71"/>
        <v>-</v>
      </c>
      <c r="AA114" s="42" t="str">
        <f t="shared" si="72"/>
        <v>-</v>
      </c>
      <c r="AB114" s="42" t="str">
        <f t="shared" si="73"/>
        <v>-</v>
      </c>
      <c r="AC114" s="42" t="str">
        <f t="shared" si="74"/>
        <v>-</v>
      </c>
      <c r="AD114" s="88"/>
      <c r="AE114" s="88"/>
      <c r="AF114" s="88"/>
      <c r="AG114" s="88"/>
      <c r="AH114" s="88"/>
      <c r="AI114" s="88"/>
      <c r="AJ114" s="88"/>
      <c r="AK114" s="88"/>
    </row>
    <row r="115" spans="1:37" s="89" customFormat="1" outlineLevel="2" x14ac:dyDescent="0.3">
      <c r="A115" s="83">
        <v>1</v>
      </c>
      <c r="B115" s="315"/>
      <c r="C115" s="85" t="str">
        <f t="shared" ref="C115:C120" si="83">IF(P116&lt;P115,_xlfn.CONCAT("Meal periods ",P114+1,"+ mins late"),IF(P115-P114=1,_xlfn.CONCAT("Meal periods ",P115," mins late"),_xlfn.CONCAT("Meal periods ",P114+1,"-",P115," mins late")))</f>
        <v>Meal periods 2-3 mins late</v>
      </c>
      <c r="D115" s="200" t="str">
        <f t="shared" ca="1" si="82"/>
        <v>-</v>
      </c>
      <c r="E115" s="86" t="str" cm="1">
        <f t="array" ref="E115">_xlfn.LET(_xlpm.denom,E113,_xlpm.calc,COUNTIFS(LateMP1_w,1,mp1_mins_late,"&gt;"&amp;$P114,mp1_mins_late,"&lt;="&amp;$P115,Date,"&gt;="&amp;E$4,Date,"&lt;="&amp;E$5,Key_Gps,"*"&amp;E$1&amp;"*"),_xlpm.perc,_xlpm.calc/_xlpm.denom,IFERROR(IF(_xlpm.calc&lt;1000,_xlfn.CONCAT(_xlpm.calc," (",TEXT(_xlpm.perc,"0.0%"),")"),_xlfn.CONCAT(TEXT(_xlpm.calc,"0,000")," (",TEXT(_xlpm.perc,"0.0%"),")")),"-"))</f>
        <v>-</v>
      </c>
      <c r="F115" s="86" t="str" cm="1">
        <f t="array" ref="F115">_xlfn.LET(_xlpm.denom,F113,_xlpm.calc,COUNTIFS(LateMP1_w,1,mp1_mins_late,"&gt;"&amp;$P114,mp1_mins_late,"&lt;="&amp;$P115,Date,"&gt;="&amp;F$4,Date,"&lt;="&amp;F$5,Key_Gps,"*"&amp;F$1&amp;"*"),_xlpm.perc,_xlpm.calc/_xlpm.denom,IFERROR(IF(_xlpm.calc&lt;1000,_xlfn.CONCAT(_xlpm.calc," (",TEXT(_xlpm.perc,"0.0%"),")"),_xlfn.CONCAT(TEXT(_xlpm.calc,"0,000")," (",TEXT(_xlpm.perc,"0.0%"),")")),"-"))</f>
        <v>-</v>
      </c>
      <c r="G115" s="86" t="str" cm="1">
        <f t="array" ref="G115">_xlfn.LET(_xlpm.denom,G113,_xlpm.calc,COUNTIFS(LateMP1_w,1,mp1_mins_late,"&gt;"&amp;$P114,mp1_mins_late,"&lt;="&amp;$P115,Date,"&gt;="&amp;G$4,Date,"&lt;="&amp;G$5,Key_Gps,"*"&amp;G$1&amp;"*"),_xlpm.perc,_xlpm.calc/_xlpm.denom,IFERROR(IF(_xlpm.calc&lt;1000,_xlfn.CONCAT(_xlpm.calc," (",TEXT(_xlpm.perc,"0.0%"),")"),_xlfn.CONCAT(TEXT(_xlpm.calc,"0,000")," (",TEXT(_xlpm.perc,"0.0%"),")")),"-"))</f>
        <v>-</v>
      </c>
      <c r="H115" s="86" t="str" cm="1">
        <f t="array" ref="H115">_xlfn.LET(_xlpm.denom,H113,_xlpm.calc,COUNTIFS(LateMP1_w,1,mp1_mins_late,"&gt;"&amp;$P114,mp1_mins_late,"&lt;="&amp;$P115,Date,"&gt;="&amp;H$4,Date,"&lt;="&amp;H$5,Key_Gps,"*"&amp;H$1&amp;"*"),_xlpm.perc,_xlpm.calc/_xlpm.denom,IFERROR(IF(_xlpm.calc&lt;1000,_xlfn.CONCAT(_xlpm.calc," (",TEXT(_xlpm.perc,"0.0%"),")"),_xlfn.CONCAT(TEXT(_xlpm.calc,"0,000")," (",TEXT(_xlpm.perc,"0.0%"),")")),"-"))</f>
        <v>-</v>
      </c>
      <c r="I115" s="86" t="str" cm="1">
        <f t="array" ref="I115">_xlfn.LET(_xlpm.denom,I113,_xlpm.calc,COUNTIFS(LateMP1_w,1,mp1_mins_late,"&gt;"&amp;$P114,mp1_mins_late,"&lt;="&amp;$P115,Date,"&gt;="&amp;I$4,Date,"&lt;="&amp;I$5,Key_Gps,"*"&amp;I$1&amp;"*"),_xlpm.perc,_xlpm.calc/_xlpm.denom,IFERROR(IF(_xlpm.calc&lt;1000,_xlfn.CONCAT(_xlpm.calc," (",TEXT(_xlpm.perc,"0.0%"),")"),_xlfn.CONCAT(TEXT(_xlpm.calc,"0,000")," (",TEXT(_xlpm.perc,"0.0%"),")")),"-"))</f>
        <v>-</v>
      </c>
      <c r="J115" s="86" t="str" cm="1">
        <f t="array" ref="J115">_xlfn.LET(_xlpm.denom,J113,_xlpm.calc,COUNTIFS(LateMP1_w,1,mp1_mins_late,"&gt;"&amp;$P114,mp1_mins_late,"&lt;="&amp;$P115,Date,"&gt;="&amp;J$4,Date,"&lt;="&amp;J$5,Key_Gps,"*"&amp;J$1&amp;"*"),_xlpm.perc,_xlpm.calc/_xlpm.denom,IFERROR(IF(_xlpm.calc&lt;1000,_xlfn.CONCAT(_xlpm.calc," (",TEXT(_xlpm.perc,"0.0%"),")"),_xlfn.CONCAT(TEXT(_xlpm.calc,"0,000")," (",TEXT(_xlpm.perc,"0.0%"),")")),"-"))</f>
        <v>-</v>
      </c>
      <c r="K115" s="86" t="str" cm="1">
        <f t="array" ref="K115">_xlfn.LET(_xlpm.denom,K113,_xlpm.calc,COUNTIFS(LateMP1_w,1,mp1_mins_late,"&gt;"&amp;$P114,mp1_mins_late,"&lt;="&amp;$P115,Date,"&gt;="&amp;K$4,Date,"&lt;="&amp;K$5,Key_Gps,"*"&amp;K$1&amp;"*"),_xlpm.perc,_xlpm.calc/_xlpm.denom,IFERROR(IF(_xlpm.calc&lt;1000,_xlfn.CONCAT(_xlpm.calc," (",TEXT(_xlpm.perc,"0.0%"),")"),_xlfn.CONCAT(TEXT(_xlpm.calc,"0,000")," (",TEXT(_xlpm.perc,"0.0%"),")")),"-"))</f>
        <v>-</v>
      </c>
      <c r="L115" s="86" t="str" cm="1">
        <f t="array" ref="L115">_xlfn.LET(_xlpm.denom,L113,_xlpm.calc,COUNTIFS(LateMP1_w,1,mp1_mins_late,"&gt;"&amp;$P114,mp1_mins_late,"&lt;="&amp;$P115,Date,"&gt;="&amp;L$4,Date,"&lt;="&amp;L$5,Key_Gps,"*"&amp;L$1&amp;"*"),_xlpm.perc,_xlpm.calc/_xlpm.denom,IFERROR(IF(_xlpm.calc&lt;1000,_xlfn.CONCAT(_xlpm.calc," (",TEXT(_xlpm.perc,"0.0%"),")"),_xlfn.CONCAT(TEXT(_xlpm.calc,"0,000")," (",TEXT(_xlpm.perc,"0.0%"),")")),"-"))</f>
        <v>-</v>
      </c>
      <c r="M115" s="167" t="str" cm="1">
        <f t="array" ref="M115">_xlfn.LET(_xlpm.denom,M113,_xlpm.calc,COUNTIFS(LateMP1_w,1,mp1_mins_late,"&gt;"&amp;$P114,mp1_mins_late,"&lt;="&amp;$P115,Date,"&gt;="&amp;M$4,Date,"&lt;="&amp;M$5,Key_Gps,"*"&amp;M$1&amp;"*"),_xlpm.perc,_xlpm.calc/_xlpm.denom,IFERROR(IF(_xlpm.calc&lt;1000,_xlfn.CONCAT(_xlpm.calc," (",TEXT(_xlpm.perc,"0.0%"),")"),_xlfn.CONCAT(TEXT(_xlpm.calc,"0,000")," (",TEXT(_xlpm.perc,"0.0%"),")")),"-"))</f>
        <v>-</v>
      </c>
      <c r="N115" s="93"/>
      <c r="O115" s="74"/>
      <c r="P115" s="276">
        <v>3</v>
      </c>
      <c r="Q115" s="75" t="str">
        <f t="shared" si="63"/>
        <v/>
      </c>
      <c r="R115" s="76" t="e">
        <f t="shared" si="64"/>
        <v>#VALUE!</v>
      </c>
      <c r="S115" s="64">
        <f t="shared" si="47"/>
        <v>1</v>
      </c>
      <c r="T115" s="42" t="str">
        <f t="shared" ca="1" si="65"/>
        <v>-</v>
      </c>
      <c r="U115" s="42" t="str">
        <f t="shared" si="66"/>
        <v>-</v>
      </c>
      <c r="V115" s="42" t="str">
        <f t="shared" si="67"/>
        <v>-</v>
      </c>
      <c r="W115" s="42" t="str">
        <f t="shared" si="68"/>
        <v>-</v>
      </c>
      <c r="X115" s="42" t="str">
        <f t="shared" si="69"/>
        <v>-</v>
      </c>
      <c r="Y115" s="42" t="str">
        <f t="shared" si="70"/>
        <v>-</v>
      </c>
      <c r="Z115" s="42" t="str">
        <f t="shared" si="71"/>
        <v>-</v>
      </c>
      <c r="AA115" s="42" t="str">
        <f t="shared" si="72"/>
        <v>-</v>
      </c>
      <c r="AB115" s="42" t="str">
        <f t="shared" si="73"/>
        <v>-</v>
      </c>
      <c r="AC115" s="42" t="str">
        <f t="shared" si="74"/>
        <v>-</v>
      </c>
      <c r="AD115" s="88"/>
      <c r="AE115" s="88"/>
      <c r="AF115" s="88"/>
      <c r="AG115" s="88"/>
      <c r="AH115" s="88"/>
      <c r="AI115" s="88"/>
      <c r="AJ115" s="88"/>
      <c r="AK115" s="88"/>
    </row>
    <row r="116" spans="1:37" s="89" customFormat="1" outlineLevel="2" x14ac:dyDescent="0.3">
      <c r="A116" s="83">
        <v>1</v>
      </c>
      <c r="B116" s="315"/>
      <c r="C116" s="85" t="str">
        <f t="shared" si="83"/>
        <v>Meal periods 4-10 mins late</v>
      </c>
      <c r="D116" s="200" t="str">
        <f t="shared" ca="1" si="82"/>
        <v>-</v>
      </c>
      <c r="E116" s="86" t="str" cm="1">
        <f t="array" ref="E116">_xlfn.LET(_xlpm.denom,E113,_xlpm.calc,COUNTIFS(LateMP1_w,1,mp1_mins_late,"&gt;"&amp;$P115,mp1_mins_late,"&lt;="&amp;$P116,Date,"&gt;="&amp;E$4,Date,"&lt;="&amp;E$5,Key_Gps,"*"&amp;E$1&amp;"*"),_xlpm.perc,_xlpm.calc/_xlpm.denom,IFERROR(IF(_xlpm.calc&lt;1000,_xlfn.CONCAT(_xlpm.calc," (",TEXT(_xlpm.perc,"0.0%"),")"),_xlfn.CONCAT(TEXT(_xlpm.calc,"0,000")," (",TEXT(_xlpm.perc,"0.0%"),")")),"-"))</f>
        <v>-</v>
      </c>
      <c r="F116" s="86" t="str" cm="1">
        <f t="array" ref="F116">_xlfn.LET(_xlpm.denom,F113,_xlpm.calc,COUNTIFS(LateMP1_w,1,mp1_mins_late,"&gt;"&amp;$P115,mp1_mins_late,"&lt;="&amp;$P116,Date,"&gt;="&amp;F$4,Date,"&lt;="&amp;F$5,Key_Gps,"*"&amp;F$1&amp;"*"),_xlpm.perc,_xlpm.calc/_xlpm.denom,IFERROR(IF(_xlpm.calc&lt;1000,_xlfn.CONCAT(_xlpm.calc," (",TEXT(_xlpm.perc,"0.0%"),")"),_xlfn.CONCAT(TEXT(_xlpm.calc,"0,000")," (",TEXT(_xlpm.perc,"0.0%"),")")),"-"))</f>
        <v>-</v>
      </c>
      <c r="G116" s="86" t="str" cm="1">
        <f t="array" ref="G116">_xlfn.LET(_xlpm.denom,G113,_xlpm.calc,COUNTIFS(LateMP1_w,1,mp1_mins_late,"&gt;"&amp;$P115,mp1_mins_late,"&lt;="&amp;$P116,Date,"&gt;="&amp;G$4,Date,"&lt;="&amp;G$5,Key_Gps,"*"&amp;G$1&amp;"*"),_xlpm.perc,_xlpm.calc/_xlpm.denom,IFERROR(IF(_xlpm.calc&lt;1000,_xlfn.CONCAT(_xlpm.calc," (",TEXT(_xlpm.perc,"0.0%"),")"),_xlfn.CONCAT(TEXT(_xlpm.calc,"0,000")," (",TEXT(_xlpm.perc,"0.0%"),")")),"-"))</f>
        <v>-</v>
      </c>
      <c r="H116" s="86" t="str" cm="1">
        <f t="array" ref="H116">_xlfn.LET(_xlpm.denom,H113,_xlpm.calc,COUNTIFS(LateMP1_w,1,mp1_mins_late,"&gt;"&amp;$P115,mp1_mins_late,"&lt;="&amp;$P116,Date,"&gt;="&amp;H$4,Date,"&lt;="&amp;H$5,Key_Gps,"*"&amp;H$1&amp;"*"),_xlpm.perc,_xlpm.calc/_xlpm.denom,IFERROR(IF(_xlpm.calc&lt;1000,_xlfn.CONCAT(_xlpm.calc," (",TEXT(_xlpm.perc,"0.0%"),")"),_xlfn.CONCAT(TEXT(_xlpm.calc,"0,000")," (",TEXT(_xlpm.perc,"0.0%"),")")),"-"))</f>
        <v>-</v>
      </c>
      <c r="I116" s="86" t="str" cm="1">
        <f t="array" ref="I116">_xlfn.LET(_xlpm.denom,I113,_xlpm.calc,COUNTIFS(LateMP1_w,1,mp1_mins_late,"&gt;"&amp;$P115,mp1_mins_late,"&lt;="&amp;$P116,Date,"&gt;="&amp;I$4,Date,"&lt;="&amp;I$5,Key_Gps,"*"&amp;I$1&amp;"*"),_xlpm.perc,_xlpm.calc/_xlpm.denom,IFERROR(IF(_xlpm.calc&lt;1000,_xlfn.CONCAT(_xlpm.calc," (",TEXT(_xlpm.perc,"0.0%"),")"),_xlfn.CONCAT(TEXT(_xlpm.calc,"0,000")," (",TEXT(_xlpm.perc,"0.0%"),")")),"-"))</f>
        <v>-</v>
      </c>
      <c r="J116" s="86" t="str" cm="1">
        <f t="array" ref="J116">_xlfn.LET(_xlpm.denom,J113,_xlpm.calc,COUNTIFS(LateMP1_w,1,mp1_mins_late,"&gt;"&amp;$P115,mp1_mins_late,"&lt;="&amp;$P116,Date,"&gt;="&amp;J$4,Date,"&lt;="&amp;J$5,Key_Gps,"*"&amp;J$1&amp;"*"),_xlpm.perc,_xlpm.calc/_xlpm.denom,IFERROR(IF(_xlpm.calc&lt;1000,_xlfn.CONCAT(_xlpm.calc," (",TEXT(_xlpm.perc,"0.0%"),")"),_xlfn.CONCAT(TEXT(_xlpm.calc,"0,000")," (",TEXT(_xlpm.perc,"0.0%"),")")),"-"))</f>
        <v>-</v>
      </c>
      <c r="K116" s="86" t="str" cm="1">
        <f t="array" ref="K116">_xlfn.LET(_xlpm.denom,K113,_xlpm.calc,COUNTIFS(LateMP1_w,1,mp1_mins_late,"&gt;"&amp;$P115,mp1_mins_late,"&lt;="&amp;$P116,Date,"&gt;="&amp;K$4,Date,"&lt;="&amp;K$5,Key_Gps,"*"&amp;K$1&amp;"*"),_xlpm.perc,_xlpm.calc/_xlpm.denom,IFERROR(IF(_xlpm.calc&lt;1000,_xlfn.CONCAT(_xlpm.calc," (",TEXT(_xlpm.perc,"0.0%"),")"),_xlfn.CONCAT(TEXT(_xlpm.calc,"0,000")," (",TEXT(_xlpm.perc,"0.0%"),")")),"-"))</f>
        <v>-</v>
      </c>
      <c r="L116" s="86" t="str" cm="1">
        <f t="array" ref="L116">_xlfn.LET(_xlpm.denom,L113,_xlpm.calc,COUNTIFS(LateMP1_w,1,mp1_mins_late,"&gt;"&amp;$P115,mp1_mins_late,"&lt;="&amp;$P116,Date,"&gt;="&amp;L$4,Date,"&lt;="&amp;L$5,Key_Gps,"*"&amp;L$1&amp;"*"),_xlpm.perc,_xlpm.calc/_xlpm.denom,IFERROR(IF(_xlpm.calc&lt;1000,_xlfn.CONCAT(_xlpm.calc," (",TEXT(_xlpm.perc,"0.0%"),")"),_xlfn.CONCAT(TEXT(_xlpm.calc,"0,000")," (",TEXT(_xlpm.perc,"0.0%"),")")),"-"))</f>
        <v>-</v>
      </c>
      <c r="M116" s="167" t="str" cm="1">
        <f t="array" ref="M116">_xlfn.LET(_xlpm.denom,M113,_xlpm.calc,COUNTIFS(LateMP1_w,1,mp1_mins_late,"&gt;"&amp;$P115,mp1_mins_late,"&lt;="&amp;$P116,Date,"&gt;="&amp;M$4,Date,"&lt;="&amp;M$5,Key_Gps,"*"&amp;M$1&amp;"*"),_xlpm.perc,_xlpm.calc/_xlpm.denom,IFERROR(IF(_xlpm.calc&lt;1000,_xlfn.CONCAT(_xlpm.calc," (",TEXT(_xlpm.perc,"0.0%"),")"),_xlfn.CONCAT(TEXT(_xlpm.calc,"0,000")," (",TEXT(_xlpm.perc,"0.0%"),")")),"-"))</f>
        <v>-</v>
      </c>
      <c r="N116" s="93"/>
      <c r="O116" s="74"/>
      <c r="P116" s="276">
        <v>10</v>
      </c>
      <c r="Q116" s="75" t="str">
        <f t="shared" si="63"/>
        <v/>
      </c>
      <c r="R116" s="76" t="e">
        <f t="shared" si="64"/>
        <v>#VALUE!</v>
      </c>
      <c r="S116" s="64">
        <f t="shared" si="47"/>
        <v>1</v>
      </c>
      <c r="T116" s="42" t="str">
        <f t="shared" ca="1" si="65"/>
        <v>-</v>
      </c>
      <c r="U116" s="42" t="str">
        <f t="shared" si="66"/>
        <v>-</v>
      </c>
      <c r="V116" s="42" t="str">
        <f t="shared" si="67"/>
        <v>-</v>
      </c>
      <c r="W116" s="42" t="str">
        <f t="shared" si="68"/>
        <v>-</v>
      </c>
      <c r="X116" s="42" t="str">
        <f t="shared" si="69"/>
        <v>-</v>
      </c>
      <c r="Y116" s="42" t="str">
        <f t="shared" si="70"/>
        <v>-</v>
      </c>
      <c r="Z116" s="42" t="str">
        <f t="shared" si="71"/>
        <v>-</v>
      </c>
      <c r="AA116" s="42" t="str">
        <f t="shared" si="72"/>
        <v>-</v>
      </c>
      <c r="AB116" s="42" t="str">
        <f t="shared" si="73"/>
        <v>-</v>
      </c>
      <c r="AC116" s="42" t="str">
        <f t="shared" si="74"/>
        <v>-</v>
      </c>
      <c r="AD116" s="88"/>
      <c r="AE116" s="88"/>
      <c r="AF116" s="88"/>
      <c r="AG116" s="88"/>
      <c r="AH116" s="88"/>
      <c r="AI116" s="88"/>
      <c r="AJ116" s="88"/>
      <c r="AK116" s="88"/>
    </row>
    <row r="117" spans="1:37" s="89" customFormat="1" outlineLevel="2" x14ac:dyDescent="0.3">
      <c r="A117" s="83">
        <v>1</v>
      </c>
      <c r="B117" s="315"/>
      <c r="C117" s="85" t="str">
        <f t="shared" si="83"/>
        <v>Meal periods 11-30 mins late</v>
      </c>
      <c r="D117" s="200" t="str">
        <f t="shared" ca="1" si="82"/>
        <v>-</v>
      </c>
      <c r="E117" s="86" t="str" cm="1">
        <f t="array" ref="E117">_xlfn.LET(_xlpm.denom,E113,_xlpm.calc,COUNTIFS(LateMP1_w,1,mp1_mins_late,"&gt;"&amp;$P116,mp1_mins_late,"&lt;="&amp;$P117,Date,"&gt;="&amp;E$4,Date,"&lt;="&amp;E$5,Key_Gps,"*"&amp;E$1&amp;"*"),_xlpm.perc,_xlpm.calc/_xlpm.denom,IFERROR(IF(_xlpm.calc&lt;1000,_xlfn.CONCAT(_xlpm.calc," (",TEXT(_xlpm.perc,"0.0%"),")"),_xlfn.CONCAT(TEXT(_xlpm.calc,"0,000")," (",TEXT(_xlpm.perc,"0.0%"),")")),"-"))</f>
        <v>-</v>
      </c>
      <c r="F117" s="86" t="str" cm="1">
        <f t="array" ref="F117">_xlfn.LET(_xlpm.denom,F113,_xlpm.calc,COUNTIFS(LateMP1_w,1,mp1_mins_late,"&gt;"&amp;$P116,mp1_mins_late,"&lt;="&amp;$P117,Date,"&gt;="&amp;F$4,Date,"&lt;="&amp;F$5,Key_Gps,"*"&amp;F$1&amp;"*"),_xlpm.perc,_xlpm.calc/_xlpm.denom,IFERROR(IF(_xlpm.calc&lt;1000,_xlfn.CONCAT(_xlpm.calc," (",TEXT(_xlpm.perc,"0.0%"),")"),_xlfn.CONCAT(TEXT(_xlpm.calc,"0,000")," (",TEXT(_xlpm.perc,"0.0%"),")")),"-"))</f>
        <v>-</v>
      </c>
      <c r="G117" s="86" t="str" cm="1">
        <f t="array" ref="G117">_xlfn.LET(_xlpm.denom,G113,_xlpm.calc,COUNTIFS(LateMP1_w,1,mp1_mins_late,"&gt;"&amp;$P116,mp1_mins_late,"&lt;="&amp;$P117,Date,"&gt;="&amp;G$4,Date,"&lt;="&amp;G$5,Key_Gps,"*"&amp;G$1&amp;"*"),_xlpm.perc,_xlpm.calc/_xlpm.denom,IFERROR(IF(_xlpm.calc&lt;1000,_xlfn.CONCAT(_xlpm.calc," (",TEXT(_xlpm.perc,"0.0%"),")"),_xlfn.CONCAT(TEXT(_xlpm.calc,"0,000")," (",TEXT(_xlpm.perc,"0.0%"),")")),"-"))</f>
        <v>-</v>
      </c>
      <c r="H117" s="86" t="str" cm="1">
        <f t="array" ref="H117">_xlfn.LET(_xlpm.denom,H113,_xlpm.calc,COUNTIFS(LateMP1_w,1,mp1_mins_late,"&gt;"&amp;$P116,mp1_mins_late,"&lt;="&amp;$P117,Date,"&gt;="&amp;H$4,Date,"&lt;="&amp;H$5,Key_Gps,"*"&amp;H$1&amp;"*"),_xlpm.perc,_xlpm.calc/_xlpm.denom,IFERROR(IF(_xlpm.calc&lt;1000,_xlfn.CONCAT(_xlpm.calc," (",TEXT(_xlpm.perc,"0.0%"),")"),_xlfn.CONCAT(TEXT(_xlpm.calc,"0,000")," (",TEXT(_xlpm.perc,"0.0%"),")")),"-"))</f>
        <v>-</v>
      </c>
      <c r="I117" s="86" t="str" cm="1">
        <f t="array" ref="I117">_xlfn.LET(_xlpm.denom,I113,_xlpm.calc,COUNTIFS(LateMP1_w,1,mp1_mins_late,"&gt;"&amp;$P116,mp1_mins_late,"&lt;="&amp;$P117,Date,"&gt;="&amp;I$4,Date,"&lt;="&amp;I$5,Key_Gps,"*"&amp;I$1&amp;"*"),_xlpm.perc,_xlpm.calc/_xlpm.denom,IFERROR(IF(_xlpm.calc&lt;1000,_xlfn.CONCAT(_xlpm.calc," (",TEXT(_xlpm.perc,"0.0%"),")"),_xlfn.CONCAT(TEXT(_xlpm.calc,"0,000")," (",TEXT(_xlpm.perc,"0.0%"),")")),"-"))</f>
        <v>-</v>
      </c>
      <c r="J117" s="86" t="str" cm="1">
        <f t="array" ref="J117">_xlfn.LET(_xlpm.denom,J113,_xlpm.calc,COUNTIFS(LateMP1_w,1,mp1_mins_late,"&gt;"&amp;$P116,mp1_mins_late,"&lt;="&amp;$P117,Date,"&gt;="&amp;J$4,Date,"&lt;="&amp;J$5,Key_Gps,"*"&amp;J$1&amp;"*"),_xlpm.perc,_xlpm.calc/_xlpm.denom,IFERROR(IF(_xlpm.calc&lt;1000,_xlfn.CONCAT(_xlpm.calc," (",TEXT(_xlpm.perc,"0.0%"),")"),_xlfn.CONCAT(TEXT(_xlpm.calc,"0,000")," (",TEXT(_xlpm.perc,"0.0%"),")")),"-"))</f>
        <v>-</v>
      </c>
      <c r="K117" s="86" t="str" cm="1">
        <f t="array" ref="K117">_xlfn.LET(_xlpm.denom,K113,_xlpm.calc,COUNTIFS(LateMP1_w,1,mp1_mins_late,"&gt;"&amp;$P116,mp1_mins_late,"&lt;="&amp;$P117,Date,"&gt;="&amp;K$4,Date,"&lt;="&amp;K$5,Key_Gps,"*"&amp;K$1&amp;"*"),_xlpm.perc,_xlpm.calc/_xlpm.denom,IFERROR(IF(_xlpm.calc&lt;1000,_xlfn.CONCAT(_xlpm.calc," (",TEXT(_xlpm.perc,"0.0%"),")"),_xlfn.CONCAT(TEXT(_xlpm.calc,"0,000")," (",TEXT(_xlpm.perc,"0.0%"),")")),"-"))</f>
        <v>-</v>
      </c>
      <c r="L117" s="86" t="str" cm="1">
        <f t="array" ref="L117">_xlfn.LET(_xlpm.denom,L113,_xlpm.calc,COUNTIFS(LateMP1_w,1,mp1_mins_late,"&gt;"&amp;$P116,mp1_mins_late,"&lt;="&amp;$P117,Date,"&gt;="&amp;L$4,Date,"&lt;="&amp;L$5,Key_Gps,"*"&amp;L$1&amp;"*"),_xlpm.perc,_xlpm.calc/_xlpm.denom,IFERROR(IF(_xlpm.calc&lt;1000,_xlfn.CONCAT(_xlpm.calc," (",TEXT(_xlpm.perc,"0.0%"),")"),_xlfn.CONCAT(TEXT(_xlpm.calc,"0,000")," (",TEXT(_xlpm.perc,"0.0%"),")")),"-"))</f>
        <v>-</v>
      </c>
      <c r="M117" s="167" t="str" cm="1">
        <f t="array" ref="M117">_xlfn.LET(_xlpm.denom,M113,_xlpm.calc,COUNTIFS(LateMP1_w,1,mp1_mins_late,"&gt;"&amp;$P116,mp1_mins_late,"&lt;="&amp;$P117,Date,"&gt;="&amp;M$4,Date,"&lt;="&amp;M$5,Key_Gps,"*"&amp;M$1&amp;"*"),_xlpm.perc,_xlpm.calc/_xlpm.denom,IFERROR(IF(_xlpm.calc&lt;1000,_xlfn.CONCAT(_xlpm.calc," (",TEXT(_xlpm.perc,"0.0%"),")"),_xlfn.CONCAT(TEXT(_xlpm.calc,"0,000")," (",TEXT(_xlpm.perc,"0.0%"),")")),"-"))</f>
        <v>-</v>
      </c>
      <c r="N117" s="93"/>
      <c r="O117" s="74"/>
      <c r="P117" s="276">
        <v>30</v>
      </c>
      <c r="Q117" s="75" t="str">
        <f t="shared" si="63"/>
        <v/>
      </c>
      <c r="R117" s="76" t="e">
        <f t="shared" si="64"/>
        <v>#VALUE!</v>
      </c>
      <c r="S117" s="64">
        <f t="shared" si="47"/>
        <v>1</v>
      </c>
      <c r="T117" s="42" t="str">
        <f t="shared" ca="1" si="65"/>
        <v>-</v>
      </c>
      <c r="U117" s="42" t="str">
        <f t="shared" si="66"/>
        <v>-</v>
      </c>
      <c r="V117" s="42" t="str">
        <f t="shared" si="67"/>
        <v>-</v>
      </c>
      <c r="W117" s="42" t="str">
        <f t="shared" si="68"/>
        <v>-</v>
      </c>
      <c r="X117" s="42" t="str">
        <f t="shared" si="69"/>
        <v>-</v>
      </c>
      <c r="Y117" s="42" t="str">
        <f t="shared" si="70"/>
        <v>-</v>
      </c>
      <c r="Z117" s="42" t="str">
        <f t="shared" si="71"/>
        <v>-</v>
      </c>
      <c r="AA117" s="42" t="str">
        <f t="shared" si="72"/>
        <v>-</v>
      </c>
      <c r="AB117" s="42" t="str">
        <f t="shared" si="73"/>
        <v>-</v>
      </c>
      <c r="AC117" s="42" t="str">
        <f t="shared" si="74"/>
        <v>-</v>
      </c>
      <c r="AD117" s="88"/>
      <c r="AE117" s="88"/>
      <c r="AF117" s="88"/>
      <c r="AG117" s="88"/>
      <c r="AH117" s="88"/>
      <c r="AI117" s="88"/>
      <c r="AJ117" s="88"/>
      <c r="AK117" s="88"/>
    </row>
    <row r="118" spans="1:37" s="89" customFormat="1" outlineLevel="2" x14ac:dyDescent="0.3">
      <c r="A118" s="83">
        <v>1</v>
      </c>
      <c r="B118" s="315"/>
      <c r="C118" s="85" t="str">
        <f t="shared" si="83"/>
        <v>Meal periods 31-60 mins late</v>
      </c>
      <c r="D118" s="200" t="str">
        <f t="shared" ca="1" si="82"/>
        <v>-</v>
      </c>
      <c r="E118" s="86" t="str" cm="1">
        <f t="array" ref="E118">_xlfn.LET(_xlpm.denom,E113,_xlpm.calc,COUNTIFS(LateMP1_w,1,mp1_mins_late,"&gt;"&amp;$P117,mp1_mins_late,"&lt;="&amp;$P118,Date,"&gt;="&amp;E$4,Date,"&lt;="&amp;E$5,Key_Gps,"*"&amp;E$1&amp;"*"),_xlpm.perc,_xlpm.calc/_xlpm.denom,IFERROR(IF(_xlpm.calc&lt;1000,_xlfn.CONCAT(_xlpm.calc," (",TEXT(_xlpm.perc,"0.0%"),")"),_xlfn.CONCAT(TEXT(_xlpm.calc,"0,000")," (",TEXT(_xlpm.perc,"0.0%"),")")),"-"))</f>
        <v>-</v>
      </c>
      <c r="F118" s="86" t="str" cm="1">
        <f t="array" ref="F118">_xlfn.LET(_xlpm.denom,F113,_xlpm.calc,COUNTIFS(LateMP1_w,1,mp1_mins_late,"&gt;"&amp;$P117,mp1_mins_late,"&lt;="&amp;$P118,Date,"&gt;="&amp;F$4,Date,"&lt;="&amp;F$5,Key_Gps,"*"&amp;F$1&amp;"*"),_xlpm.perc,_xlpm.calc/_xlpm.denom,IFERROR(IF(_xlpm.calc&lt;1000,_xlfn.CONCAT(_xlpm.calc," (",TEXT(_xlpm.perc,"0.0%"),")"),_xlfn.CONCAT(TEXT(_xlpm.calc,"0,000")," (",TEXT(_xlpm.perc,"0.0%"),")")),"-"))</f>
        <v>-</v>
      </c>
      <c r="G118" s="86" t="str" cm="1">
        <f t="array" ref="G118">_xlfn.LET(_xlpm.denom,G113,_xlpm.calc,COUNTIFS(LateMP1_w,1,mp1_mins_late,"&gt;"&amp;$P117,mp1_mins_late,"&lt;="&amp;$P118,Date,"&gt;="&amp;G$4,Date,"&lt;="&amp;G$5,Key_Gps,"*"&amp;G$1&amp;"*"),_xlpm.perc,_xlpm.calc/_xlpm.denom,IFERROR(IF(_xlpm.calc&lt;1000,_xlfn.CONCAT(_xlpm.calc," (",TEXT(_xlpm.perc,"0.0%"),")"),_xlfn.CONCAT(TEXT(_xlpm.calc,"0,000")," (",TEXT(_xlpm.perc,"0.0%"),")")),"-"))</f>
        <v>-</v>
      </c>
      <c r="H118" s="86" t="str" cm="1">
        <f t="array" ref="H118">_xlfn.LET(_xlpm.denom,H113,_xlpm.calc,COUNTIFS(LateMP1_w,1,mp1_mins_late,"&gt;"&amp;$P117,mp1_mins_late,"&lt;="&amp;$P118,Date,"&gt;="&amp;H$4,Date,"&lt;="&amp;H$5,Key_Gps,"*"&amp;H$1&amp;"*"),_xlpm.perc,_xlpm.calc/_xlpm.denom,IFERROR(IF(_xlpm.calc&lt;1000,_xlfn.CONCAT(_xlpm.calc," (",TEXT(_xlpm.perc,"0.0%"),")"),_xlfn.CONCAT(TEXT(_xlpm.calc,"0,000")," (",TEXT(_xlpm.perc,"0.0%"),")")),"-"))</f>
        <v>-</v>
      </c>
      <c r="I118" s="86" t="str" cm="1">
        <f t="array" ref="I118">_xlfn.LET(_xlpm.denom,I113,_xlpm.calc,COUNTIFS(LateMP1_w,1,mp1_mins_late,"&gt;"&amp;$P117,mp1_mins_late,"&lt;="&amp;$P118,Date,"&gt;="&amp;I$4,Date,"&lt;="&amp;I$5,Key_Gps,"*"&amp;I$1&amp;"*"),_xlpm.perc,_xlpm.calc/_xlpm.denom,IFERROR(IF(_xlpm.calc&lt;1000,_xlfn.CONCAT(_xlpm.calc," (",TEXT(_xlpm.perc,"0.0%"),")"),_xlfn.CONCAT(TEXT(_xlpm.calc,"0,000")," (",TEXT(_xlpm.perc,"0.0%"),")")),"-"))</f>
        <v>-</v>
      </c>
      <c r="J118" s="86" t="str" cm="1">
        <f t="array" ref="J118">_xlfn.LET(_xlpm.denom,J113,_xlpm.calc,COUNTIFS(LateMP1_w,1,mp1_mins_late,"&gt;"&amp;$P117,mp1_mins_late,"&lt;="&amp;$P118,Date,"&gt;="&amp;J$4,Date,"&lt;="&amp;J$5,Key_Gps,"*"&amp;J$1&amp;"*"),_xlpm.perc,_xlpm.calc/_xlpm.denom,IFERROR(IF(_xlpm.calc&lt;1000,_xlfn.CONCAT(_xlpm.calc," (",TEXT(_xlpm.perc,"0.0%"),")"),_xlfn.CONCAT(TEXT(_xlpm.calc,"0,000")," (",TEXT(_xlpm.perc,"0.0%"),")")),"-"))</f>
        <v>-</v>
      </c>
      <c r="K118" s="86" t="str" cm="1">
        <f t="array" ref="K118">_xlfn.LET(_xlpm.denom,K113,_xlpm.calc,COUNTIFS(LateMP1_w,1,mp1_mins_late,"&gt;"&amp;$P117,mp1_mins_late,"&lt;="&amp;$P118,Date,"&gt;="&amp;K$4,Date,"&lt;="&amp;K$5,Key_Gps,"*"&amp;K$1&amp;"*"),_xlpm.perc,_xlpm.calc/_xlpm.denom,IFERROR(IF(_xlpm.calc&lt;1000,_xlfn.CONCAT(_xlpm.calc," (",TEXT(_xlpm.perc,"0.0%"),")"),_xlfn.CONCAT(TEXT(_xlpm.calc,"0,000")," (",TEXT(_xlpm.perc,"0.0%"),")")),"-"))</f>
        <v>-</v>
      </c>
      <c r="L118" s="86" t="str" cm="1">
        <f t="array" ref="L118">_xlfn.LET(_xlpm.denom,L113,_xlpm.calc,COUNTIFS(LateMP1_w,1,mp1_mins_late,"&gt;"&amp;$P117,mp1_mins_late,"&lt;="&amp;$P118,Date,"&gt;="&amp;L$4,Date,"&lt;="&amp;L$5,Key_Gps,"*"&amp;L$1&amp;"*"),_xlpm.perc,_xlpm.calc/_xlpm.denom,IFERROR(IF(_xlpm.calc&lt;1000,_xlfn.CONCAT(_xlpm.calc," (",TEXT(_xlpm.perc,"0.0%"),")"),_xlfn.CONCAT(TEXT(_xlpm.calc,"0,000")," (",TEXT(_xlpm.perc,"0.0%"),")")),"-"))</f>
        <v>-</v>
      </c>
      <c r="M118" s="167" t="str" cm="1">
        <f t="array" ref="M118">_xlfn.LET(_xlpm.denom,M113,_xlpm.calc,COUNTIFS(LateMP1_w,1,mp1_mins_late,"&gt;"&amp;$P117,mp1_mins_late,"&lt;="&amp;$P118,Date,"&gt;="&amp;M$4,Date,"&lt;="&amp;M$5,Key_Gps,"*"&amp;M$1&amp;"*"),_xlpm.perc,_xlpm.calc/_xlpm.denom,IFERROR(IF(_xlpm.calc&lt;1000,_xlfn.CONCAT(_xlpm.calc," (",TEXT(_xlpm.perc,"0.0%"),")"),_xlfn.CONCAT(TEXT(_xlpm.calc,"0,000")," (",TEXT(_xlpm.perc,"0.0%"),")")),"-"))</f>
        <v>-</v>
      </c>
      <c r="N118" s="93"/>
      <c r="O118" s="74"/>
      <c r="P118" s="276">
        <v>60</v>
      </c>
      <c r="Q118" s="75" t="str">
        <f t="shared" si="63"/>
        <v/>
      </c>
      <c r="R118" s="76" t="e">
        <f t="shared" si="64"/>
        <v>#VALUE!</v>
      </c>
      <c r="S118" s="64">
        <f t="shared" si="47"/>
        <v>1</v>
      </c>
      <c r="T118" s="42" t="str">
        <f t="shared" ca="1" si="65"/>
        <v>-</v>
      </c>
      <c r="U118" s="42" t="str">
        <f t="shared" si="66"/>
        <v>-</v>
      </c>
      <c r="V118" s="42" t="str">
        <f t="shared" si="67"/>
        <v>-</v>
      </c>
      <c r="W118" s="42" t="str">
        <f t="shared" si="68"/>
        <v>-</v>
      </c>
      <c r="X118" s="42" t="str">
        <f t="shared" si="69"/>
        <v>-</v>
      </c>
      <c r="Y118" s="42" t="str">
        <f t="shared" si="70"/>
        <v>-</v>
      </c>
      <c r="Z118" s="42" t="str">
        <f t="shared" si="71"/>
        <v>-</v>
      </c>
      <c r="AA118" s="42" t="str">
        <f t="shared" si="72"/>
        <v>-</v>
      </c>
      <c r="AB118" s="42" t="str">
        <f t="shared" si="73"/>
        <v>-</v>
      </c>
      <c r="AC118" s="42" t="str">
        <f t="shared" si="74"/>
        <v>-</v>
      </c>
      <c r="AD118" s="88"/>
      <c r="AE118" s="88"/>
      <c r="AF118" s="88"/>
      <c r="AG118" s="88"/>
      <c r="AH118" s="88"/>
      <c r="AI118" s="88"/>
      <c r="AJ118" s="88"/>
      <c r="AK118" s="88"/>
    </row>
    <row r="119" spans="1:37" s="89" customFormat="1" outlineLevel="2" x14ac:dyDescent="0.3">
      <c r="A119" s="83">
        <v>1</v>
      </c>
      <c r="B119" s="315"/>
      <c r="C119" s="85" t="str">
        <f t="shared" si="83"/>
        <v>Meal periods 61-120 mins late</v>
      </c>
      <c r="D119" s="200" t="str">
        <f t="shared" ca="1" si="82"/>
        <v>-</v>
      </c>
      <c r="E119" s="86" t="str" cm="1">
        <f t="array" ref="E119">_xlfn.LET(_xlpm.denom,E113,_xlpm.calc,COUNTIFS(LateMP1_w,1,mp1_mins_late,"&gt;"&amp;$P118,mp1_mins_late,"&lt;="&amp;$P119,Date,"&gt;="&amp;E$4,Date,"&lt;="&amp;E$5,Key_Gps,"*"&amp;E$1&amp;"*"),_xlpm.perc,_xlpm.calc/_xlpm.denom,IFERROR(IF(_xlpm.calc&lt;1000,_xlfn.CONCAT(_xlpm.calc," (",TEXT(_xlpm.perc,"0.0%"),")"),_xlfn.CONCAT(TEXT(_xlpm.calc,"0,000")," (",TEXT(_xlpm.perc,"0.0%"),")")),"-"))</f>
        <v>-</v>
      </c>
      <c r="F119" s="86" t="str" cm="1">
        <f t="array" ref="F119">_xlfn.LET(_xlpm.denom,F113,_xlpm.calc,COUNTIFS(LateMP1_w,1,mp1_mins_late,"&gt;"&amp;$P118,mp1_mins_late,"&lt;="&amp;$P119,Date,"&gt;="&amp;F$4,Date,"&lt;="&amp;F$5,Key_Gps,"*"&amp;F$1&amp;"*"),_xlpm.perc,_xlpm.calc/_xlpm.denom,IFERROR(IF(_xlpm.calc&lt;1000,_xlfn.CONCAT(_xlpm.calc," (",TEXT(_xlpm.perc,"0.0%"),")"),_xlfn.CONCAT(TEXT(_xlpm.calc,"0,000")," (",TEXT(_xlpm.perc,"0.0%"),")")),"-"))</f>
        <v>-</v>
      </c>
      <c r="G119" s="86" t="str" cm="1">
        <f t="array" ref="G119">_xlfn.LET(_xlpm.denom,G113,_xlpm.calc,COUNTIFS(LateMP1_w,1,mp1_mins_late,"&gt;"&amp;$P118,mp1_mins_late,"&lt;="&amp;$P119,Date,"&gt;="&amp;G$4,Date,"&lt;="&amp;G$5,Key_Gps,"*"&amp;G$1&amp;"*"),_xlpm.perc,_xlpm.calc/_xlpm.denom,IFERROR(IF(_xlpm.calc&lt;1000,_xlfn.CONCAT(_xlpm.calc," (",TEXT(_xlpm.perc,"0.0%"),")"),_xlfn.CONCAT(TEXT(_xlpm.calc,"0,000")," (",TEXT(_xlpm.perc,"0.0%"),")")),"-"))</f>
        <v>-</v>
      </c>
      <c r="H119" s="86" t="str" cm="1">
        <f t="array" ref="H119">_xlfn.LET(_xlpm.denom,H113,_xlpm.calc,COUNTIFS(LateMP1_w,1,mp1_mins_late,"&gt;"&amp;$P118,mp1_mins_late,"&lt;="&amp;$P119,Date,"&gt;="&amp;H$4,Date,"&lt;="&amp;H$5,Key_Gps,"*"&amp;H$1&amp;"*"),_xlpm.perc,_xlpm.calc/_xlpm.denom,IFERROR(IF(_xlpm.calc&lt;1000,_xlfn.CONCAT(_xlpm.calc," (",TEXT(_xlpm.perc,"0.0%"),")"),_xlfn.CONCAT(TEXT(_xlpm.calc,"0,000")," (",TEXT(_xlpm.perc,"0.0%"),")")),"-"))</f>
        <v>-</v>
      </c>
      <c r="I119" s="86" t="str" cm="1">
        <f t="array" ref="I119">_xlfn.LET(_xlpm.denom,I113,_xlpm.calc,COUNTIFS(LateMP1_w,1,mp1_mins_late,"&gt;"&amp;$P118,mp1_mins_late,"&lt;="&amp;$P119,Date,"&gt;="&amp;I$4,Date,"&lt;="&amp;I$5,Key_Gps,"*"&amp;I$1&amp;"*"),_xlpm.perc,_xlpm.calc/_xlpm.denom,IFERROR(IF(_xlpm.calc&lt;1000,_xlfn.CONCAT(_xlpm.calc," (",TEXT(_xlpm.perc,"0.0%"),")"),_xlfn.CONCAT(TEXT(_xlpm.calc,"0,000")," (",TEXT(_xlpm.perc,"0.0%"),")")),"-"))</f>
        <v>-</v>
      </c>
      <c r="J119" s="86" t="str" cm="1">
        <f t="array" ref="J119">_xlfn.LET(_xlpm.denom,J113,_xlpm.calc,COUNTIFS(LateMP1_w,1,mp1_mins_late,"&gt;"&amp;$P118,mp1_mins_late,"&lt;="&amp;$P119,Date,"&gt;="&amp;J$4,Date,"&lt;="&amp;J$5,Key_Gps,"*"&amp;J$1&amp;"*"),_xlpm.perc,_xlpm.calc/_xlpm.denom,IFERROR(IF(_xlpm.calc&lt;1000,_xlfn.CONCAT(_xlpm.calc," (",TEXT(_xlpm.perc,"0.0%"),")"),_xlfn.CONCAT(TEXT(_xlpm.calc,"0,000")," (",TEXT(_xlpm.perc,"0.0%"),")")),"-"))</f>
        <v>-</v>
      </c>
      <c r="K119" s="86" t="str" cm="1">
        <f t="array" ref="K119">_xlfn.LET(_xlpm.denom,K113,_xlpm.calc,COUNTIFS(LateMP1_w,1,mp1_mins_late,"&gt;"&amp;$P118,mp1_mins_late,"&lt;="&amp;$P119,Date,"&gt;="&amp;K$4,Date,"&lt;="&amp;K$5,Key_Gps,"*"&amp;K$1&amp;"*"),_xlpm.perc,_xlpm.calc/_xlpm.denom,IFERROR(IF(_xlpm.calc&lt;1000,_xlfn.CONCAT(_xlpm.calc," (",TEXT(_xlpm.perc,"0.0%"),")"),_xlfn.CONCAT(TEXT(_xlpm.calc,"0,000")," (",TEXT(_xlpm.perc,"0.0%"),")")),"-"))</f>
        <v>-</v>
      </c>
      <c r="L119" s="86" t="str" cm="1">
        <f t="array" ref="L119">_xlfn.LET(_xlpm.denom,L113,_xlpm.calc,COUNTIFS(LateMP1_w,1,mp1_mins_late,"&gt;"&amp;$P118,mp1_mins_late,"&lt;="&amp;$P119,Date,"&gt;="&amp;L$4,Date,"&lt;="&amp;L$5,Key_Gps,"*"&amp;L$1&amp;"*"),_xlpm.perc,_xlpm.calc/_xlpm.denom,IFERROR(IF(_xlpm.calc&lt;1000,_xlfn.CONCAT(_xlpm.calc," (",TEXT(_xlpm.perc,"0.0%"),")"),_xlfn.CONCAT(TEXT(_xlpm.calc,"0,000")," (",TEXT(_xlpm.perc,"0.0%"),")")),"-"))</f>
        <v>-</v>
      </c>
      <c r="M119" s="167" t="str" cm="1">
        <f t="array" ref="M119">_xlfn.LET(_xlpm.denom,M113,_xlpm.calc,COUNTIFS(LateMP1_w,1,mp1_mins_late,"&gt;"&amp;$P118,mp1_mins_late,"&lt;="&amp;$P119,Date,"&gt;="&amp;M$4,Date,"&lt;="&amp;M$5,Key_Gps,"*"&amp;M$1&amp;"*"),_xlpm.perc,_xlpm.calc/_xlpm.denom,IFERROR(IF(_xlpm.calc&lt;1000,_xlfn.CONCAT(_xlpm.calc," (",TEXT(_xlpm.perc,"0.0%"),")"),_xlfn.CONCAT(TEXT(_xlpm.calc,"0,000")," (",TEXT(_xlpm.perc,"0.0%"),")")),"-"))</f>
        <v>-</v>
      </c>
      <c r="N119" s="93"/>
      <c r="O119" s="74"/>
      <c r="P119" s="276">
        <v>120</v>
      </c>
      <c r="Q119" s="75" t="str">
        <f t="shared" si="63"/>
        <v/>
      </c>
      <c r="R119" s="76" t="e">
        <f t="shared" si="64"/>
        <v>#VALUE!</v>
      </c>
      <c r="S119" s="64">
        <f t="shared" si="47"/>
        <v>1</v>
      </c>
      <c r="T119" s="42" t="str">
        <f t="shared" ca="1" si="65"/>
        <v>-</v>
      </c>
      <c r="U119" s="42" t="str">
        <f t="shared" si="66"/>
        <v>-</v>
      </c>
      <c r="V119" s="42" t="str">
        <f t="shared" si="67"/>
        <v>-</v>
      </c>
      <c r="W119" s="42" t="str">
        <f t="shared" si="68"/>
        <v>-</v>
      </c>
      <c r="X119" s="42" t="str">
        <f t="shared" si="69"/>
        <v>-</v>
      </c>
      <c r="Y119" s="42" t="str">
        <f t="shared" si="70"/>
        <v>-</v>
      </c>
      <c r="Z119" s="42" t="str">
        <f t="shared" si="71"/>
        <v>-</v>
      </c>
      <c r="AA119" s="42" t="str">
        <f t="shared" si="72"/>
        <v>-</v>
      </c>
      <c r="AB119" s="42" t="str">
        <f t="shared" si="73"/>
        <v>-</v>
      </c>
      <c r="AC119" s="42" t="str">
        <f t="shared" si="74"/>
        <v>-</v>
      </c>
      <c r="AD119" s="88"/>
      <c r="AE119" s="88"/>
      <c r="AF119" s="88"/>
      <c r="AG119" s="88"/>
      <c r="AH119" s="88"/>
      <c r="AI119" s="88"/>
      <c r="AJ119" s="88"/>
      <c r="AK119" s="88"/>
    </row>
    <row r="120" spans="1:37" s="89" customFormat="1" outlineLevel="2" x14ac:dyDescent="0.3">
      <c r="A120" s="83">
        <v>1</v>
      </c>
      <c r="B120" s="315"/>
      <c r="C120" s="85" t="str">
        <f t="shared" si="83"/>
        <v>Meal periods 121+ mins late</v>
      </c>
      <c r="D120" s="200" t="str">
        <f t="shared" ca="1" si="82"/>
        <v>-</v>
      </c>
      <c r="E120" s="86" t="str" cm="1">
        <f t="array" ref="E120">_xlfn.LET(_xlpm.denom,E113,_xlpm.calc,COUNTIFS(LateMP1_w,1,mp1_mins_late,"&gt;"&amp;$P119,mp1_mins_late,"&lt;="&amp;$P120,Date,"&gt;="&amp;E$4,Date,"&lt;="&amp;E$5,Key_Gps,"*"&amp;E$1&amp;"*"),_xlpm.perc,_xlpm.calc/_xlpm.denom,IFERROR(IF(_xlpm.calc&lt;1000,_xlfn.CONCAT(_xlpm.calc," (",TEXT(_xlpm.perc,"0.0%"),")"),_xlfn.CONCAT(TEXT(_xlpm.calc,"0,000")," (",TEXT(_xlpm.perc,"0.0%"),")")),"-"))</f>
        <v>-</v>
      </c>
      <c r="F120" s="86" t="str" cm="1">
        <f t="array" ref="F120">_xlfn.LET(_xlpm.denom,F113,_xlpm.calc,COUNTIFS(LateMP1_w,1,mp1_mins_late,"&gt;"&amp;$P119,mp1_mins_late,"&lt;="&amp;$P120,Date,"&gt;="&amp;F$4,Date,"&lt;="&amp;F$5,Key_Gps,"*"&amp;F$1&amp;"*"),_xlpm.perc,_xlpm.calc/_xlpm.denom,IFERROR(IF(_xlpm.calc&lt;1000,_xlfn.CONCAT(_xlpm.calc," (",TEXT(_xlpm.perc,"0.0%"),")"),_xlfn.CONCAT(TEXT(_xlpm.calc,"0,000")," (",TEXT(_xlpm.perc,"0.0%"),")")),"-"))</f>
        <v>-</v>
      </c>
      <c r="G120" s="86" t="str" cm="1">
        <f t="array" ref="G120">_xlfn.LET(_xlpm.denom,G113,_xlpm.calc,COUNTIFS(LateMP1_w,1,mp1_mins_late,"&gt;"&amp;$P119,mp1_mins_late,"&lt;="&amp;$P120,Date,"&gt;="&amp;G$4,Date,"&lt;="&amp;G$5,Key_Gps,"*"&amp;G$1&amp;"*"),_xlpm.perc,_xlpm.calc/_xlpm.denom,IFERROR(IF(_xlpm.calc&lt;1000,_xlfn.CONCAT(_xlpm.calc," (",TEXT(_xlpm.perc,"0.0%"),")"),_xlfn.CONCAT(TEXT(_xlpm.calc,"0,000")," (",TEXT(_xlpm.perc,"0.0%"),")")),"-"))</f>
        <v>-</v>
      </c>
      <c r="H120" s="86" t="str" cm="1">
        <f t="array" ref="H120">_xlfn.LET(_xlpm.denom,H113,_xlpm.calc,COUNTIFS(LateMP1_w,1,mp1_mins_late,"&gt;"&amp;$P119,mp1_mins_late,"&lt;="&amp;$P120,Date,"&gt;="&amp;H$4,Date,"&lt;="&amp;H$5,Key_Gps,"*"&amp;H$1&amp;"*"),_xlpm.perc,_xlpm.calc/_xlpm.denom,IFERROR(IF(_xlpm.calc&lt;1000,_xlfn.CONCAT(_xlpm.calc," (",TEXT(_xlpm.perc,"0.0%"),")"),_xlfn.CONCAT(TEXT(_xlpm.calc,"0,000")," (",TEXT(_xlpm.perc,"0.0%"),")")),"-"))</f>
        <v>-</v>
      </c>
      <c r="I120" s="86" t="str" cm="1">
        <f t="array" ref="I120">_xlfn.LET(_xlpm.denom,I113,_xlpm.calc,COUNTIFS(LateMP1_w,1,mp1_mins_late,"&gt;"&amp;$P119,mp1_mins_late,"&lt;="&amp;$P120,Date,"&gt;="&amp;I$4,Date,"&lt;="&amp;I$5,Key_Gps,"*"&amp;I$1&amp;"*"),_xlpm.perc,_xlpm.calc/_xlpm.denom,IFERROR(IF(_xlpm.calc&lt;1000,_xlfn.CONCAT(_xlpm.calc," (",TEXT(_xlpm.perc,"0.0%"),")"),_xlfn.CONCAT(TEXT(_xlpm.calc,"0,000")," (",TEXT(_xlpm.perc,"0.0%"),")")),"-"))</f>
        <v>-</v>
      </c>
      <c r="J120" s="86" t="str" cm="1">
        <f t="array" ref="J120">_xlfn.LET(_xlpm.denom,J113,_xlpm.calc,COUNTIFS(LateMP1_w,1,mp1_mins_late,"&gt;"&amp;$P119,mp1_mins_late,"&lt;="&amp;$P120,Date,"&gt;="&amp;J$4,Date,"&lt;="&amp;J$5,Key_Gps,"*"&amp;J$1&amp;"*"),_xlpm.perc,_xlpm.calc/_xlpm.denom,IFERROR(IF(_xlpm.calc&lt;1000,_xlfn.CONCAT(_xlpm.calc," (",TEXT(_xlpm.perc,"0.0%"),")"),_xlfn.CONCAT(TEXT(_xlpm.calc,"0,000")," (",TEXT(_xlpm.perc,"0.0%"),")")),"-"))</f>
        <v>-</v>
      </c>
      <c r="K120" s="86" t="str" cm="1">
        <f t="array" ref="K120">_xlfn.LET(_xlpm.denom,K113,_xlpm.calc,COUNTIFS(LateMP1_w,1,mp1_mins_late,"&gt;"&amp;$P119,mp1_mins_late,"&lt;="&amp;$P120,Date,"&gt;="&amp;K$4,Date,"&lt;="&amp;K$5,Key_Gps,"*"&amp;K$1&amp;"*"),_xlpm.perc,_xlpm.calc/_xlpm.denom,IFERROR(IF(_xlpm.calc&lt;1000,_xlfn.CONCAT(_xlpm.calc," (",TEXT(_xlpm.perc,"0.0%"),")"),_xlfn.CONCAT(TEXT(_xlpm.calc,"0,000")," (",TEXT(_xlpm.perc,"0.0%"),")")),"-"))</f>
        <v>-</v>
      </c>
      <c r="L120" s="86" t="str" cm="1">
        <f t="array" ref="L120">_xlfn.LET(_xlpm.denom,L113,_xlpm.calc,COUNTIFS(LateMP1_w,1,mp1_mins_late,"&gt;"&amp;$P119,mp1_mins_late,"&lt;="&amp;$P120,Date,"&gt;="&amp;L$4,Date,"&lt;="&amp;L$5,Key_Gps,"*"&amp;L$1&amp;"*"),_xlpm.perc,_xlpm.calc/_xlpm.denom,IFERROR(IF(_xlpm.calc&lt;1000,_xlfn.CONCAT(_xlpm.calc," (",TEXT(_xlpm.perc,"0.0%"),")"),_xlfn.CONCAT(TEXT(_xlpm.calc,"0,000")," (",TEXT(_xlpm.perc,"0.0%"),")")),"-"))</f>
        <v>-</v>
      </c>
      <c r="M120" s="167" t="str" cm="1">
        <f t="array" ref="M120">_xlfn.LET(_xlpm.denom,M113,_xlpm.calc,COUNTIFS(LateMP1_w,1,mp1_mins_late,"&gt;"&amp;$P119,mp1_mins_late,"&lt;="&amp;$P120,Date,"&gt;="&amp;M$4,Date,"&lt;="&amp;M$5,Key_Gps,"*"&amp;M$1&amp;"*"),_xlpm.perc,_xlpm.calc/_xlpm.denom,IFERROR(IF(_xlpm.calc&lt;1000,_xlfn.CONCAT(_xlpm.calc," (",TEXT(_xlpm.perc,"0.0%"),")"),_xlfn.CONCAT(TEXT(_xlpm.calc,"0,000")," (",TEXT(_xlpm.perc,"0.0%"),")")),"-"))</f>
        <v>-</v>
      </c>
      <c r="N120" s="93"/>
      <c r="O120" s="74"/>
      <c r="P120" s="276" t="str">
        <f>IFERROR(MAX(mp1_mins_late),"-")</f>
        <v>-</v>
      </c>
      <c r="Q120" s="75" t="str">
        <f t="shared" si="63"/>
        <v/>
      </c>
      <c r="R120" s="76" t="e">
        <f t="shared" si="64"/>
        <v>#VALUE!</v>
      </c>
      <c r="S120" s="64">
        <f t="shared" si="47"/>
        <v>1</v>
      </c>
      <c r="T120" s="42" t="str">
        <f t="shared" ca="1" si="65"/>
        <v>-</v>
      </c>
      <c r="U120" s="42" t="str">
        <f t="shared" si="66"/>
        <v>-</v>
      </c>
      <c r="V120" s="42" t="str">
        <f t="shared" si="67"/>
        <v>-</v>
      </c>
      <c r="W120" s="42" t="str">
        <f t="shared" si="68"/>
        <v>-</v>
      </c>
      <c r="X120" s="42" t="str">
        <f t="shared" si="69"/>
        <v>-</v>
      </c>
      <c r="Y120" s="42" t="str">
        <f t="shared" si="70"/>
        <v>-</v>
      </c>
      <c r="Z120" s="42" t="str">
        <f t="shared" si="71"/>
        <v>-</v>
      </c>
      <c r="AA120" s="42" t="str">
        <f t="shared" si="72"/>
        <v>-</v>
      </c>
      <c r="AB120" s="42" t="str">
        <f t="shared" si="73"/>
        <v>-</v>
      </c>
      <c r="AC120" s="42" t="str">
        <f t="shared" si="74"/>
        <v>-</v>
      </c>
      <c r="AD120" s="88"/>
      <c r="AE120" s="88"/>
      <c r="AF120" s="88"/>
      <c r="AG120" s="88"/>
      <c r="AH120" s="88"/>
      <c r="AI120" s="88"/>
      <c r="AJ120" s="88"/>
      <c r="AK120" s="88"/>
    </row>
    <row r="121" spans="1:37" s="89" customFormat="1" outlineLevel="2" x14ac:dyDescent="0.3">
      <c r="A121" s="83">
        <v>1</v>
      </c>
      <c r="B121" s="315"/>
      <c r="C121" s="90" t="s">
        <v>107</v>
      </c>
      <c r="D121" s="201">
        <f ca="1">IF(D110="-",0,VALUE(LEFT(D110,SEARCH(" ",D110))))</f>
        <v>0</v>
      </c>
      <c r="E121" s="91">
        <f>IF(E110="-",0,VALUE(LEFT(E110,SEARCH(" ",E110))))</f>
        <v>0</v>
      </c>
      <c r="F121" s="91">
        <f t="shared" ref="F121:M121" si="84">IF(F110="-",0,VALUE(LEFT(F110,SEARCH(" ",F110))))</f>
        <v>0</v>
      </c>
      <c r="G121" s="91">
        <f t="shared" si="84"/>
        <v>0</v>
      </c>
      <c r="H121" s="91">
        <f t="shared" si="84"/>
        <v>0</v>
      </c>
      <c r="I121" s="91">
        <f t="shared" si="84"/>
        <v>0</v>
      </c>
      <c r="J121" s="91">
        <f t="shared" si="84"/>
        <v>0</v>
      </c>
      <c r="K121" s="91">
        <f t="shared" ref="K121" si="85">IF(K110="-",0,VALUE(LEFT(K110,SEARCH(" ",K110))))</f>
        <v>0</v>
      </c>
      <c r="L121" s="91">
        <f t="shared" si="84"/>
        <v>0</v>
      </c>
      <c r="M121" s="168">
        <f t="shared" si="84"/>
        <v>0</v>
      </c>
      <c r="N121" s="94"/>
      <c r="O121" s="74"/>
      <c r="P121" s="277">
        <v>0</v>
      </c>
      <c r="Q121" s="75" t="str">
        <f t="shared" si="63"/>
        <v/>
      </c>
      <c r="R121" s="76">
        <f t="shared" si="64"/>
        <v>0</v>
      </c>
      <c r="S121" s="64">
        <f t="shared" si="47"/>
        <v>1</v>
      </c>
      <c r="T121" s="42">
        <f t="shared" ca="1" si="65"/>
        <v>0</v>
      </c>
      <c r="U121" s="42">
        <f t="shared" si="66"/>
        <v>0</v>
      </c>
      <c r="V121" s="42">
        <f t="shared" si="67"/>
        <v>0</v>
      </c>
      <c r="W121" s="42">
        <f t="shared" si="68"/>
        <v>0</v>
      </c>
      <c r="X121" s="42">
        <f t="shared" si="69"/>
        <v>0</v>
      </c>
      <c r="Y121" s="42">
        <f t="shared" si="70"/>
        <v>0</v>
      </c>
      <c r="Z121" s="42">
        <f t="shared" si="71"/>
        <v>0</v>
      </c>
      <c r="AA121" s="42">
        <f t="shared" si="72"/>
        <v>0</v>
      </c>
      <c r="AB121" s="42">
        <f t="shared" si="73"/>
        <v>0</v>
      </c>
      <c r="AC121" s="42">
        <f t="shared" si="74"/>
        <v>0</v>
      </c>
      <c r="AD121" s="88"/>
      <c r="AE121" s="88"/>
      <c r="AF121" s="88"/>
      <c r="AG121" s="88"/>
      <c r="AH121" s="88"/>
      <c r="AI121" s="88"/>
      <c r="AJ121" s="88"/>
      <c r="AK121" s="88"/>
    </row>
    <row r="122" spans="1:37" s="89" customFormat="1" outlineLevel="2" x14ac:dyDescent="0.3">
      <c r="A122" s="83">
        <v>1</v>
      </c>
      <c r="B122" s="315"/>
      <c r="C122" s="90" t="str">
        <f t="shared" ref="C122:C127" si="86">IF(P123&lt;P122,_xlfn.CONCAT("Meal periods ",P121+1,"+ mins short"),IF(P122-P121=1,_xlfn.CONCAT("Meal periods ",P122," mins short"),_xlfn.CONCAT("Meal periods ",P121+1,"-",P122," mins short")))</f>
        <v>Meal periods 1 mins short</v>
      </c>
      <c r="D122" s="201" t="str">
        <f t="shared" ref="D122:D127" ca="1" si="87">_xlfn.LET(_xlpm.denom,D$121,_xlpm.calc,ROUND($Q122*_xlpm.denom,0),_xlpm.perc,_xlpm.calc/_xlpm.denom,IFERROR(IF(_xlpm.calc&lt;1000,_xlfn.CONCAT(_xlpm.calc," (",TEXT(_xlpm.perc,"0.0%"),")"),_xlfn.CONCAT(TEXT(_xlpm.calc,"0,000")," (",TEXT(_xlpm.perc,"0.0%"),")")),"-"))</f>
        <v>-</v>
      </c>
      <c r="E122" s="91" t="str" cm="1">
        <f t="array" ref="E122">_xlfn.LET(_xlpm.denom,E121,_xlpm.calc,COUNTIFS(ShortMP1_w,1,mp1_mins_short,"&gt;"&amp;$P121,mp1_mins_short,"&lt;="&amp;$P122,Date,"&gt;="&amp;E$4,Date,"&lt;="&amp;E$5,Key_Gps,"*"&amp;E$1&amp;"*"),_xlpm.perc,_xlpm.calc/_xlpm.denom,IFERROR(IF(_xlpm.calc&lt;1000,_xlfn.CONCAT(_xlpm.calc," (",TEXT(_xlpm.perc,"0.0%"),")"),_xlfn.CONCAT(TEXT(_xlpm.calc,"0,000")," (",TEXT(_xlpm.perc,"0.0%"),")")),"-"))</f>
        <v>-</v>
      </c>
      <c r="F122" s="91" t="str" cm="1">
        <f t="array" ref="F122">_xlfn.LET(_xlpm.denom,F121,_xlpm.calc,COUNTIFS(ShortMP1_w,1,mp1_mins_short,"&gt;"&amp;$P121,mp1_mins_short,"&lt;="&amp;$P122,Date,"&gt;="&amp;F$4,Date,"&lt;="&amp;F$5,Key_Gps,"*"&amp;F$1&amp;"*"),_xlpm.perc,_xlpm.calc/_xlpm.denom,IFERROR(IF(_xlpm.calc&lt;1000,_xlfn.CONCAT(_xlpm.calc," (",TEXT(_xlpm.perc,"0.0%"),")"),_xlfn.CONCAT(TEXT(_xlpm.calc,"0,000")," (",TEXT(_xlpm.perc,"0.0%"),")")),"-"))</f>
        <v>-</v>
      </c>
      <c r="G122" s="91" t="str" cm="1">
        <f t="array" ref="G122">_xlfn.LET(_xlpm.denom,G121,_xlpm.calc,COUNTIFS(ShortMP1_w,1,mp1_mins_short,"&gt;"&amp;$P121,mp1_mins_short,"&lt;="&amp;$P122,Date,"&gt;="&amp;G$4,Date,"&lt;="&amp;G$5,Key_Gps,"*"&amp;G$1&amp;"*"),_xlpm.perc,_xlpm.calc/_xlpm.denom,IFERROR(IF(_xlpm.calc&lt;1000,_xlfn.CONCAT(_xlpm.calc," (",TEXT(_xlpm.perc,"0.0%"),")"),_xlfn.CONCAT(TEXT(_xlpm.calc,"0,000")," (",TEXT(_xlpm.perc,"0.0%"),")")),"-"))</f>
        <v>-</v>
      </c>
      <c r="H122" s="91" t="str" cm="1">
        <f t="array" ref="H122">_xlfn.LET(_xlpm.denom,H121,_xlpm.calc,COUNTIFS(ShortMP1_w,1,mp1_mins_short,"&gt;"&amp;$P121,mp1_mins_short,"&lt;="&amp;$P122,Date,"&gt;="&amp;H$4,Date,"&lt;="&amp;H$5,Key_Gps,"*"&amp;H$1&amp;"*"),_xlpm.perc,_xlpm.calc/_xlpm.denom,IFERROR(IF(_xlpm.calc&lt;1000,_xlfn.CONCAT(_xlpm.calc," (",TEXT(_xlpm.perc,"0.0%"),")"),_xlfn.CONCAT(TEXT(_xlpm.calc,"0,000")," (",TEXT(_xlpm.perc,"0.0%"),")")),"-"))</f>
        <v>-</v>
      </c>
      <c r="I122" s="91" t="str" cm="1">
        <f t="array" ref="I122">_xlfn.LET(_xlpm.denom,I121,_xlpm.calc,COUNTIFS(ShortMP1_w,1,mp1_mins_short,"&gt;"&amp;$P121,mp1_mins_short,"&lt;="&amp;$P122,Date,"&gt;="&amp;I$4,Date,"&lt;="&amp;I$5,Key_Gps,"*"&amp;I$1&amp;"*"),_xlpm.perc,_xlpm.calc/_xlpm.denom,IFERROR(IF(_xlpm.calc&lt;1000,_xlfn.CONCAT(_xlpm.calc," (",TEXT(_xlpm.perc,"0.0%"),")"),_xlfn.CONCAT(TEXT(_xlpm.calc,"0,000")," (",TEXT(_xlpm.perc,"0.0%"),")")),"-"))</f>
        <v>-</v>
      </c>
      <c r="J122" s="91" t="str" cm="1">
        <f t="array" ref="J122">_xlfn.LET(_xlpm.denom,J121,_xlpm.calc,COUNTIFS(ShortMP1_w,1,mp1_mins_short,"&gt;"&amp;$P121,mp1_mins_short,"&lt;="&amp;$P122,Date,"&gt;="&amp;J$4,Date,"&lt;="&amp;J$5,Key_Gps,"*"&amp;J$1&amp;"*"),_xlpm.perc,_xlpm.calc/_xlpm.denom,IFERROR(IF(_xlpm.calc&lt;1000,_xlfn.CONCAT(_xlpm.calc," (",TEXT(_xlpm.perc,"0.0%"),")"),_xlfn.CONCAT(TEXT(_xlpm.calc,"0,000")," (",TEXT(_xlpm.perc,"0.0%"),")")),"-"))</f>
        <v>-</v>
      </c>
      <c r="K122" s="91" t="str" cm="1">
        <f t="array" ref="K122">_xlfn.LET(_xlpm.denom,K121,_xlpm.calc,COUNTIFS(ShortMP1_w,1,mp1_mins_short,"&gt;"&amp;$P121,mp1_mins_short,"&lt;="&amp;$P122,Date,"&gt;="&amp;K$4,Date,"&lt;="&amp;K$5,Key_Gps,"*"&amp;K$1&amp;"*"),_xlpm.perc,_xlpm.calc/_xlpm.denom,IFERROR(IF(_xlpm.calc&lt;1000,_xlfn.CONCAT(_xlpm.calc," (",TEXT(_xlpm.perc,"0.0%"),")"),_xlfn.CONCAT(TEXT(_xlpm.calc,"0,000")," (",TEXT(_xlpm.perc,"0.0%"),")")),"-"))</f>
        <v>-</v>
      </c>
      <c r="L122" s="91" t="str" cm="1">
        <f t="array" ref="L122">_xlfn.LET(_xlpm.denom,L121,_xlpm.calc,COUNTIFS(ShortMP1_w,1,mp1_mins_short,"&gt;"&amp;$P121,mp1_mins_short,"&lt;="&amp;$P122,Date,"&gt;="&amp;L$4,Date,"&lt;="&amp;L$5,Key_Gps,"*"&amp;L$1&amp;"*"),_xlpm.perc,_xlpm.calc/_xlpm.denom,IFERROR(IF(_xlpm.calc&lt;1000,_xlfn.CONCAT(_xlpm.calc," (",TEXT(_xlpm.perc,"0.0%"),")"),_xlfn.CONCAT(TEXT(_xlpm.calc,"0,000")," (",TEXT(_xlpm.perc,"0.0%"),")")),"-"))</f>
        <v>-</v>
      </c>
      <c r="M122" s="168" t="str" cm="1">
        <f t="array" ref="M122">_xlfn.LET(_xlpm.denom,M121,_xlpm.calc,COUNTIFS(ShortMP1_w,1,mp1_mins_short,"&gt;"&amp;$P121,mp1_mins_short,"&lt;="&amp;$P122,Date,"&gt;="&amp;M$4,Date,"&lt;="&amp;M$5,Key_Gps,"*"&amp;M$1&amp;"*"),_xlpm.perc,_xlpm.calc/_xlpm.denom,IFERROR(IF(_xlpm.calc&lt;1000,_xlfn.CONCAT(_xlpm.calc," (",TEXT(_xlpm.perc,"0.0%"),")"),_xlfn.CONCAT(TEXT(_xlpm.calc,"0,000")," (",TEXT(_xlpm.perc,"0.0%"),")")),"-"))</f>
        <v>-</v>
      </c>
      <c r="N122" s="94"/>
      <c r="O122" s="74"/>
      <c r="P122" s="277">
        <v>1</v>
      </c>
      <c r="Q122" s="75" t="str">
        <f t="shared" si="63"/>
        <v/>
      </c>
      <c r="R122" s="76" t="e">
        <f t="shared" si="64"/>
        <v>#VALUE!</v>
      </c>
      <c r="S122" s="64">
        <f t="shared" si="47"/>
        <v>1</v>
      </c>
      <c r="T122" s="42" t="str">
        <f t="shared" ca="1" si="65"/>
        <v>-</v>
      </c>
      <c r="U122" s="42" t="str">
        <f t="shared" si="66"/>
        <v>-</v>
      </c>
      <c r="V122" s="42" t="str">
        <f t="shared" si="67"/>
        <v>-</v>
      </c>
      <c r="W122" s="42" t="str">
        <f t="shared" si="68"/>
        <v>-</v>
      </c>
      <c r="X122" s="42" t="str">
        <f t="shared" si="69"/>
        <v>-</v>
      </c>
      <c r="Y122" s="42" t="str">
        <f t="shared" si="70"/>
        <v>-</v>
      </c>
      <c r="Z122" s="42" t="str">
        <f t="shared" si="71"/>
        <v>-</v>
      </c>
      <c r="AA122" s="42" t="str">
        <f t="shared" si="72"/>
        <v>-</v>
      </c>
      <c r="AB122" s="42" t="str">
        <f t="shared" si="73"/>
        <v>-</v>
      </c>
      <c r="AC122" s="42" t="str">
        <f t="shared" si="74"/>
        <v>-</v>
      </c>
      <c r="AD122" s="88"/>
      <c r="AE122" s="88"/>
      <c r="AF122" s="88"/>
      <c r="AG122" s="88"/>
      <c r="AH122" s="88"/>
      <c r="AI122" s="88"/>
      <c r="AJ122" s="88"/>
      <c r="AK122" s="88"/>
    </row>
    <row r="123" spans="1:37" s="89" customFormat="1" outlineLevel="2" x14ac:dyDescent="0.3">
      <c r="A123" s="83">
        <v>1</v>
      </c>
      <c r="B123" s="315"/>
      <c r="C123" s="90" t="str">
        <f t="shared" si="86"/>
        <v>Meal periods 2 mins short</v>
      </c>
      <c r="D123" s="201" t="str">
        <f t="shared" ca="1" si="87"/>
        <v>-</v>
      </c>
      <c r="E123" s="91" t="str" cm="1">
        <f t="array" ref="E123">_xlfn.LET(_xlpm.denom,E121,_xlpm.calc,COUNTIFS(ShortMP1_w,1,mp1_mins_short,"&gt;"&amp;$P122,mp1_mins_short,"&lt;="&amp;$P123,Date,"&gt;="&amp;E$4,Date,"&lt;="&amp;E$5,Key_Gps,"*"&amp;E$1&amp;"*"),_xlpm.perc,_xlpm.calc/_xlpm.denom,IFERROR(IF(_xlpm.calc&lt;1000,_xlfn.CONCAT(_xlpm.calc," (",TEXT(_xlpm.perc,"0.0%"),")"),_xlfn.CONCAT(TEXT(_xlpm.calc,"0,000")," (",TEXT(_xlpm.perc,"0.0%"),")")),"-"))</f>
        <v>-</v>
      </c>
      <c r="F123" s="91" t="str" cm="1">
        <f t="array" ref="F123">_xlfn.LET(_xlpm.denom,F121,_xlpm.calc,COUNTIFS(ShortMP1_w,1,mp1_mins_short,"&gt;"&amp;$P122,mp1_mins_short,"&lt;="&amp;$P123,Date,"&gt;="&amp;F$4,Date,"&lt;="&amp;F$5,Key_Gps,"*"&amp;F$1&amp;"*"),_xlpm.perc,_xlpm.calc/_xlpm.denom,IFERROR(IF(_xlpm.calc&lt;1000,_xlfn.CONCAT(_xlpm.calc," (",TEXT(_xlpm.perc,"0.0%"),")"),_xlfn.CONCAT(TEXT(_xlpm.calc,"0,000")," (",TEXT(_xlpm.perc,"0.0%"),")")),"-"))</f>
        <v>-</v>
      </c>
      <c r="G123" s="91" t="str" cm="1">
        <f t="array" ref="G123">_xlfn.LET(_xlpm.denom,G121,_xlpm.calc,COUNTIFS(ShortMP1_w,1,mp1_mins_short,"&gt;"&amp;$P122,mp1_mins_short,"&lt;="&amp;$P123,Date,"&gt;="&amp;G$4,Date,"&lt;="&amp;G$5,Key_Gps,"*"&amp;G$1&amp;"*"),_xlpm.perc,_xlpm.calc/_xlpm.denom,IFERROR(IF(_xlpm.calc&lt;1000,_xlfn.CONCAT(_xlpm.calc," (",TEXT(_xlpm.perc,"0.0%"),")"),_xlfn.CONCAT(TEXT(_xlpm.calc,"0,000")," (",TEXT(_xlpm.perc,"0.0%"),")")),"-"))</f>
        <v>-</v>
      </c>
      <c r="H123" s="91" t="str" cm="1">
        <f t="array" ref="H123">_xlfn.LET(_xlpm.denom,H121,_xlpm.calc,COUNTIFS(ShortMP1_w,1,mp1_mins_short,"&gt;"&amp;$P122,mp1_mins_short,"&lt;="&amp;$P123,Date,"&gt;="&amp;H$4,Date,"&lt;="&amp;H$5,Key_Gps,"*"&amp;H$1&amp;"*"),_xlpm.perc,_xlpm.calc/_xlpm.denom,IFERROR(IF(_xlpm.calc&lt;1000,_xlfn.CONCAT(_xlpm.calc," (",TEXT(_xlpm.perc,"0.0%"),")"),_xlfn.CONCAT(TEXT(_xlpm.calc,"0,000")," (",TEXT(_xlpm.perc,"0.0%"),")")),"-"))</f>
        <v>-</v>
      </c>
      <c r="I123" s="91" t="str" cm="1">
        <f t="array" ref="I123">_xlfn.LET(_xlpm.denom,I121,_xlpm.calc,COUNTIFS(ShortMP1_w,1,mp1_mins_short,"&gt;"&amp;$P122,mp1_mins_short,"&lt;="&amp;$P123,Date,"&gt;="&amp;I$4,Date,"&lt;="&amp;I$5,Key_Gps,"*"&amp;I$1&amp;"*"),_xlpm.perc,_xlpm.calc/_xlpm.denom,IFERROR(IF(_xlpm.calc&lt;1000,_xlfn.CONCAT(_xlpm.calc," (",TEXT(_xlpm.perc,"0.0%"),")"),_xlfn.CONCAT(TEXT(_xlpm.calc,"0,000")," (",TEXT(_xlpm.perc,"0.0%"),")")),"-"))</f>
        <v>-</v>
      </c>
      <c r="J123" s="91" t="str" cm="1">
        <f t="array" ref="J123">_xlfn.LET(_xlpm.denom,J121,_xlpm.calc,COUNTIFS(ShortMP1_w,1,mp1_mins_short,"&gt;"&amp;$P122,mp1_mins_short,"&lt;="&amp;$P123,Date,"&gt;="&amp;J$4,Date,"&lt;="&amp;J$5,Key_Gps,"*"&amp;J$1&amp;"*"),_xlpm.perc,_xlpm.calc/_xlpm.denom,IFERROR(IF(_xlpm.calc&lt;1000,_xlfn.CONCAT(_xlpm.calc," (",TEXT(_xlpm.perc,"0.0%"),")"),_xlfn.CONCAT(TEXT(_xlpm.calc,"0,000")," (",TEXT(_xlpm.perc,"0.0%"),")")),"-"))</f>
        <v>-</v>
      </c>
      <c r="K123" s="91" t="str" cm="1">
        <f t="array" ref="K123">_xlfn.LET(_xlpm.denom,K121,_xlpm.calc,COUNTIFS(ShortMP1_w,1,mp1_mins_short,"&gt;"&amp;$P122,mp1_mins_short,"&lt;="&amp;$P123,Date,"&gt;="&amp;K$4,Date,"&lt;="&amp;K$5,Key_Gps,"*"&amp;K$1&amp;"*"),_xlpm.perc,_xlpm.calc/_xlpm.denom,IFERROR(IF(_xlpm.calc&lt;1000,_xlfn.CONCAT(_xlpm.calc," (",TEXT(_xlpm.perc,"0.0%"),")"),_xlfn.CONCAT(TEXT(_xlpm.calc,"0,000")," (",TEXT(_xlpm.perc,"0.0%"),")")),"-"))</f>
        <v>-</v>
      </c>
      <c r="L123" s="91" t="str" cm="1">
        <f t="array" ref="L123">_xlfn.LET(_xlpm.denom,L121,_xlpm.calc,COUNTIFS(ShortMP1_w,1,mp1_mins_short,"&gt;"&amp;$P122,mp1_mins_short,"&lt;="&amp;$P123,Date,"&gt;="&amp;L$4,Date,"&lt;="&amp;L$5,Key_Gps,"*"&amp;L$1&amp;"*"),_xlpm.perc,_xlpm.calc/_xlpm.denom,IFERROR(IF(_xlpm.calc&lt;1000,_xlfn.CONCAT(_xlpm.calc," (",TEXT(_xlpm.perc,"0.0%"),")"),_xlfn.CONCAT(TEXT(_xlpm.calc,"0,000")," (",TEXT(_xlpm.perc,"0.0%"),")")),"-"))</f>
        <v>-</v>
      </c>
      <c r="M123" s="168" t="str" cm="1">
        <f t="array" ref="M123">_xlfn.LET(_xlpm.denom,M121,_xlpm.calc,COUNTIFS(ShortMP1_w,1,mp1_mins_short,"&gt;"&amp;$P122,mp1_mins_short,"&lt;="&amp;$P123,Date,"&gt;="&amp;M$4,Date,"&lt;="&amp;M$5,Key_Gps,"*"&amp;M$1&amp;"*"),_xlpm.perc,_xlpm.calc/_xlpm.denom,IFERROR(IF(_xlpm.calc&lt;1000,_xlfn.CONCAT(_xlpm.calc," (",TEXT(_xlpm.perc,"0.0%"),")"),_xlfn.CONCAT(TEXT(_xlpm.calc,"0,000")," (",TEXT(_xlpm.perc,"0.0%"),")")),"-"))</f>
        <v>-</v>
      </c>
      <c r="N123" s="94"/>
      <c r="O123" s="74"/>
      <c r="P123" s="277">
        <v>2</v>
      </c>
      <c r="Q123" s="75" t="str">
        <f t="shared" si="63"/>
        <v/>
      </c>
      <c r="R123" s="76" t="e">
        <f t="shared" si="64"/>
        <v>#VALUE!</v>
      </c>
      <c r="S123" s="64">
        <f t="shared" si="47"/>
        <v>1</v>
      </c>
      <c r="T123" s="42" t="str">
        <f t="shared" ca="1" si="65"/>
        <v>-</v>
      </c>
      <c r="U123" s="42" t="str">
        <f t="shared" si="66"/>
        <v>-</v>
      </c>
      <c r="V123" s="42" t="str">
        <f t="shared" si="67"/>
        <v>-</v>
      </c>
      <c r="W123" s="42" t="str">
        <f t="shared" si="68"/>
        <v>-</v>
      </c>
      <c r="X123" s="42" t="str">
        <f t="shared" si="69"/>
        <v>-</v>
      </c>
      <c r="Y123" s="42" t="str">
        <f t="shared" si="70"/>
        <v>-</v>
      </c>
      <c r="Z123" s="42" t="str">
        <f t="shared" si="71"/>
        <v>-</v>
      </c>
      <c r="AA123" s="42" t="str">
        <f t="shared" si="72"/>
        <v>-</v>
      </c>
      <c r="AB123" s="42" t="str">
        <f t="shared" si="73"/>
        <v>-</v>
      </c>
      <c r="AC123" s="42" t="str">
        <f t="shared" si="74"/>
        <v>-</v>
      </c>
      <c r="AD123" s="88"/>
      <c r="AE123" s="88"/>
      <c r="AF123" s="88"/>
      <c r="AG123" s="88"/>
      <c r="AH123" s="88"/>
      <c r="AI123" s="88"/>
      <c r="AJ123" s="88"/>
      <c r="AK123" s="88"/>
    </row>
    <row r="124" spans="1:37" s="89" customFormat="1" outlineLevel="2" x14ac:dyDescent="0.3">
      <c r="A124" s="83">
        <v>1</v>
      </c>
      <c r="B124" s="315"/>
      <c r="C124" s="90" t="str">
        <f t="shared" si="86"/>
        <v>Meal periods 3-4 mins short</v>
      </c>
      <c r="D124" s="201" t="str">
        <f t="shared" ca="1" si="87"/>
        <v>-</v>
      </c>
      <c r="E124" s="91" t="str" cm="1">
        <f t="array" ref="E124">_xlfn.LET(_xlpm.denom,E121,_xlpm.calc,COUNTIFS(ShortMP1_w,1,mp1_mins_short,"&gt;"&amp;$P123,mp1_mins_short,"&lt;="&amp;$P124,Date,"&gt;="&amp;E$4,Date,"&lt;="&amp;E$5,Key_Gps,"*"&amp;E$1&amp;"*"),_xlpm.perc,_xlpm.calc/_xlpm.denom,IFERROR(IF(_xlpm.calc&lt;1000,_xlfn.CONCAT(_xlpm.calc," (",TEXT(_xlpm.perc,"0.0%"),")"),_xlfn.CONCAT(TEXT(_xlpm.calc,"0,000")," (",TEXT(_xlpm.perc,"0.0%"),")")),"-"))</f>
        <v>-</v>
      </c>
      <c r="F124" s="91" t="str" cm="1">
        <f t="array" ref="F124">_xlfn.LET(_xlpm.denom,F121,_xlpm.calc,COUNTIFS(ShortMP1_w,1,mp1_mins_short,"&gt;"&amp;$P123,mp1_mins_short,"&lt;="&amp;$P124,Date,"&gt;="&amp;F$4,Date,"&lt;="&amp;F$5,Key_Gps,"*"&amp;F$1&amp;"*"),_xlpm.perc,_xlpm.calc/_xlpm.denom,IFERROR(IF(_xlpm.calc&lt;1000,_xlfn.CONCAT(_xlpm.calc," (",TEXT(_xlpm.perc,"0.0%"),")"),_xlfn.CONCAT(TEXT(_xlpm.calc,"0,000")," (",TEXT(_xlpm.perc,"0.0%"),")")),"-"))</f>
        <v>-</v>
      </c>
      <c r="G124" s="91" t="str" cm="1">
        <f t="array" ref="G124">_xlfn.LET(_xlpm.denom,G121,_xlpm.calc,COUNTIFS(ShortMP1_w,1,mp1_mins_short,"&gt;"&amp;$P123,mp1_mins_short,"&lt;="&amp;$P124,Date,"&gt;="&amp;G$4,Date,"&lt;="&amp;G$5,Key_Gps,"*"&amp;G$1&amp;"*"),_xlpm.perc,_xlpm.calc/_xlpm.denom,IFERROR(IF(_xlpm.calc&lt;1000,_xlfn.CONCAT(_xlpm.calc," (",TEXT(_xlpm.perc,"0.0%"),")"),_xlfn.CONCAT(TEXT(_xlpm.calc,"0,000")," (",TEXT(_xlpm.perc,"0.0%"),")")),"-"))</f>
        <v>-</v>
      </c>
      <c r="H124" s="91" t="str" cm="1">
        <f t="array" ref="H124">_xlfn.LET(_xlpm.denom,H121,_xlpm.calc,COUNTIFS(ShortMP1_w,1,mp1_mins_short,"&gt;"&amp;$P123,mp1_mins_short,"&lt;="&amp;$P124,Date,"&gt;="&amp;H$4,Date,"&lt;="&amp;H$5,Key_Gps,"*"&amp;H$1&amp;"*"),_xlpm.perc,_xlpm.calc/_xlpm.denom,IFERROR(IF(_xlpm.calc&lt;1000,_xlfn.CONCAT(_xlpm.calc," (",TEXT(_xlpm.perc,"0.0%"),")"),_xlfn.CONCAT(TEXT(_xlpm.calc,"0,000")," (",TEXT(_xlpm.perc,"0.0%"),")")),"-"))</f>
        <v>-</v>
      </c>
      <c r="I124" s="91" t="str" cm="1">
        <f t="array" ref="I124">_xlfn.LET(_xlpm.denom,I121,_xlpm.calc,COUNTIFS(ShortMP1_w,1,mp1_mins_short,"&gt;"&amp;$P123,mp1_mins_short,"&lt;="&amp;$P124,Date,"&gt;="&amp;I$4,Date,"&lt;="&amp;I$5,Key_Gps,"*"&amp;I$1&amp;"*"),_xlpm.perc,_xlpm.calc/_xlpm.denom,IFERROR(IF(_xlpm.calc&lt;1000,_xlfn.CONCAT(_xlpm.calc," (",TEXT(_xlpm.perc,"0.0%"),")"),_xlfn.CONCAT(TEXT(_xlpm.calc,"0,000")," (",TEXT(_xlpm.perc,"0.0%"),")")),"-"))</f>
        <v>-</v>
      </c>
      <c r="J124" s="91" t="str" cm="1">
        <f t="array" ref="J124">_xlfn.LET(_xlpm.denom,J121,_xlpm.calc,COUNTIFS(ShortMP1_w,1,mp1_mins_short,"&gt;"&amp;$P123,mp1_mins_short,"&lt;="&amp;$P124,Date,"&gt;="&amp;J$4,Date,"&lt;="&amp;J$5,Key_Gps,"*"&amp;J$1&amp;"*"),_xlpm.perc,_xlpm.calc/_xlpm.denom,IFERROR(IF(_xlpm.calc&lt;1000,_xlfn.CONCAT(_xlpm.calc," (",TEXT(_xlpm.perc,"0.0%"),")"),_xlfn.CONCAT(TEXT(_xlpm.calc,"0,000")," (",TEXT(_xlpm.perc,"0.0%"),")")),"-"))</f>
        <v>-</v>
      </c>
      <c r="K124" s="91" t="str" cm="1">
        <f t="array" ref="K124">_xlfn.LET(_xlpm.denom,K121,_xlpm.calc,COUNTIFS(ShortMP1_w,1,mp1_mins_short,"&gt;"&amp;$P123,mp1_mins_short,"&lt;="&amp;$P124,Date,"&gt;="&amp;K$4,Date,"&lt;="&amp;K$5,Key_Gps,"*"&amp;K$1&amp;"*"),_xlpm.perc,_xlpm.calc/_xlpm.denom,IFERROR(IF(_xlpm.calc&lt;1000,_xlfn.CONCAT(_xlpm.calc," (",TEXT(_xlpm.perc,"0.0%"),")"),_xlfn.CONCAT(TEXT(_xlpm.calc,"0,000")," (",TEXT(_xlpm.perc,"0.0%"),")")),"-"))</f>
        <v>-</v>
      </c>
      <c r="L124" s="91" t="str" cm="1">
        <f t="array" ref="L124">_xlfn.LET(_xlpm.denom,L121,_xlpm.calc,COUNTIFS(ShortMP1_w,1,mp1_mins_short,"&gt;"&amp;$P123,mp1_mins_short,"&lt;="&amp;$P124,Date,"&gt;="&amp;L$4,Date,"&lt;="&amp;L$5,Key_Gps,"*"&amp;L$1&amp;"*"),_xlpm.perc,_xlpm.calc/_xlpm.denom,IFERROR(IF(_xlpm.calc&lt;1000,_xlfn.CONCAT(_xlpm.calc," (",TEXT(_xlpm.perc,"0.0%"),")"),_xlfn.CONCAT(TEXT(_xlpm.calc,"0,000")," (",TEXT(_xlpm.perc,"0.0%"),")")),"-"))</f>
        <v>-</v>
      </c>
      <c r="M124" s="168" t="str" cm="1">
        <f t="array" ref="M124">_xlfn.LET(_xlpm.denom,M121,_xlpm.calc,COUNTIFS(ShortMP1_w,1,mp1_mins_short,"&gt;"&amp;$P123,mp1_mins_short,"&lt;="&amp;$P124,Date,"&gt;="&amp;M$4,Date,"&lt;="&amp;M$5,Key_Gps,"*"&amp;M$1&amp;"*"),_xlpm.perc,_xlpm.calc/_xlpm.denom,IFERROR(IF(_xlpm.calc&lt;1000,_xlfn.CONCAT(_xlpm.calc," (",TEXT(_xlpm.perc,"0.0%"),")"),_xlfn.CONCAT(TEXT(_xlpm.calc,"0,000")," (",TEXT(_xlpm.perc,"0.0%"),")")),"-"))</f>
        <v>-</v>
      </c>
      <c r="N124" s="94"/>
      <c r="O124" s="74"/>
      <c r="P124" s="277">
        <v>4</v>
      </c>
      <c r="Q124" s="75" t="str">
        <f t="shared" si="63"/>
        <v/>
      </c>
      <c r="R124" s="76" t="e">
        <f t="shared" si="64"/>
        <v>#VALUE!</v>
      </c>
      <c r="S124" s="64">
        <f t="shared" si="47"/>
        <v>1</v>
      </c>
      <c r="T124" s="42" t="str">
        <f t="shared" ca="1" si="65"/>
        <v>-</v>
      </c>
      <c r="U124" s="42" t="str">
        <f t="shared" si="66"/>
        <v>-</v>
      </c>
      <c r="V124" s="42" t="str">
        <f t="shared" si="67"/>
        <v>-</v>
      </c>
      <c r="W124" s="42" t="str">
        <f t="shared" si="68"/>
        <v>-</v>
      </c>
      <c r="X124" s="42" t="str">
        <f t="shared" si="69"/>
        <v>-</v>
      </c>
      <c r="Y124" s="42" t="str">
        <f t="shared" si="70"/>
        <v>-</v>
      </c>
      <c r="Z124" s="42" t="str">
        <f t="shared" si="71"/>
        <v>-</v>
      </c>
      <c r="AA124" s="42" t="str">
        <f t="shared" si="72"/>
        <v>-</v>
      </c>
      <c r="AB124" s="42" t="str">
        <f t="shared" si="73"/>
        <v>-</v>
      </c>
      <c r="AC124" s="42" t="str">
        <f t="shared" si="74"/>
        <v>-</v>
      </c>
      <c r="AD124" s="88"/>
      <c r="AE124" s="88"/>
      <c r="AF124" s="88"/>
      <c r="AG124" s="88"/>
      <c r="AH124" s="88"/>
      <c r="AI124" s="88"/>
      <c r="AJ124" s="88"/>
      <c r="AK124" s="88"/>
    </row>
    <row r="125" spans="1:37" s="89" customFormat="1" outlineLevel="2" x14ac:dyDescent="0.3">
      <c r="A125" s="83">
        <v>1</v>
      </c>
      <c r="B125" s="315"/>
      <c r="C125" s="90" t="str">
        <f t="shared" si="86"/>
        <v>Meal periods 5-10 mins short</v>
      </c>
      <c r="D125" s="201" t="str">
        <f t="shared" ca="1" si="87"/>
        <v>-</v>
      </c>
      <c r="E125" s="91" t="str" cm="1">
        <f t="array" ref="E125">_xlfn.LET(_xlpm.denom,E121,_xlpm.calc,COUNTIFS(ShortMP1_w,1,mp1_mins_short,"&gt;"&amp;$P124,mp1_mins_short,"&lt;="&amp;$P125,Date,"&gt;="&amp;E$4,Date,"&lt;="&amp;E$5,Key_Gps,"*"&amp;E$1&amp;"*"),_xlpm.perc,_xlpm.calc/_xlpm.denom,IFERROR(IF(_xlpm.calc&lt;1000,_xlfn.CONCAT(_xlpm.calc," (",TEXT(_xlpm.perc,"0.0%"),")"),_xlfn.CONCAT(TEXT(_xlpm.calc,"0,000")," (",TEXT(_xlpm.perc,"0.0%"),")")),"-"))</f>
        <v>-</v>
      </c>
      <c r="F125" s="91" t="str" cm="1">
        <f t="array" ref="F125">_xlfn.LET(_xlpm.denom,F121,_xlpm.calc,COUNTIFS(ShortMP1_w,1,mp1_mins_short,"&gt;"&amp;$P124,mp1_mins_short,"&lt;="&amp;$P125,Date,"&gt;="&amp;F$4,Date,"&lt;="&amp;F$5,Key_Gps,"*"&amp;F$1&amp;"*"),_xlpm.perc,_xlpm.calc/_xlpm.denom,IFERROR(IF(_xlpm.calc&lt;1000,_xlfn.CONCAT(_xlpm.calc," (",TEXT(_xlpm.perc,"0.0%"),")"),_xlfn.CONCAT(TEXT(_xlpm.calc,"0,000")," (",TEXT(_xlpm.perc,"0.0%"),")")),"-"))</f>
        <v>-</v>
      </c>
      <c r="G125" s="91" t="str" cm="1">
        <f t="array" ref="G125">_xlfn.LET(_xlpm.denom,G121,_xlpm.calc,COUNTIFS(ShortMP1_w,1,mp1_mins_short,"&gt;"&amp;$P124,mp1_mins_short,"&lt;="&amp;$P125,Date,"&gt;="&amp;G$4,Date,"&lt;="&amp;G$5,Key_Gps,"*"&amp;G$1&amp;"*"),_xlpm.perc,_xlpm.calc/_xlpm.denom,IFERROR(IF(_xlpm.calc&lt;1000,_xlfn.CONCAT(_xlpm.calc," (",TEXT(_xlpm.perc,"0.0%"),")"),_xlfn.CONCAT(TEXT(_xlpm.calc,"0,000")," (",TEXT(_xlpm.perc,"0.0%"),")")),"-"))</f>
        <v>-</v>
      </c>
      <c r="H125" s="91" t="str" cm="1">
        <f t="array" ref="H125">_xlfn.LET(_xlpm.denom,H121,_xlpm.calc,COUNTIFS(ShortMP1_w,1,mp1_mins_short,"&gt;"&amp;$P124,mp1_mins_short,"&lt;="&amp;$P125,Date,"&gt;="&amp;H$4,Date,"&lt;="&amp;H$5,Key_Gps,"*"&amp;H$1&amp;"*"),_xlpm.perc,_xlpm.calc/_xlpm.denom,IFERROR(IF(_xlpm.calc&lt;1000,_xlfn.CONCAT(_xlpm.calc," (",TEXT(_xlpm.perc,"0.0%"),")"),_xlfn.CONCAT(TEXT(_xlpm.calc,"0,000")," (",TEXT(_xlpm.perc,"0.0%"),")")),"-"))</f>
        <v>-</v>
      </c>
      <c r="I125" s="91" t="str" cm="1">
        <f t="array" ref="I125">_xlfn.LET(_xlpm.denom,I121,_xlpm.calc,COUNTIFS(ShortMP1_w,1,mp1_mins_short,"&gt;"&amp;$P124,mp1_mins_short,"&lt;="&amp;$P125,Date,"&gt;="&amp;I$4,Date,"&lt;="&amp;I$5,Key_Gps,"*"&amp;I$1&amp;"*"),_xlpm.perc,_xlpm.calc/_xlpm.denom,IFERROR(IF(_xlpm.calc&lt;1000,_xlfn.CONCAT(_xlpm.calc," (",TEXT(_xlpm.perc,"0.0%"),")"),_xlfn.CONCAT(TEXT(_xlpm.calc,"0,000")," (",TEXT(_xlpm.perc,"0.0%"),")")),"-"))</f>
        <v>-</v>
      </c>
      <c r="J125" s="91" t="str" cm="1">
        <f t="array" ref="J125">_xlfn.LET(_xlpm.denom,J121,_xlpm.calc,COUNTIFS(ShortMP1_w,1,mp1_mins_short,"&gt;"&amp;$P124,mp1_mins_short,"&lt;="&amp;$P125,Date,"&gt;="&amp;J$4,Date,"&lt;="&amp;J$5,Key_Gps,"*"&amp;J$1&amp;"*"),_xlpm.perc,_xlpm.calc/_xlpm.denom,IFERROR(IF(_xlpm.calc&lt;1000,_xlfn.CONCAT(_xlpm.calc," (",TEXT(_xlpm.perc,"0.0%"),")"),_xlfn.CONCAT(TEXT(_xlpm.calc,"0,000")," (",TEXT(_xlpm.perc,"0.0%"),")")),"-"))</f>
        <v>-</v>
      </c>
      <c r="K125" s="91" t="str" cm="1">
        <f t="array" ref="K125">_xlfn.LET(_xlpm.denom,K121,_xlpm.calc,COUNTIFS(ShortMP1_w,1,mp1_mins_short,"&gt;"&amp;$P124,mp1_mins_short,"&lt;="&amp;$P125,Date,"&gt;="&amp;K$4,Date,"&lt;="&amp;K$5,Key_Gps,"*"&amp;K$1&amp;"*"),_xlpm.perc,_xlpm.calc/_xlpm.denom,IFERROR(IF(_xlpm.calc&lt;1000,_xlfn.CONCAT(_xlpm.calc," (",TEXT(_xlpm.perc,"0.0%"),")"),_xlfn.CONCAT(TEXT(_xlpm.calc,"0,000")," (",TEXT(_xlpm.perc,"0.0%"),")")),"-"))</f>
        <v>-</v>
      </c>
      <c r="L125" s="91" t="str" cm="1">
        <f t="array" ref="L125">_xlfn.LET(_xlpm.denom,L121,_xlpm.calc,COUNTIFS(ShortMP1_w,1,mp1_mins_short,"&gt;"&amp;$P124,mp1_mins_short,"&lt;="&amp;$P125,Date,"&gt;="&amp;L$4,Date,"&lt;="&amp;L$5,Key_Gps,"*"&amp;L$1&amp;"*"),_xlpm.perc,_xlpm.calc/_xlpm.denom,IFERROR(IF(_xlpm.calc&lt;1000,_xlfn.CONCAT(_xlpm.calc," (",TEXT(_xlpm.perc,"0.0%"),")"),_xlfn.CONCAT(TEXT(_xlpm.calc,"0,000")," (",TEXT(_xlpm.perc,"0.0%"),")")),"-"))</f>
        <v>-</v>
      </c>
      <c r="M125" s="168" t="str" cm="1">
        <f t="array" ref="M125">_xlfn.LET(_xlpm.denom,M121,_xlpm.calc,COUNTIFS(ShortMP1_w,1,mp1_mins_short,"&gt;"&amp;$P124,mp1_mins_short,"&lt;="&amp;$P125,Date,"&gt;="&amp;M$4,Date,"&lt;="&amp;M$5,Key_Gps,"*"&amp;M$1&amp;"*"),_xlpm.perc,_xlpm.calc/_xlpm.denom,IFERROR(IF(_xlpm.calc&lt;1000,_xlfn.CONCAT(_xlpm.calc," (",TEXT(_xlpm.perc,"0.0%"),")"),_xlfn.CONCAT(TEXT(_xlpm.calc,"0,000")," (",TEXT(_xlpm.perc,"0.0%"),")")),"-"))</f>
        <v>-</v>
      </c>
      <c r="N125" s="94"/>
      <c r="O125" s="74"/>
      <c r="P125" s="277">
        <v>10</v>
      </c>
      <c r="Q125" s="75" t="str">
        <f t="shared" si="63"/>
        <v/>
      </c>
      <c r="R125" s="76" t="e">
        <f t="shared" si="64"/>
        <v>#VALUE!</v>
      </c>
      <c r="S125" s="64">
        <f t="shared" si="47"/>
        <v>1</v>
      </c>
      <c r="T125" s="42" t="str">
        <f t="shared" ca="1" si="65"/>
        <v>-</v>
      </c>
      <c r="U125" s="42" t="str">
        <f t="shared" si="66"/>
        <v>-</v>
      </c>
      <c r="V125" s="42" t="str">
        <f t="shared" si="67"/>
        <v>-</v>
      </c>
      <c r="W125" s="42" t="str">
        <f t="shared" si="68"/>
        <v>-</v>
      </c>
      <c r="X125" s="42" t="str">
        <f t="shared" si="69"/>
        <v>-</v>
      </c>
      <c r="Y125" s="42" t="str">
        <f t="shared" si="70"/>
        <v>-</v>
      </c>
      <c r="Z125" s="42" t="str">
        <f t="shared" si="71"/>
        <v>-</v>
      </c>
      <c r="AA125" s="42" t="str">
        <f t="shared" si="72"/>
        <v>-</v>
      </c>
      <c r="AB125" s="42" t="str">
        <f t="shared" si="73"/>
        <v>-</v>
      </c>
      <c r="AC125" s="42" t="str">
        <f t="shared" si="74"/>
        <v>-</v>
      </c>
      <c r="AD125" s="88"/>
      <c r="AE125" s="88"/>
      <c r="AF125" s="88"/>
      <c r="AG125" s="88"/>
      <c r="AH125" s="88"/>
      <c r="AI125" s="88"/>
      <c r="AJ125" s="88"/>
      <c r="AK125" s="88"/>
    </row>
    <row r="126" spans="1:37" s="89" customFormat="1" outlineLevel="2" x14ac:dyDescent="0.3">
      <c r="A126" s="83">
        <v>1</v>
      </c>
      <c r="B126" s="315"/>
      <c r="C126" s="90" t="str">
        <f t="shared" si="86"/>
        <v>Meal periods 11-15 mins short</v>
      </c>
      <c r="D126" s="201" t="str">
        <f t="shared" ca="1" si="87"/>
        <v>-</v>
      </c>
      <c r="E126" s="91" t="str" cm="1">
        <f t="array" ref="E126">_xlfn.LET(_xlpm.denom,E121,_xlpm.calc,COUNTIFS(ShortMP1_w,1,mp1_mins_short,"&gt;"&amp;$P125,mp1_mins_short,"&lt;="&amp;$P126,Date,"&gt;="&amp;E$4,Date,"&lt;="&amp;E$5,Key_Gps,"*"&amp;E$1&amp;"*"),_xlpm.perc,_xlpm.calc/_xlpm.denom,IFERROR(IF(_xlpm.calc&lt;1000,_xlfn.CONCAT(_xlpm.calc," (",TEXT(_xlpm.perc,"0.0%"),")"),_xlfn.CONCAT(TEXT(_xlpm.calc,"0,000")," (",TEXT(_xlpm.perc,"0.0%"),")")),"-"))</f>
        <v>-</v>
      </c>
      <c r="F126" s="91" t="str" cm="1">
        <f t="array" ref="F126">_xlfn.LET(_xlpm.denom,F121,_xlpm.calc,COUNTIFS(ShortMP1_w,1,mp1_mins_short,"&gt;"&amp;$P125,mp1_mins_short,"&lt;="&amp;$P126,Date,"&gt;="&amp;F$4,Date,"&lt;="&amp;F$5,Key_Gps,"*"&amp;F$1&amp;"*"),_xlpm.perc,_xlpm.calc/_xlpm.denom,IFERROR(IF(_xlpm.calc&lt;1000,_xlfn.CONCAT(_xlpm.calc," (",TEXT(_xlpm.perc,"0.0%"),")"),_xlfn.CONCAT(TEXT(_xlpm.calc,"0,000")," (",TEXT(_xlpm.perc,"0.0%"),")")),"-"))</f>
        <v>-</v>
      </c>
      <c r="G126" s="91" t="str" cm="1">
        <f t="array" ref="G126">_xlfn.LET(_xlpm.denom,G121,_xlpm.calc,COUNTIFS(ShortMP1_w,1,mp1_mins_short,"&gt;"&amp;$P125,mp1_mins_short,"&lt;="&amp;$P126,Date,"&gt;="&amp;G$4,Date,"&lt;="&amp;G$5,Key_Gps,"*"&amp;G$1&amp;"*"),_xlpm.perc,_xlpm.calc/_xlpm.denom,IFERROR(IF(_xlpm.calc&lt;1000,_xlfn.CONCAT(_xlpm.calc," (",TEXT(_xlpm.perc,"0.0%"),")"),_xlfn.CONCAT(TEXT(_xlpm.calc,"0,000")," (",TEXT(_xlpm.perc,"0.0%"),")")),"-"))</f>
        <v>-</v>
      </c>
      <c r="H126" s="91" t="str" cm="1">
        <f t="array" ref="H126">_xlfn.LET(_xlpm.denom,H121,_xlpm.calc,COUNTIFS(ShortMP1_w,1,mp1_mins_short,"&gt;"&amp;$P125,mp1_mins_short,"&lt;="&amp;$P126,Date,"&gt;="&amp;H$4,Date,"&lt;="&amp;H$5,Key_Gps,"*"&amp;H$1&amp;"*"),_xlpm.perc,_xlpm.calc/_xlpm.denom,IFERROR(IF(_xlpm.calc&lt;1000,_xlfn.CONCAT(_xlpm.calc," (",TEXT(_xlpm.perc,"0.0%"),")"),_xlfn.CONCAT(TEXT(_xlpm.calc,"0,000")," (",TEXT(_xlpm.perc,"0.0%"),")")),"-"))</f>
        <v>-</v>
      </c>
      <c r="I126" s="91" t="str" cm="1">
        <f t="array" ref="I126">_xlfn.LET(_xlpm.denom,I121,_xlpm.calc,COUNTIFS(ShortMP1_w,1,mp1_mins_short,"&gt;"&amp;$P125,mp1_mins_short,"&lt;="&amp;$P126,Date,"&gt;="&amp;I$4,Date,"&lt;="&amp;I$5,Key_Gps,"*"&amp;I$1&amp;"*"),_xlpm.perc,_xlpm.calc/_xlpm.denom,IFERROR(IF(_xlpm.calc&lt;1000,_xlfn.CONCAT(_xlpm.calc," (",TEXT(_xlpm.perc,"0.0%"),")"),_xlfn.CONCAT(TEXT(_xlpm.calc,"0,000")," (",TEXT(_xlpm.perc,"0.0%"),")")),"-"))</f>
        <v>-</v>
      </c>
      <c r="J126" s="91" t="str" cm="1">
        <f t="array" ref="J126">_xlfn.LET(_xlpm.denom,J121,_xlpm.calc,COUNTIFS(ShortMP1_w,1,mp1_mins_short,"&gt;"&amp;$P125,mp1_mins_short,"&lt;="&amp;$P126,Date,"&gt;="&amp;J$4,Date,"&lt;="&amp;J$5,Key_Gps,"*"&amp;J$1&amp;"*"),_xlpm.perc,_xlpm.calc/_xlpm.denom,IFERROR(IF(_xlpm.calc&lt;1000,_xlfn.CONCAT(_xlpm.calc," (",TEXT(_xlpm.perc,"0.0%"),")"),_xlfn.CONCAT(TEXT(_xlpm.calc,"0,000")," (",TEXT(_xlpm.perc,"0.0%"),")")),"-"))</f>
        <v>-</v>
      </c>
      <c r="K126" s="91" t="str" cm="1">
        <f t="array" ref="K126">_xlfn.LET(_xlpm.denom,K121,_xlpm.calc,COUNTIFS(ShortMP1_w,1,mp1_mins_short,"&gt;"&amp;$P125,mp1_mins_short,"&lt;="&amp;$P126,Date,"&gt;="&amp;K$4,Date,"&lt;="&amp;K$5,Key_Gps,"*"&amp;K$1&amp;"*"),_xlpm.perc,_xlpm.calc/_xlpm.denom,IFERROR(IF(_xlpm.calc&lt;1000,_xlfn.CONCAT(_xlpm.calc," (",TEXT(_xlpm.perc,"0.0%"),")"),_xlfn.CONCAT(TEXT(_xlpm.calc,"0,000")," (",TEXT(_xlpm.perc,"0.0%"),")")),"-"))</f>
        <v>-</v>
      </c>
      <c r="L126" s="91" t="str" cm="1">
        <f t="array" ref="L126">_xlfn.LET(_xlpm.denom,L121,_xlpm.calc,COUNTIFS(ShortMP1_w,1,mp1_mins_short,"&gt;"&amp;$P125,mp1_mins_short,"&lt;="&amp;$P126,Date,"&gt;="&amp;L$4,Date,"&lt;="&amp;L$5,Key_Gps,"*"&amp;L$1&amp;"*"),_xlpm.perc,_xlpm.calc/_xlpm.denom,IFERROR(IF(_xlpm.calc&lt;1000,_xlfn.CONCAT(_xlpm.calc," (",TEXT(_xlpm.perc,"0.0%"),")"),_xlfn.CONCAT(TEXT(_xlpm.calc,"0,000")," (",TEXT(_xlpm.perc,"0.0%"),")")),"-"))</f>
        <v>-</v>
      </c>
      <c r="M126" s="168" t="str" cm="1">
        <f t="array" ref="M126">_xlfn.LET(_xlpm.denom,M121,_xlpm.calc,COUNTIFS(ShortMP1_w,1,mp1_mins_short,"&gt;"&amp;$P125,mp1_mins_short,"&lt;="&amp;$P126,Date,"&gt;="&amp;M$4,Date,"&lt;="&amp;M$5,Key_Gps,"*"&amp;M$1&amp;"*"),_xlpm.perc,_xlpm.calc/_xlpm.denom,IFERROR(IF(_xlpm.calc&lt;1000,_xlfn.CONCAT(_xlpm.calc," (",TEXT(_xlpm.perc,"0.0%"),")"),_xlfn.CONCAT(TEXT(_xlpm.calc,"0,000")," (",TEXT(_xlpm.perc,"0.0%"),")")),"-"))</f>
        <v>-</v>
      </c>
      <c r="N126" s="94"/>
      <c r="O126" s="74"/>
      <c r="P126" s="277">
        <v>15</v>
      </c>
      <c r="Q126" s="75" t="str">
        <f t="shared" si="63"/>
        <v/>
      </c>
      <c r="R126" s="76" t="e">
        <f t="shared" si="64"/>
        <v>#VALUE!</v>
      </c>
      <c r="S126" s="64">
        <f t="shared" si="47"/>
        <v>1</v>
      </c>
      <c r="T126" s="42" t="str">
        <f t="shared" ca="1" si="65"/>
        <v>-</v>
      </c>
      <c r="U126" s="42" t="str">
        <f t="shared" si="66"/>
        <v>-</v>
      </c>
      <c r="V126" s="42" t="str">
        <f t="shared" si="67"/>
        <v>-</v>
      </c>
      <c r="W126" s="42" t="str">
        <f t="shared" si="68"/>
        <v>-</v>
      </c>
      <c r="X126" s="42" t="str">
        <f t="shared" si="69"/>
        <v>-</v>
      </c>
      <c r="Y126" s="42" t="str">
        <f t="shared" si="70"/>
        <v>-</v>
      </c>
      <c r="Z126" s="42" t="str">
        <f t="shared" si="71"/>
        <v>-</v>
      </c>
      <c r="AA126" s="42" t="str">
        <f t="shared" si="72"/>
        <v>-</v>
      </c>
      <c r="AB126" s="42" t="str">
        <f t="shared" si="73"/>
        <v>-</v>
      </c>
      <c r="AC126" s="42" t="str">
        <f t="shared" si="74"/>
        <v>-</v>
      </c>
      <c r="AD126" s="88"/>
      <c r="AE126" s="88"/>
      <c r="AF126" s="88"/>
      <c r="AG126" s="88"/>
      <c r="AH126" s="88"/>
      <c r="AI126" s="88"/>
      <c r="AJ126" s="88"/>
      <c r="AK126" s="88"/>
    </row>
    <row r="127" spans="1:37" s="89" customFormat="1" outlineLevel="2" x14ac:dyDescent="0.3">
      <c r="A127" s="83">
        <v>1</v>
      </c>
      <c r="B127" s="315"/>
      <c r="C127" s="90" t="str">
        <f t="shared" si="86"/>
        <v>Meal periods 16+ mins short</v>
      </c>
      <c r="D127" s="201" t="str">
        <f t="shared" ca="1" si="87"/>
        <v>-</v>
      </c>
      <c r="E127" s="91" t="str" cm="1">
        <f t="array" ref="E127">_xlfn.LET(_xlpm.denom,E121,_xlpm.calc,COUNTIFS(ShortMP1_w,1,mp1_mins_short,"&gt;"&amp;$P126,mp1_mins_short,"&lt;="&amp;$P127,Date,"&gt;="&amp;E$4,Date,"&lt;="&amp;E$5,Key_Gps,"*"&amp;E$1&amp;"*"),_xlpm.perc,_xlpm.calc/_xlpm.denom,IFERROR(IF(_xlpm.calc&lt;1000,_xlfn.CONCAT(_xlpm.calc," (",TEXT(_xlpm.perc,"0.0%"),")"),_xlfn.CONCAT(TEXT(_xlpm.calc,"0,000")," (",TEXT(_xlpm.perc,"0.0%"),")")),"-"))</f>
        <v>-</v>
      </c>
      <c r="F127" s="91" t="str" cm="1">
        <f t="array" ref="F127">_xlfn.LET(_xlpm.denom,F121,_xlpm.calc,COUNTIFS(ShortMP1_w,1,mp1_mins_short,"&gt;"&amp;$P126,mp1_mins_short,"&lt;="&amp;$P127,Date,"&gt;="&amp;F$4,Date,"&lt;="&amp;F$5,Key_Gps,"*"&amp;F$1&amp;"*"),_xlpm.perc,_xlpm.calc/_xlpm.denom,IFERROR(IF(_xlpm.calc&lt;1000,_xlfn.CONCAT(_xlpm.calc," (",TEXT(_xlpm.perc,"0.0%"),")"),_xlfn.CONCAT(TEXT(_xlpm.calc,"0,000")," (",TEXT(_xlpm.perc,"0.0%"),")")),"-"))</f>
        <v>-</v>
      </c>
      <c r="G127" s="91" t="str" cm="1">
        <f t="array" ref="G127">_xlfn.LET(_xlpm.denom,G121,_xlpm.calc,COUNTIFS(ShortMP1_w,1,mp1_mins_short,"&gt;"&amp;$P126,mp1_mins_short,"&lt;="&amp;$P127,Date,"&gt;="&amp;G$4,Date,"&lt;="&amp;G$5,Key_Gps,"*"&amp;G$1&amp;"*"),_xlpm.perc,_xlpm.calc/_xlpm.denom,IFERROR(IF(_xlpm.calc&lt;1000,_xlfn.CONCAT(_xlpm.calc," (",TEXT(_xlpm.perc,"0.0%"),")"),_xlfn.CONCAT(TEXT(_xlpm.calc,"0,000")," (",TEXT(_xlpm.perc,"0.0%"),")")),"-"))</f>
        <v>-</v>
      </c>
      <c r="H127" s="91" t="str" cm="1">
        <f t="array" ref="H127">_xlfn.LET(_xlpm.denom,H121,_xlpm.calc,COUNTIFS(ShortMP1_w,1,mp1_mins_short,"&gt;"&amp;$P126,mp1_mins_short,"&lt;="&amp;$P127,Date,"&gt;="&amp;H$4,Date,"&lt;="&amp;H$5,Key_Gps,"*"&amp;H$1&amp;"*"),_xlpm.perc,_xlpm.calc/_xlpm.denom,IFERROR(IF(_xlpm.calc&lt;1000,_xlfn.CONCAT(_xlpm.calc," (",TEXT(_xlpm.perc,"0.0%"),")"),_xlfn.CONCAT(TEXT(_xlpm.calc,"0,000")," (",TEXT(_xlpm.perc,"0.0%"),")")),"-"))</f>
        <v>-</v>
      </c>
      <c r="I127" s="91" t="str" cm="1">
        <f t="array" ref="I127">_xlfn.LET(_xlpm.denom,I121,_xlpm.calc,COUNTIFS(ShortMP1_w,1,mp1_mins_short,"&gt;"&amp;$P126,mp1_mins_short,"&lt;="&amp;$P127,Date,"&gt;="&amp;I$4,Date,"&lt;="&amp;I$5,Key_Gps,"*"&amp;I$1&amp;"*"),_xlpm.perc,_xlpm.calc/_xlpm.denom,IFERROR(IF(_xlpm.calc&lt;1000,_xlfn.CONCAT(_xlpm.calc," (",TEXT(_xlpm.perc,"0.0%"),")"),_xlfn.CONCAT(TEXT(_xlpm.calc,"0,000")," (",TEXT(_xlpm.perc,"0.0%"),")")),"-"))</f>
        <v>-</v>
      </c>
      <c r="J127" s="91" t="str" cm="1">
        <f t="array" ref="J127">_xlfn.LET(_xlpm.denom,J121,_xlpm.calc,COUNTIFS(ShortMP1_w,1,mp1_mins_short,"&gt;"&amp;$P126,mp1_mins_short,"&lt;="&amp;$P127,Date,"&gt;="&amp;J$4,Date,"&lt;="&amp;J$5,Key_Gps,"*"&amp;J$1&amp;"*"),_xlpm.perc,_xlpm.calc/_xlpm.denom,IFERROR(IF(_xlpm.calc&lt;1000,_xlfn.CONCAT(_xlpm.calc," (",TEXT(_xlpm.perc,"0.0%"),")"),_xlfn.CONCAT(TEXT(_xlpm.calc,"0,000")," (",TEXT(_xlpm.perc,"0.0%"),")")),"-"))</f>
        <v>-</v>
      </c>
      <c r="K127" s="91" t="str" cm="1">
        <f t="array" ref="K127">_xlfn.LET(_xlpm.denom,K121,_xlpm.calc,COUNTIFS(ShortMP1_w,1,mp1_mins_short,"&gt;"&amp;$P126,mp1_mins_short,"&lt;="&amp;$P127,Date,"&gt;="&amp;K$4,Date,"&lt;="&amp;K$5,Key_Gps,"*"&amp;K$1&amp;"*"),_xlpm.perc,_xlpm.calc/_xlpm.denom,IFERROR(IF(_xlpm.calc&lt;1000,_xlfn.CONCAT(_xlpm.calc," (",TEXT(_xlpm.perc,"0.0%"),")"),_xlfn.CONCAT(TEXT(_xlpm.calc,"0,000")," (",TEXT(_xlpm.perc,"0.0%"),")")),"-"))</f>
        <v>-</v>
      </c>
      <c r="L127" s="91" t="str" cm="1">
        <f t="array" ref="L127">_xlfn.LET(_xlpm.denom,L121,_xlpm.calc,COUNTIFS(ShortMP1_w,1,mp1_mins_short,"&gt;"&amp;$P126,mp1_mins_short,"&lt;="&amp;$P127,Date,"&gt;="&amp;L$4,Date,"&lt;="&amp;L$5,Key_Gps,"*"&amp;L$1&amp;"*"),_xlpm.perc,_xlpm.calc/_xlpm.denom,IFERROR(IF(_xlpm.calc&lt;1000,_xlfn.CONCAT(_xlpm.calc," (",TEXT(_xlpm.perc,"0.0%"),")"),_xlfn.CONCAT(TEXT(_xlpm.calc,"0,000")," (",TEXT(_xlpm.perc,"0.0%"),")")),"-"))</f>
        <v>-</v>
      </c>
      <c r="M127" s="168" t="str" cm="1">
        <f t="array" ref="M127">_xlfn.LET(_xlpm.denom,M121,_xlpm.calc,COUNTIFS(ShortMP1_w,1,mp1_mins_short,"&gt;"&amp;$P126,mp1_mins_short,"&lt;="&amp;$P127,Date,"&gt;="&amp;M$4,Date,"&lt;="&amp;M$5,Key_Gps,"*"&amp;M$1&amp;"*"),_xlpm.perc,_xlpm.calc/_xlpm.denom,IFERROR(IF(_xlpm.calc&lt;1000,_xlfn.CONCAT(_xlpm.calc," (",TEXT(_xlpm.perc,"0.0%"),")"),_xlfn.CONCAT(TEXT(_xlpm.calc,"0,000")," (",TEXT(_xlpm.perc,"0.0%"),")")),"-"))</f>
        <v>-</v>
      </c>
      <c r="N127" s="94"/>
      <c r="O127" s="74"/>
      <c r="P127" s="277">
        <v>30</v>
      </c>
      <c r="Q127" s="75" t="str">
        <f t="shared" si="63"/>
        <v/>
      </c>
      <c r="R127" s="76" t="e">
        <f t="shared" si="64"/>
        <v>#VALUE!</v>
      </c>
      <c r="S127" s="64">
        <f t="shared" si="47"/>
        <v>1</v>
      </c>
      <c r="T127" s="42" t="str">
        <f t="shared" ca="1" si="65"/>
        <v>-</v>
      </c>
      <c r="U127" s="42" t="str">
        <f t="shared" si="66"/>
        <v>-</v>
      </c>
      <c r="V127" s="42" t="str">
        <f t="shared" si="67"/>
        <v>-</v>
      </c>
      <c r="W127" s="42" t="str">
        <f t="shared" si="68"/>
        <v>-</v>
      </c>
      <c r="X127" s="42" t="str">
        <f t="shared" si="69"/>
        <v>-</v>
      </c>
      <c r="Y127" s="42" t="str">
        <f t="shared" si="70"/>
        <v>-</v>
      </c>
      <c r="Z127" s="42" t="str">
        <f t="shared" si="71"/>
        <v>-</v>
      </c>
      <c r="AA127" s="42" t="str">
        <f t="shared" si="72"/>
        <v>-</v>
      </c>
      <c r="AB127" s="42" t="str">
        <f t="shared" si="73"/>
        <v>-</v>
      </c>
      <c r="AC127" s="42" t="str">
        <f t="shared" si="74"/>
        <v>-</v>
      </c>
      <c r="AD127" s="88"/>
      <c r="AE127" s="88"/>
      <c r="AF127" s="88"/>
      <c r="AG127" s="88"/>
      <c r="AH127" s="88"/>
      <c r="AI127" s="88"/>
      <c r="AJ127" s="88"/>
      <c r="AK127" s="88"/>
    </row>
    <row r="128" spans="1:37" s="41" customFormat="1" ht="28.8" outlineLevel="1" x14ac:dyDescent="0.25">
      <c r="A128" s="42" t="s">
        <v>13</v>
      </c>
      <c r="B128" s="315"/>
      <c r="C128" s="49" t="s">
        <v>116</v>
      </c>
      <c r="D128" s="195" t="str">
        <f ca="1">_xlfn.LET(_xlpm.denom,D107,_xlpm.calc,ROUND($Q128*_xlpm.denom,0),_xlpm.perc,_xlpm.calc/_xlpm.denom,IFERROR(IF(_xlpm.calc&lt;1000,_xlfn.CONCAT(_xlpm.calc," (",TEXT(_xlpm.perc,"0.0%"),")"),_xlfn.CONCAT(TEXT(_xlpm.calc,"0,000")," (",TEXT(_xlpm.perc,"0.0%"),")")),"-"))</f>
        <v>-</v>
      </c>
      <c r="E128" s="65" t="str" cm="1">
        <f t="array" ref="E128">_xlfn.LET(_xlpm.denom,E107,_xlpm.calc,COUNTIFS(mpv_shift_w,1,Date,"&gt;="&amp;E$4,Date,"&lt;="&amp;E$5,Key_Gps,"*"&amp;E$1&amp;"*"),_xlpm.perc,_xlpm.calc/_xlpm.denom,IFERROR(IF(_xlpm.calc&lt;1000,_xlfn.CONCAT(_xlpm.calc," (",TEXT(_xlpm.perc,"0.0%"),")"),_xlfn.CONCAT(TEXT(_xlpm.calc,"0,000")," (",TEXT(_xlpm.perc,"0.0%"),")")),"-"))</f>
        <v>-</v>
      </c>
      <c r="F128" s="56" t="str" cm="1">
        <f t="array" ref="F128">_xlfn.LET(_xlpm.denom,F107,_xlpm.calc,COUNTIFS(mpv_shift_w,1,Date,"&gt;="&amp;F$4,Date,"&lt;="&amp;F$5,Key_Gps,"*"&amp;F$1&amp;"*"),_xlpm.perc,_xlpm.calc/_xlpm.denom,IFERROR(IF(_xlpm.calc&lt;1000,_xlfn.CONCAT(_xlpm.calc," (",TEXT(_xlpm.perc,"0.0%"),")"),_xlfn.CONCAT(TEXT(_xlpm.calc,"0,000")," (",TEXT(_xlpm.perc,"0.0%"),")")),"-"))</f>
        <v>-</v>
      </c>
      <c r="G128" s="56" t="str" cm="1">
        <f t="array" ref="G128">_xlfn.LET(_xlpm.denom,G107,_xlpm.calc,COUNTIFS(mpv_shift_w,1,Date,"&gt;="&amp;G$4,Date,"&lt;="&amp;G$5,Key_Gps,"*"&amp;G$1&amp;"*"),_xlpm.perc,_xlpm.calc/_xlpm.denom,IFERROR(IF(_xlpm.calc&lt;1000,_xlfn.CONCAT(_xlpm.calc," (",TEXT(_xlpm.perc,"0.0%"),")"),_xlfn.CONCAT(TEXT(_xlpm.calc,"0,000")," (",TEXT(_xlpm.perc,"0.0%"),")")),"-"))</f>
        <v>-</v>
      </c>
      <c r="H128" s="56" t="str" cm="1">
        <f t="array" ref="H128">_xlfn.LET(_xlpm.denom,H107,_xlpm.calc,COUNTIFS(mpv_shift_w,1,Date,"&gt;="&amp;H$4,Date,"&lt;="&amp;H$5,Key_Gps,"*"&amp;H$1&amp;"*"),_xlpm.perc,_xlpm.calc/_xlpm.denom,IFERROR(IF(_xlpm.calc&lt;1000,_xlfn.CONCAT(_xlpm.calc," (",TEXT(_xlpm.perc,"0.0%"),")"),_xlfn.CONCAT(TEXT(_xlpm.calc,"0,000")," (",TEXT(_xlpm.perc,"0.0%"),")")),"-"))</f>
        <v>-</v>
      </c>
      <c r="I128" s="56" t="str" cm="1">
        <f t="array" ref="I128">_xlfn.LET(_xlpm.denom,I107,_xlpm.calc,COUNTIFS(mpv_shift_w,1,Date,"&gt;="&amp;I$4,Date,"&lt;="&amp;I$5,Key_Gps,"*"&amp;I$1&amp;"*"),_xlpm.perc,_xlpm.calc/_xlpm.denom,IFERROR(IF(_xlpm.calc&lt;1000,_xlfn.CONCAT(_xlpm.calc," (",TEXT(_xlpm.perc,"0.0%"),")"),_xlfn.CONCAT(TEXT(_xlpm.calc,"0,000")," (",TEXT(_xlpm.perc,"0.0%"),")")),"-"))</f>
        <v>-</v>
      </c>
      <c r="J128" s="56" t="str" cm="1">
        <f t="array" ref="J128">_xlfn.LET(_xlpm.denom,J107,_xlpm.calc,COUNTIFS(mpv_shift_w,1,Date,"&gt;="&amp;J$4,Date,"&lt;="&amp;J$5,Key_Gps,"*"&amp;J$1&amp;"*"),_xlpm.perc,_xlpm.calc/_xlpm.denom,IFERROR(IF(_xlpm.calc&lt;1000,_xlfn.CONCAT(_xlpm.calc," (",TEXT(_xlpm.perc,"0.0%"),")"),_xlfn.CONCAT(TEXT(_xlpm.calc,"0,000")," (",TEXT(_xlpm.perc,"0.0%"),")")),"-"))</f>
        <v>-</v>
      </c>
      <c r="K128" s="56" t="str" cm="1">
        <f t="array" ref="K128">_xlfn.LET(_xlpm.denom,K107,_xlpm.calc,COUNTIFS(mpv_shift_w,1,Date,"&gt;="&amp;K$4,Date,"&lt;="&amp;K$5,Key_Gps,"*"&amp;K$1&amp;"*"),_xlpm.perc,_xlpm.calc/_xlpm.denom,IFERROR(IF(_xlpm.calc&lt;1000,_xlfn.CONCAT(_xlpm.calc," (",TEXT(_xlpm.perc,"0.0%"),")"),_xlfn.CONCAT(TEXT(_xlpm.calc,"0,000")," (",TEXT(_xlpm.perc,"0.0%"),")")),"-"))</f>
        <v>-</v>
      </c>
      <c r="L128" s="56" t="str" cm="1">
        <f t="array" ref="L128">_xlfn.LET(_xlpm.denom,L107,_xlpm.calc,COUNTIFS(mpv_shift_w,1,Date,"&gt;="&amp;L$4,Date,"&lt;="&amp;L$5,Key_Gps,"*"&amp;L$1&amp;"*"),_xlpm.perc,_xlpm.calc/_xlpm.denom,IFERROR(IF(_xlpm.calc&lt;1000,_xlfn.CONCAT(_xlpm.calc," (",TEXT(_xlpm.perc,"0.0%"),")"),_xlfn.CONCAT(TEXT(_xlpm.calc,"0,000")," (",TEXT(_xlpm.perc,"0.0%"),")")),"-"))</f>
        <v>-</v>
      </c>
      <c r="M128" s="155" t="str" cm="1">
        <f t="array" ref="M128">_xlfn.LET(_xlpm.denom,M107,_xlpm.calc,COUNTIFS(mpv_shift_w,1,Date,"&gt;="&amp;M$4,Date,"&lt;="&amp;M$5,Key_Gps,"*"&amp;M$1&amp;"*"),_xlpm.perc,_xlpm.calc/_xlpm.denom,IFERROR(IF(_xlpm.calc&lt;1000,_xlfn.CONCAT(_xlpm.calc," (",TEXT(_xlpm.perc,"0.0%"),")"),_xlfn.CONCAT(TEXT(_xlpm.calc,"0,000")," (",TEXT(_xlpm.perc,"0.0%"),")")),"-"))</f>
        <v>-</v>
      </c>
      <c r="N128" s="53" t="s">
        <v>112</v>
      </c>
      <c r="O128" s="74"/>
      <c r="P128" s="42"/>
      <c r="Q128" s="75" t="str">
        <f t="shared" si="63"/>
        <v/>
      </c>
      <c r="R128" s="76" t="e">
        <f t="shared" si="64"/>
        <v>#VALUE!</v>
      </c>
      <c r="S128" s="64">
        <f t="shared" si="47"/>
        <v>1</v>
      </c>
      <c r="T128" s="42" t="str">
        <f t="shared" ca="1" si="65"/>
        <v>-</v>
      </c>
      <c r="U128" s="42" t="str">
        <f t="shared" si="66"/>
        <v>-</v>
      </c>
      <c r="V128" s="42" t="str">
        <f t="shared" si="67"/>
        <v>-</v>
      </c>
      <c r="W128" s="42" t="str">
        <f t="shared" si="68"/>
        <v>-</v>
      </c>
      <c r="X128" s="42" t="str">
        <f t="shared" si="69"/>
        <v>-</v>
      </c>
      <c r="Y128" s="42" t="str">
        <f t="shared" si="70"/>
        <v>-</v>
      </c>
      <c r="Z128" s="42" t="str">
        <f t="shared" si="71"/>
        <v>-</v>
      </c>
      <c r="AA128" s="42" t="str">
        <f t="shared" si="72"/>
        <v>-</v>
      </c>
      <c r="AB128" s="42" t="str">
        <f t="shared" si="73"/>
        <v>-</v>
      </c>
      <c r="AC128" s="42" t="str">
        <f t="shared" si="74"/>
        <v>-</v>
      </c>
    </row>
    <row r="129" spans="1:29" s="41" customFormat="1" outlineLevel="1" x14ac:dyDescent="0.3">
      <c r="A129" s="83">
        <v>1</v>
      </c>
      <c r="B129" s="315"/>
      <c r="C129" s="49" t="s">
        <v>568</v>
      </c>
      <c r="D129" s="195">
        <f ca="1">IFERROR(E129/E107*D107,0)</f>
        <v>0</v>
      </c>
      <c r="E129" s="65" t="e" cm="1">
        <f t="array" ref="E129">SUMIFS(Meal_Prem_Hrs,pp,1,Period_End,"&gt;="&amp;E$22,Period_End,"&lt;="&amp;E$23,Key_Gps,"*"&amp;E$1&amp;"*")</f>
        <v>#NAME?</v>
      </c>
      <c r="F129" s="56" t="e" cm="1">
        <f t="array" ref="F129">SUMIFS(Meal_Prem_Hrs,pp,1,Period_End,"&gt;="&amp;F$22,Period_End,"&lt;="&amp;F$23,Key_Gps,"*"&amp;F$1&amp;"*")</f>
        <v>#NAME?</v>
      </c>
      <c r="G129" s="56" t="e" cm="1">
        <f t="array" ref="G129">SUMIFS(Meal_Prem_Hrs,pp,1,Period_End,"&gt;="&amp;G$22,Period_End,"&lt;="&amp;G$23,Key_Gps,"*"&amp;G$1&amp;"*")</f>
        <v>#NAME?</v>
      </c>
      <c r="H129" s="56" t="e" cm="1">
        <f t="array" ref="H129">SUMIFS(Meal_Prem_Hrs,pp,1,Period_End,"&gt;="&amp;H$22,Period_End,"&lt;="&amp;H$23,Key_Gps,"*"&amp;H$1&amp;"*")</f>
        <v>#NAME?</v>
      </c>
      <c r="I129" s="56" t="e" cm="1">
        <f t="array" ref="I129">SUMIFS(Meal_Prem_Hrs,pp,1,Period_End,"&gt;="&amp;I$22,Period_End,"&lt;="&amp;I$23,Key_Gps,"*"&amp;I$1&amp;"*")</f>
        <v>#NAME?</v>
      </c>
      <c r="J129" s="56" t="e" cm="1">
        <f t="array" ref="J129">SUMIFS(Meal_Prem_Hrs,pp,1,Period_End,"&gt;="&amp;J$22,Period_End,"&lt;="&amp;J$23,Key_Gps,"*"&amp;J$1&amp;"*")</f>
        <v>#NAME?</v>
      </c>
      <c r="K129" s="56" t="e" cm="1">
        <f t="array" ref="K129">SUMIFS(Meal_Prem_Hrs,pp,1,Period_End,"&gt;="&amp;K$22,Period_End,"&lt;="&amp;K$23,Key_Gps,"*"&amp;K$1&amp;"*")</f>
        <v>#NAME?</v>
      </c>
      <c r="L129" s="56" t="e" cm="1">
        <f t="array" ref="L129">SUMIFS(Meal_Prem_Hrs,pp,1,Period_End,"&gt;="&amp;L$22,Period_End,"&lt;="&amp;L$23,Key_Gps,"*"&amp;L$1&amp;"*")</f>
        <v>#NAME?</v>
      </c>
      <c r="M129" s="155" t="e" cm="1">
        <f t="array" ref="M129">SUMIFS(Meal_Prem_Hrs,pp,1,Period_End,"&gt;="&amp;M$22,Period_End,"&lt;="&amp;M$23,Key_Gps,"*"&amp;M$1&amp;"*")</f>
        <v>#NAME?</v>
      </c>
      <c r="N129" s="53" t="s">
        <v>571</v>
      </c>
      <c r="O129" s="278" t="s">
        <v>569</v>
      </c>
      <c r="P129" s="42"/>
      <c r="Q129" s="75"/>
      <c r="R129" s="76"/>
      <c r="S129" s="64">
        <f t="shared" si="47"/>
        <v>1</v>
      </c>
      <c r="T129" s="42"/>
      <c r="U129" s="42"/>
      <c r="V129" s="42"/>
      <c r="W129" s="42"/>
      <c r="X129" s="42"/>
      <c r="Y129" s="42"/>
      <c r="Z129" s="42"/>
      <c r="AA129" s="42"/>
      <c r="AB129" s="42"/>
      <c r="AC129" s="42"/>
    </row>
    <row r="130" spans="1:29" s="41" customFormat="1" ht="28.8" outlineLevel="1" x14ac:dyDescent="0.25">
      <c r="A130" s="42" t="s">
        <v>13</v>
      </c>
      <c r="B130" s="315"/>
      <c r="C130" s="49" t="s">
        <v>570</v>
      </c>
      <c r="D130" s="195" t="str">
        <f ca="1">_xlfn.LET(_xlpm.denom,D107,_xlpm.calc,ROUND($Q130*_xlpm.denom,0),_xlpm.perc,_xlpm.calc/_xlpm.denom,IFERROR(IF(_xlpm.calc&lt;1000,_xlfn.CONCAT(_xlpm.calc," (",TEXT(_xlpm.perc,"0.0%"),")"),_xlfn.CONCAT(TEXT(_xlpm.calc,"0,000")," (",TEXT(_xlpm.perc,"0.0%"),")")),"-"))</f>
        <v>-</v>
      </c>
      <c r="E130" s="65" t="str" cm="1">
        <f t="array" ref="E130">_xlfn.LET(_xlpm.denom,E107,_xlpm.calc,SUMIFS(mpv_shift_less_prems_w,Date,"&gt;="&amp;E$4,Date,"&lt;="&amp;E$5,Key_Gps,"*"&amp;E$1&amp;"*"),_xlpm.perc,_xlpm.calc/_xlpm.denom,IFERROR(IF(_xlpm.calc&lt;1000,_xlfn.CONCAT(_xlpm.calc," (",TEXT(_xlpm.perc,"0.0%"),")"),_xlfn.CONCAT(TEXT(_xlpm.calc,"0,000")," (",TEXT(_xlpm.perc,"0.0%"),")")),"-"))</f>
        <v>-</v>
      </c>
      <c r="F130" s="56" t="str" cm="1">
        <f t="array" ref="F130">_xlfn.LET(_xlpm.denom,F107,_xlpm.calc,SUMIFS(mpv_shift_less_prems_w,Date,"&gt;="&amp;F$4,Date,"&lt;="&amp;F$5,Key_Gps,"*"&amp;F$1&amp;"*"),_xlpm.perc,_xlpm.calc/_xlpm.denom,IFERROR(IF(_xlpm.calc&lt;1000,_xlfn.CONCAT(_xlpm.calc," (",TEXT(_xlpm.perc,"0.0%"),")"),_xlfn.CONCAT(TEXT(_xlpm.calc,"0,000")," (",TEXT(_xlpm.perc,"0.0%"),")")),"-"))</f>
        <v>-</v>
      </c>
      <c r="G130" s="56" t="str" cm="1">
        <f t="array" ref="G130">_xlfn.LET(_xlpm.denom,G107,_xlpm.calc,SUMIFS(mpv_shift_less_prems_w,Date,"&gt;="&amp;G$4,Date,"&lt;="&amp;G$5,Key_Gps,"*"&amp;G$1&amp;"*"),_xlpm.perc,_xlpm.calc/_xlpm.denom,IFERROR(IF(_xlpm.calc&lt;1000,_xlfn.CONCAT(_xlpm.calc," (",TEXT(_xlpm.perc,"0.0%"),")"),_xlfn.CONCAT(TEXT(_xlpm.calc,"0,000")," (",TEXT(_xlpm.perc,"0.0%"),")")),"-"))</f>
        <v>-</v>
      </c>
      <c r="H130" s="56" t="str" cm="1">
        <f t="array" ref="H130">_xlfn.LET(_xlpm.denom,H107,_xlpm.calc,SUMIFS(mpv_shift_less_prems_w,Date,"&gt;="&amp;H$4,Date,"&lt;="&amp;H$5,Key_Gps,"*"&amp;H$1&amp;"*"),_xlpm.perc,_xlpm.calc/_xlpm.denom,IFERROR(IF(_xlpm.calc&lt;1000,_xlfn.CONCAT(_xlpm.calc," (",TEXT(_xlpm.perc,"0.0%"),")"),_xlfn.CONCAT(TEXT(_xlpm.calc,"0,000")," (",TEXT(_xlpm.perc,"0.0%"),")")),"-"))</f>
        <v>-</v>
      </c>
      <c r="I130" s="56" t="str" cm="1">
        <f t="array" ref="I130">_xlfn.LET(_xlpm.denom,I107,_xlpm.calc,SUMIFS(mpv_shift_less_prems_w,Date,"&gt;="&amp;I$4,Date,"&lt;="&amp;I$5,Key_Gps,"*"&amp;I$1&amp;"*"),_xlpm.perc,_xlpm.calc/_xlpm.denom,IFERROR(IF(_xlpm.calc&lt;1000,_xlfn.CONCAT(_xlpm.calc," (",TEXT(_xlpm.perc,"0.0%"),")"),_xlfn.CONCAT(TEXT(_xlpm.calc,"0,000")," (",TEXT(_xlpm.perc,"0.0%"),")")),"-"))</f>
        <v>-</v>
      </c>
      <c r="J130" s="56" t="str" cm="1">
        <f t="array" ref="J130">_xlfn.LET(_xlpm.denom,J107,_xlpm.calc,SUMIFS(mpv_shift_less_prems_w,Date,"&gt;="&amp;J$4,Date,"&lt;="&amp;J$5,Key_Gps,"*"&amp;J$1&amp;"*"),_xlpm.perc,_xlpm.calc/_xlpm.denom,IFERROR(IF(_xlpm.calc&lt;1000,_xlfn.CONCAT(_xlpm.calc," (",TEXT(_xlpm.perc,"0.0%"),")"),_xlfn.CONCAT(TEXT(_xlpm.calc,"0,000")," (",TEXT(_xlpm.perc,"0.0%"),")")),"-"))</f>
        <v>-</v>
      </c>
      <c r="K130" s="56" t="str" cm="1">
        <f t="array" ref="K130">_xlfn.LET(_xlpm.denom,K107,_xlpm.calc,SUMIFS(mpv_shift_less_prems_w,Date,"&gt;="&amp;K$4,Date,"&lt;="&amp;K$5,Key_Gps,"*"&amp;K$1&amp;"*"),_xlpm.perc,_xlpm.calc/_xlpm.denom,IFERROR(IF(_xlpm.calc&lt;1000,_xlfn.CONCAT(_xlpm.calc," (",TEXT(_xlpm.perc,"0.0%"),")"),_xlfn.CONCAT(TEXT(_xlpm.calc,"0,000")," (",TEXT(_xlpm.perc,"0.0%"),")")),"-"))</f>
        <v>-</v>
      </c>
      <c r="L130" s="56" t="str" cm="1">
        <f t="array" ref="L130">_xlfn.LET(_xlpm.denom,L107,_xlpm.calc,SUMIFS(mpv_shift_less_prems_w,Date,"&gt;="&amp;L$4,Date,"&lt;="&amp;L$5,Key_Gps,"*"&amp;L$1&amp;"*"),_xlpm.perc,_xlpm.calc/_xlpm.denom,IFERROR(IF(_xlpm.calc&lt;1000,_xlfn.CONCAT(_xlpm.calc," (",TEXT(_xlpm.perc,"0.0%"),")"),_xlfn.CONCAT(TEXT(_xlpm.calc,"0,000")," (",TEXT(_xlpm.perc,"0.0%"),")")),"-"))</f>
        <v>-</v>
      </c>
      <c r="M130" s="155" t="str" cm="1">
        <f t="array" ref="M130">_xlfn.LET(_xlpm.denom,M107,_xlpm.calc,SUMIFS(mpv_shift_less_prems_w,Date,"&gt;="&amp;M$4,Date,"&lt;="&amp;M$5,Key_Gps,"*"&amp;M$1&amp;"*"),_xlpm.perc,_xlpm.calc/_xlpm.denom,IFERROR(IF(_xlpm.calc&lt;1000,_xlfn.CONCAT(_xlpm.calc," (",TEXT(_xlpm.perc,"0.0%"),")"),_xlfn.CONCAT(TEXT(_xlpm.calc,"0,000")," (",TEXT(_xlpm.perc,"0.0%"),")")),"-"))</f>
        <v>-</v>
      </c>
      <c r="N130" s="53" t="s">
        <v>112</v>
      </c>
      <c r="O130" s="278" t="s">
        <v>567</v>
      </c>
      <c r="P130" s="42"/>
      <c r="Q130" s="75" t="str">
        <f>IF(IFERROR(SEARCH("(",E130),0)=0,"",VALUE(SUBSTITUTE(RIGHT(E130,LEN(E130)-SEARCH("(",E130)),")","")))</f>
        <v/>
      </c>
      <c r="R130" s="76" t="e">
        <f>IF(U130="","",SUM(V130:AB130)-U130)</f>
        <v>#VALUE!</v>
      </c>
      <c r="S130" s="64">
        <f t="shared" si="47"/>
        <v>1</v>
      </c>
      <c r="T130" s="42" t="str">
        <f ca="1">IF($S130&lt;&gt;1,"",IF(IFERROR(SEARCH("(",D130),0)=0,D130,VALUE(TRIM(LEFT(D130,SEARCH(" (",D130))))))</f>
        <v>-</v>
      </c>
      <c r="U130" s="42" t="str">
        <f>IF($S130&lt;&gt;1,"",IF(IFERROR(SEARCH("(",E130),0)=0,E130,VALUE(TRIM(LEFT(E130,SEARCH(" (",E130))))))</f>
        <v>-</v>
      </c>
      <c r="V130" s="42" t="str">
        <f>IF($S130&lt;&gt;1,"",IF(IFERROR(SEARCH("(",F130),0)=0,F130,VALUE(TRIM(LEFT(F130,SEARCH(" (",F130))))))</f>
        <v>-</v>
      </c>
      <c r="W130" s="42" t="str">
        <f t="shared" ref="W130:AB130" si="88">IF($S130&lt;&gt;1,"",IF(IFERROR(SEARCH("(",G130),0)=0,G130,VALUE(TRIM(LEFT(G130,SEARCH(" (",G130))))))</f>
        <v>-</v>
      </c>
      <c r="X130" s="42" t="str">
        <f t="shared" si="88"/>
        <v>-</v>
      </c>
      <c r="Y130" s="42" t="str">
        <f t="shared" si="88"/>
        <v>-</v>
      </c>
      <c r="Z130" s="42" t="str">
        <f t="shared" si="88"/>
        <v>-</v>
      </c>
      <c r="AA130" s="42" t="str">
        <f t="shared" si="88"/>
        <v>-</v>
      </c>
      <c r="AB130" s="42" t="str">
        <f t="shared" si="88"/>
        <v>-</v>
      </c>
      <c r="AC130" s="42" t="str">
        <f>IF($S130&lt;&gt;1,"",IF(IFERROR(SEARCH("(",M130),0)=0,M130,VALUE(TRIM(LEFT(M130,SEARCH(" (",M130))))))</f>
        <v>-</v>
      </c>
    </row>
    <row r="131" spans="1:29" s="41" customFormat="1" outlineLevel="1" x14ac:dyDescent="0.3">
      <c r="A131" s="83">
        <v>1</v>
      </c>
      <c r="B131" s="315"/>
      <c r="C131" s="49" t="s">
        <v>81</v>
      </c>
      <c r="D131" s="195" t="str">
        <f t="shared" ref="D131:K131" ca="1" si="89">_xlfn.LET(_xlpm.calc,_xlfn.XLOOKUP($C131,$C:$C,D:D),IF(IFERROR(SEARCH(" ",_xlpm.calc),0)&gt;0,IFERROR(VALUE(LEFT(_xlpm.calc,SEARCH(" ",_xlpm.calc))),"-"),IFERROR(_xlpm.calc,"-")))</f>
        <v>-</v>
      </c>
      <c r="E131" s="65" t="str">
        <f t="shared" si="89"/>
        <v>-</v>
      </c>
      <c r="F131" s="65" t="str">
        <f t="shared" si="89"/>
        <v>-</v>
      </c>
      <c r="G131" s="65" t="str">
        <f t="shared" si="89"/>
        <v>-</v>
      </c>
      <c r="H131" s="65" t="str">
        <f t="shared" si="89"/>
        <v>-</v>
      </c>
      <c r="I131" s="65" t="str">
        <f t="shared" si="89"/>
        <v>-</v>
      </c>
      <c r="J131" s="65" t="str">
        <f t="shared" si="89"/>
        <v>-</v>
      </c>
      <c r="K131" s="65" t="str">
        <f t="shared" si="89"/>
        <v>-</v>
      </c>
      <c r="L131" s="65" t="str">
        <f>_xlfn.LET(_xlpm.calc,_xlfn.XLOOKUP($C131,$C:$C,L:L),IF(IFERROR(SEARCH(" ",_xlpm.calc),0)&gt;0,IFERROR(VALUE(LEFT(_xlpm.calc,SEARCH(" ",_xlpm.calc))),"-"),IFERROR(_xlpm.calc,"-")))</f>
        <v>-</v>
      </c>
      <c r="M131" s="155" t="str">
        <f>_xlfn.LET(_xlpm.calc,_xlfn.XLOOKUP($C131,$C:$C,M:M),IF(IFERROR(SEARCH(" ",_xlpm.calc),0)&gt;0,IFERROR(VALUE(LEFT(_xlpm.calc,SEARCH(" ",_xlpm.calc))),"-"),IFERROR(_xlpm.calc,"-")))</f>
        <v>-</v>
      </c>
      <c r="N131" s="53" t="s">
        <v>599</v>
      </c>
      <c r="O131" s="278" t="s">
        <v>569</v>
      </c>
      <c r="P131" s="42"/>
      <c r="Q131" s="75"/>
      <c r="R131" s="76"/>
      <c r="S131" s="64">
        <f t="shared" si="47"/>
        <v>1</v>
      </c>
      <c r="T131" s="42"/>
      <c r="U131" s="42"/>
      <c r="V131" s="42"/>
      <c r="W131" s="42"/>
      <c r="X131" s="42"/>
      <c r="Y131" s="42"/>
      <c r="Z131" s="42"/>
      <c r="AA131" s="42"/>
      <c r="AB131" s="42"/>
      <c r="AC131" s="42"/>
    </row>
    <row r="132" spans="1:29" s="41" customFormat="1" ht="28.8" outlineLevel="1" x14ac:dyDescent="0.25">
      <c r="A132" s="42" t="s">
        <v>13</v>
      </c>
      <c r="B132" s="315"/>
      <c r="C132" s="49" t="s">
        <v>598</v>
      </c>
      <c r="D132" s="195" t="str">
        <f ca="1">_xlfn.LET(_xlpm.denom,D107,_xlpm.calc,ROUND($Q132*_xlpm.denom,0),_xlpm.perc,_xlpm.calc/_xlpm.denom,IFERROR(IF(_xlpm.calc&lt;1000,_xlfn.CONCAT(_xlpm.calc," (",TEXT(_xlpm.perc,"0.0%"),")"),_xlfn.CONCAT(TEXT(_xlpm.calc,"0,000")," (",TEXT(_xlpm.perc,"0.0%"),")")),"-"))</f>
        <v>-</v>
      </c>
      <c r="E132" s="65" t="str">
        <f t="shared" ref="E132:M132" si="90">_xlfn.LET(_xlpm.denom,E$107,_xlpm.calc,ROUND(MAX(0,VALUE(LEFT(E128,SEARCH(" ",E128)))-E131),0),_xlpm.perc,_xlpm.calc/_xlpm.denom,IFERROR(IF(_xlpm.calc&lt;1000,_xlfn.CONCAT(_xlpm.calc," (",TEXT(_xlpm.perc,"0.0%"),")"),_xlfn.CONCAT(TEXT(_xlpm.calc,"0,000")," (",TEXT(_xlpm.perc,"0.0%"),")")),"-"))</f>
        <v>-</v>
      </c>
      <c r="F132" s="56" t="str">
        <f t="shared" si="90"/>
        <v>-</v>
      </c>
      <c r="G132" s="56" t="str">
        <f t="shared" si="90"/>
        <v>-</v>
      </c>
      <c r="H132" s="56" t="str">
        <f t="shared" si="90"/>
        <v>-</v>
      </c>
      <c r="I132" s="56" t="str">
        <f t="shared" si="90"/>
        <v>-</v>
      </c>
      <c r="J132" s="56" t="str">
        <f t="shared" si="90"/>
        <v>-</v>
      </c>
      <c r="K132" s="56" t="str">
        <f t="shared" ref="K132" si="91">_xlfn.LET(_xlpm.denom,K$107,_xlpm.calc,ROUND(MAX(0,VALUE(LEFT(K128,SEARCH(" ",K128)))-K131),0),_xlpm.perc,_xlpm.calc/_xlpm.denom,IFERROR(IF(_xlpm.calc&lt;1000,_xlfn.CONCAT(_xlpm.calc," (",TEXT(_xlpm.perc,"0.0%"),")"),_xlfn.CONCAT(TEXT(_xlpm.calc,"0,000")," (",TEXT(_xlpm.perc,"0.0%"),")")),"-"))</f>
        <v>-</v>
      </c>
      <c r="L132" s="56" t="str">
        <f t="shared" si="90"/>
        <v>-</v>
      </c>
      <c r="M132" s="155" t="str">
        <f t="shared" si="90"/>
        <v>-</v>
      </c>
      <c r="N132" s="53" t="s">
        <v>112</v>
      </c>
      <c r="O132" s="278" t="s">
        <v>567</v>
      </c>
      <c r="P132" s="42"/>
      <c r="Q132" s="75" t="str">
        <f t="shared" ref="Q132:Q148" si="92">IF(IFERROR(SEARCH("(",E132),0)=0,"",VALUE(SUBSTITUTE(RIGHT(E132,LEN(E132)-SEARCH("(",E132)),")","")))</f>
        <v/>
      </c>
      <c r="R132" s="76" t="e">
        <f t="shared" ref="R132:R148" si="93">IF(U132="","",SUM(V132:AB132)-U132)</f>
        <v>#VALUE!</v>
      </c>
      <c r="S132" s="64">
        <f t="shared" si="47"/>
        <v>1</v>
      </c>
      <c r="T132" s="42" t="str">
        <f t="shared" ref="T132:T148" ca="1" si="94">IF($S132&lt;&gt;1,"",IF(IFERROR(SEARCH("(",D132),0)=0,D132,VALUE(TRIM(LEFT(D132,SEARCH(" (",D132))))))</f>
        <v>-</v>
      </c>
      <c r="U132" s="42" t="str">
        <f t="shared" ref="U132:U148" si="95">IF($S132&lt;&gt;1,"",IF(IFERROR(SEARCH("(",E132),0)=0,E132,VALUE(TRIM(LEFT(E132,SEARCH(" (",E132))))))</f>
        <v>-</v>
      </c>
      <c r="V132" s="42" t="str">
        <f t="shared" ref="V132:V148" si="96">IF($S132&lt;&gt;1,"",IF(IFERROR(SEARCH("(",F132),0)=0,F132,VALUE(TRIM(LEFT(F132,SEARCH(" (",F132))))))</f>
        <v>-</v>
      </c>
      <c r="W132" s="42" t="str">
        <f t="shared" ref="W132:W148" si="97">IF($S132&lt;&gt;1,"",IF(IFERROR(SEARCH("(",G132),0)=0,G132,VALUE(TRIM(LEFT(G132,SEARCH(" (",G132))))))</f>
        <v>-</v>
      </c>
      <c r="X132" s="42" t="str">
        <f t="shared" ref="X132:X148" si="98">IF($S132&lt;&gt;1,"",IF(IFERROR(SEARCH("(",H132),0)=0,H132,VALUE(TRIM(LEFT(H132,SEARCH(" (",H132))))))</f>
        <v>-</v>
      </c>
      <c r="Y132" s="42" t="str">
        <f t="shared" ref="Y132:Y148" si="99">IF($S132&lt;&gt;1,"",IF(IFERROR(SEARCH("(",I132),0)=0,I132,VALUE(TRIM(LEFT(I132,SEARCH(" (",I132))))))</f>
        <v>-</v>
      </c>
      <c r="Z132" s="42" t="str">
        <f t="shared" ref="Z132:Z148" si="100">IF($S132&lt;&gt;1,"",IF(IFERROR(SEARCH("(",J132),0)=0,J132,VALUE(TRIM(LEFT(J132,SEARCH(" (",J132))))))</f>
        <v>-</v>
      </c>
      <c r="AA132" s="42" t="str">
        <f t="shared" ref="AA132:AA148" si="101">IF($S132&lt;&gt;1,"",IF(IFERROR(SEARCH("(",K132),0)=0,K132,VALUE(TRIM(LEFT(K132,SEARCH(" (",K132))))))</f>
        <v>-</v>
      </c>
      <c r="AB132" s="42" t="str">
        <f t="shared" ref="AB132:AB148" si="102">IF($S132&lt;&gt;1,"",IF(IFERROR(SEARCH("(",L132),0)=0,L132,VALUE(TRIM(LEFT(L132,SEARCH(" (",L132))))))</f>
        <v>-</v>
      </c>
      <c r="AC132" s="42" t="str">
        <f t="shared" ref="AC132:AC148" si="103">IF($S132&lt;&gt;1,"",IF(IFERROR(SEARCH("(",M132),0)=0,M132,VALUE(TRIM(LEFT(M132,SEARCH(" (",M132))))))</f>
        <v>-</v>
      </c>
    </row>
    <row r="133" spans="1:29" s="41" customFormat="1" ht="28.8" outlineLevel="1" x14ac:dyDescent="0.25">
      <c r="A133" s="42" t="s">
        <v>13</v>
      </c>
      <c r="B133" s="315"/>
      <c r="C133" s="49" t="s">
        <v>21</v>
      </c>
      <c r="D133" s="195" t="str">
        <f t="shared" ref="D133:K133" ca="1" si="104">_xlfn.LET(_xlpm.calc,_xlfn.XLOOKUP($C133,$C:$C,D:D),IF(IFERROR(SEARCH(" ",_xlpm.calc),0)&gt;0,IFERROR(VALUE(LEFT(_xlpm.calc,SEARCH(" ",_xlpm.calc))),"-"),IFERROR(_xlpm.calc,"-")))</f>
        <v>-</v>
      </c>
      <c r="E133" s="65">
        <f t="shared" si="104"/>
        <v>0</v>
      </c>
      <c r="F133" s="56">
        <f t="shared" si="104"/>
        <v>0</v>
      </c>
      <c r="G133" s="56">
        <f t="shared" si="104"/>
        <v>0</v>
      </c>
      <c r="H133" s="56">
        <f t="shared" si="104"/>
        <v>0</v>
      </c>
      <c r="I133" s="56">
        <f t="shared" si="104"/>
        <v>0</v>
      </c>
      <c r="J133" s="56">
        <f t="shared" si="104"/>
        <v>0</v>
      </c>
      <c r="K133" s="56">
        <f t="shared" si="104"/>
        <v>0</v>
      </c>
      <c r="L133" s="56">
        <f>_xlfn.LET(_xlpm.calc,_xlfn.XLOOKUP($C133,$C:$C,L:L),IF(IFERROR(SEARCH(" ",_xlpm.calc),0)&gt;0,IFERROR(VALUE(LEFT(_xlpm.calc,SEARCH(" ",_xlpm.calc))),"-"),IFERROR(_xlpm.calc,"-")))</f>
        <v>0</v>
      </c>
      <c r="M133" s="155">
        <f>_xlfn.LET(_xlpm.calc,_xlfn.XLOOKUP($C133,$C:$C,M:M),IF(IFERROR(SEARCH(" ",_xlpm.calc),0)&gt;0,IFERROR(VALUE(LEFT(_xlpm.calc,SEARCH(" ",_xlpm.calc))),"-"),IFERROR(_xlpm.calc,"-")))</f>
        <v>0</v>
      </c>
      <c r="N133" s="53"/>
      <c r="O133" s="74"/>
      <c r="P133" s="42"/>
      <c r="Q133" s="75" t="str">
        <f t="shared" si="92"/>
        <v/>
      </c>
      <c r="R133" s="76">
        <f t="shared" si="93"/>
        <v>0</v>
      </c>
      <c r="S133" s="64">
        <f t="shared" si="47"/>
        <v>1</v>
      </c>
      <c r="T133" s="42" t="str">
        <f t="shared" ca="1" si="94"/>
        <v>-</v>
      </c>
      <c r="U133" s="42">
        <f t="shared" si="95"/>
        <v>0</v>
      </c>
      <c r="V133" s="42">
        <f t="shared" si="96"/>
        <v>0</v>
      </c>
      <c r="W133" s="42">
        <f t="shared" si="97"/>
        <v>0</v>
      </c>
      <c r="X133" s="42">
        <f t="shared" si="98"/>
        <v>0</v>
      </c>
      <c r="Y133" s="42">
        <f t="shared" si="99"/>
        <v>0</v>
      </c>
      <c r="Z133" s="42">
        <f t="shared" si="100"/>
        <v>0</v>
      </c>
      <c r="AA133" s="42">
        <f t="shared" si="101"/>
        <v>0</v>
      </c>
      <c r="AB133" s="42">
        <f t="shared" si="102"/>
        <v>0</v>
      </c>
      <c r="AC133" s="42">
        <f t="shared" si="103"/>
        <v>0</v>
      </c>
    </row>
    <row r="134" spans="1:29" s="41" customFormat="1" ht="28.8" outlineLevel="1" x14ac:dyDescent="0.25">
      <c r="A134" s="42" t="s">
        <v>13</v>
      </c>
      <c r="B134" s="315"/>
      <c r="C134" s="49" t="s">
        <v>33</v>
      </c>
      <c r="D134" s="195" t="str">
        <f ca="1">_xlfn.LET(_xlpm.denom,D133,_xlpm.calc,ROUND($Q134*_xlpm.denom,0),_xlpm.perc,_xlpm.calc/_xlpm.denom,IFERROR(IF(_xlpm.calc&lt;1000,_xlfn.CONCAT(_xlpm.calc," (",TEXT(_xlpm.perc,"0.0%"),")"),_xlfn.CONCAT(TEXT(_xlpm.calc,"0,000")," (",TEXT(_xlpm.perc,"0.0%"),")")),"-"))</f>
        <v>-</v>
      </c>
      <c r="E134" s="65" t="str" cm="1">
        <f t="array" ref="E134">_xlfn.LET(_xlpm.denom,E133,_xlpm.calc,IFERROR(ROWS(_xlfn.UNIQUE(_xlfn._xlws.FILTER(ID_Period_End,(Period_End &gt;= E$4) * (Period_End &lt;= E$5) * (IFERROR(SEARCH(E$1, Key_Gps),0)&gt;0) * (mpv_shift_w &gt; 0)))),0),_xlpm.perc,_xlpm.calc/_xlpm.denom,IFERROR(IF(_xlpm.calc&lt;1000,_xlfn.CONCAT(_xlpm.calc," (",TEXT(_xlpm.perc,"0.0%"),")"),_xlfn.CONCAT(TEXT(_xlpm.calc,"0,000")," (",TEXT(_xlpm.perc,"0.0%"),")")),"-"))</f>
        <v>-</v>
      </c>
      <c r="F134" s="56" t="str" cm="1">
        <f t="array" ref="F134">_xlfn.LET(_xlpm.denom,F133,_xlpm.calc,IFERROR(ROWS(_xlfn.UNIQUE(_xlfn._xlws.FILTER(ID_Period_End,(Period_End &gt;= F$4) * (Period_End &lt;= F$5) * (IFERROR(SEARCH(F$1, Key_Gps),0)&gt;0) * (mpv_shift_w &gt; 0)))),0),_xlpm.perc,_xlpm.calc/_xlpm.denom,IFERROR(IF(_xlpm.calc&lt;1000,_xlfn.CONCAT(_xlpm.calc," (",TEXT(_xlpm.perc,"0.0%"),")"),_xlfn.CONCAT(TEXT(_xlpm.calc,"0,000")," (",TEXT(_xlpm.perc,"0.0%"),")")),"-"))</f>
        <v>-</v>
      </c>
      <c r="G134" s="56" t="str" cm="1">
        <f t="array" ref="G134">_xlfn.LET(_xlpm.denom,G133,_xlpm.calc,IFERROR(ROWS(_xlfn.UNIQUE(_xlfn._xlws.FILTER(ID_Period_End,(Period_End &gt;= G$4) * (Period_End &lt;= G$5) * (IFERROR(SEARCH(G$1, Key_Gps),0)&gt;0) * (mpv_shift_w &gt; 0)))),0),_xlpm.perc,_xlpm.calc/_xlpm.denom,IFERROR(IF(_xlpm.calc&lt;1000,_xlfn.CONCAT(_xlpm.calc," (",TEXT(_xlpm.perc,"0.0%"),")"),_xlfn.CONCAT(TEXT(_xlpm.calc,"0,000")," (",TEXT(_xlpm.perc,"0.0%"),")")),"-"))</f>
        <v>-</v>
      </c>
      <c r="H134" s="56" t="str" cm="1">
        <f t="array" ref="H134">_xlfn.LET(_xlpm.denom,H133,_xlpm.calc,IFERROR(ROWS(_xlfn.UNIQUE(_xlfn._xlws.FILTER(ID_Period_End,(Period_End &gt;= H$4) * (Period_End &lt;= H$5) * (IFERROR(SEARCH(H$1, Key_Gps),0)&gt;0) * (mpv_shift_w &gt; 0)))),0),_xlpm.perc,_xlpm.calc/_xlpm.denom,IFERROR(IF(_xlpm.calc&lt;1000,_xlfn.CONCAT(_xlpm.calc," (",TEXT(_xlpm.perc,"0.0%"),")"),_xlfn.CONCAT(TEXT(_xlpm.calc,"0,000")," (",TEXT(_xlpm.perc,"0.0%"),")")),"-"))</f>
        <v>-</v>
      </c>
      <c r="I134" s="56" t="str" cm="1">
        <f t="array" ref="I134">_xlfn.LET(_xlpm.denom,I133,_xlpm.calc,IFERROR(ROWS(_xlfn.UNIQUE(_xlfn._xlws.FILTER(ID_Period_End,(Period_End &gt;= I$4) * (Period_End &lt;= I$5) * (IFERROR(SEARCH(I$1, Key_Gps),0)&gt;0) * (mpv_shift_w &gt; 0)))),0),_xlpm.perc,_xlpm.calc/_xlpm.denom,IFERROR(IF(_xlpm.calc&lt;1000,_xlfn.CONCAT(_xlpm.calc," (",TEXT(_xlpm.perc,"0.0%"),")"),_xlfn.CONCAT(TEXT(_xlpm.calc,"0,000")," (",TEXT(_xlpm.perc,"0.0%"),")")),"-"))</f>
        <v>-</v>
      </c>
      <c r="J134" s="56" t="str" cm="1">
        <f t="array" ref="J134">_xlfn.LET(_xlpm.denom,J133,_xlpm.calc,IFERROR(ROWS(_xlfn.UNIQUE(_xlfn._xlws.FILTER(ID_Period_End,(Period_End &gt;= J$4) * (Period_End &lt;= J$5) * (IFERROR(SEARCH(J$1, Key_Gps),0)&gt;0) * (mpv_shift_w &gt; 0)))),0),_xlpm.perc,_xlpm.calc/_xlpm.denom,IFERROR(IF(_xlpm.calc&lt;1000,_xlfn.CONCAT(_xlpm.calc," (",TEXT(_xlpm.perc,"0.0%"),")"),_xlfn.CONCAT(TEXT(_xlpm.calc,"0,000")," (",TEXT(_xlpm.perc,"0.0%"),")")),"-"))</f>
        <v>-</v>
      </c>
      <c r="K134" s="56" t="str" cm="1">
        <f t="array" ref="K134">_xlfn.LET(_xlpm.denom,K133,_xlpm.calc,IFERROR(ROWS(_xlfn.UNIQUE(_xlfn._xlws.FILTER(ID_Period_End,(Period_End &gt;= K$4) * (Period_End &lt;= K$5) * (IFERROR(SEARCH(K$1, Key_Gps),0)&gt;0) * (mpv_shift_w &gt; 0)))),0),_xlpm.perc,_xlpm.calc/_xlpm.denom,IFERROR(IF(_xlpm.calc&lt;1000,_xlfn.CONCAT(_xlpm.calc," (",TEXT(_xlpm.perc,"0.0%"),")"),_xlfn.CONCAT(TEXT(_xlpm.calc,"0,000")," (",TEXT(_xlpm.perc,"0.0%"),")")),"-"))</f>
        <v>-</v>
      </c>
      <c r="L134" s="56" t="str" cm="1">
        <f t="array" ref="L134">_xlfn.LET(_xlpm.denom,L133,_xlpm.calc,IFERROR(ROWS(_xlfn.UNIQUE(_xlfn._xlws.FILTER(ID_Period_End,(Period_End &gt;= L$4) * (Period_End &lt;= L$5) * (IFERROR(SEARCH(L$1, Key_Gps),0)&gt;0) * (mpv_shift_w &gt; 0)))),0),_xlpm.perc,_xlpm.calc/_xlpm.denom,IFERROR(IF(_xlpm.calc&lt;1000,_xlfn.CONCAT(_xlpm.calc," (",TEXT(_xlpm.perc,"0.0%"),")"),_xlfn.CONCAT(TEXT(_xlpm.calc,"0,000")," (",TEXT(_xlpm.perc,"0.0%"),")")),"-"))</f>
        <v>-</v>
      </c>
      <c r="M134" s="155" t="str" cm="1">
        <f t="array" ref="M134">_xlfn.LET(_xlpm.denom,M133,_xlpm.calc,IFERROR(ROWS(_xlfn.UNIQUE(_xlfn._xlws.FILTER(ID_Period_End,(Period_End &gt;= M$4) * (Period_End &lt;= M$5) * (IFERROR(SEARCH(M$1, Key_Gps),0)&gt;0) * (mpv_shift_w &gt; 0)))),0),_xlpm.perc,_xlpm.calc/_xlpm.denom,IFERROR(IF(_xlpm.calc&lt;1000,_xlfn.CONCAT(_xlpm.calc," (",TEXT(_xlpm.perc,"0.0%"),")"),_xlfn.CONCAT(TEXT(_xlpm.calc,"0,000")," (",TEXT(_xlpm.perc,"0.0%"),")")),"-"))</f>
        <v>-</v>
      </c>
      <c r="N134" s="53" t="s">
        <v>80</v>
      </c>
      <c r="O134" s="74"/>
      <c r="P134" s="42"/>
      <c r="Q134" s="75" t="str">
        <f t="shared" si="92"/>
        <v/>
      </c>
      <c r="R134" s="76" t="e">
        <f t="shared" si="93"/>
        <v>#VALUE!</v>
      </c>
      <c r="S134" s="64">
        <f t="shared" si="47"/>
        <v>1</v>
      </c>
      <c r="T134" s="42" t="str">
        <f t="shared" ca="1" si="94"/>
        <v>-</v>
      </c>
      <c r="U134" s="42" t="str">
        <f t="shared" si="95"/>
        <v>-</v>
      </c>
      <c r="V134" s="42" t="str">
        <f t="shared" si="96"/>
        <v>-</v>
      </c>
      <c r="W134" s="42" t="str">
        <f t="shared" si="97"/>
        <v>-</v>
      </c>
      <c r="X134" s="42" t="str">
        <f t="shared" si="98"/>
        <v>-</v>
      </c>
      <c r="Y134" s="42" t="str">
        <f t="shared" si="99"/>
        <v>-</v>
      </c>
      <c r="Z134" s="42" t="str">
        <f t="shared" si="100"/>
        <v>-</v>
      </c>
      <c r="AA134" s="42" t="str">
        <f t="shared" si="101"/>
        <v>-</v>
      </c>
      <c r="AB134" s="42" t="str">
        <f t="shared" si="102"/>
        <v>-</v>
      </c>
      <c r="AC134" s="42" t="str">
        <f t="shared" si="103"/>
        <v>-</v>
      </c>
    </row>
    <row r="135" spans="1:29" s="41" customFormat="1" ht="28.8" outlineLevel="1" x14ac:dyDescent="0.25">
      <c r="A135" s="42" t="s">
        <v>13</v>
      </c>
      <c r="B135" s="315"/>
      <c r="C135" s="49" t="s">
        <v>117</v>
      </c>
      <c r="D135" s="195" t="str">
        <f ca="1">_xlfn.LET(_xlpm.denom,D133,_xlpm.calc,ROUND($Q135*_xlpm.denom,0),_xlpm.perc,_xlpm.calc/_xlpm.denom,IFERROR(IF(_xlpm.calc&lt;1000,_xlfn.CONCAT(_xlpm.calc," (",TEXT(_xlpm.perc,"0.0%"),")"),_xlfn.CONCAT(TEXT(_xlpm.calc,"0,000")," (",TEXT(_xlpm.perc,"0.0%"),")")),"-"))</f>
        <v>-</v>
      </c>
      <c r="E135" s="65" t="str" cm="1">
        <f t="array" ref="E135">_xlfn.LET(_xlpm.denom,E133,_xlpm.calc,IFERROR(ROWS(_xlfn.UNIQUE(_xlfn._xlws.FILTER(ID_Period_End,(Period_End &gt;= E$4) * (Period_End &lt;= E$5) * (IFERROR(SEARCH(E$1, Key_Gps),0)&gt;0) * (mpv_per_pp_less_prems_w &gt; 0)))),0),_xlpm.perc,_xlpm.calc/_xlpm.denom,IFERROR(IF(_xlpm.calc&lt;1000,_xlfn.CONCAT(_xlpm.calc," (",TEXT(_xlpm.perc,"0.0%"),")"),_xlfn.CONCAT(TEXT(_xlpm.calc,"0,000")," (",TEXT(_xlpm.perc,"0.0%"),")")),"-"))</f>
        <v>-</v>
      </c>
      <c r="F135" s="56" t="str" cm="1">
        <f t="array" ref="F135">_xlfn.LET(_xlpm.denom,F133,_xlpm.calc,IFERROR(ROWS(_xlfn.UNIQUE(_xlfn._xlws.FILTER(ID_Period_End,(Period_End &gt;= F$4) * (Period_End &lt;= F$5) * (IFERROR(SEARCH(F$1, Key_Gps),0)&gt;0) * (mpv_per_pp_less_prems_w &gt; 0)))),0),_xlpm.perc,_xlpm.calc/_xlpm.denom,IFERROR(IF(_xlpm.calc&lt;1000,_xlfn.CONCAT(_xlpm.calc," (",TEXT(_xlpm.perc,"0.0%"),")"),_xlfn.CONCAT(TEXT(_xlpm.calc,"0,000")," (",TEXT(_xlpm.perc,"0.0%"),")")),"-"))</f>
        <v>-</v>
      </c>
      <c r="G135" s="56" t="str" cm="1">
        <f t="array" ref="G135">_xlfn.LET(_xlpm.denom,G133,_xlpm.calc,IFERROR(ROWS(_xlfn.UNIQUE(_xlfn._xlws.FILTER(ID_Period_End,(Period_End &gt;= G$4) * (Period_End &lt;= G$5) * (IFERROR(SEARCH(G$1, Key_Gps),0)&gt;0) * (mpv_per_pp_less_prems_w &gt; 0)))),0),_xlpm.perc,_xlpm.calc/_xlpm.denom,IFERROR(IF(_xlpm.calc&lt;1000,_xlfn.CONCAT(_xlpm.calc," (",TEXT(_xlpm.perc,"0.0%"),")"),_xlfn.CONCAT(TEXT(_xlpm.calc,"0,000")," (",TEXT(_xlpm.perc,"0.0%"),")")),"-"))</f>
        <v>-</v>
      </c>
      <c r="H135" s="56" t="str" cm="1">
        <f t="array" ref="H135">_xlfn.LET(_xlpm.denom,H133,_xlpm.calc,IFERROR(ROWS(_xlfn.UNIQUE(_xlfn._xlws.FILTER(ID_Period_End,(Period_End &gt;= H$4) * (Period_End &lt;= H$5) * (IFERROR(SEARCH(H$1, Key_Gps),0)&gt;0) * (mpv_per_pp_less_prems_w &gt; 0)))),0),_xlpm.perc,_xlpm.calc/_xlpm.denom,IFERROR(IF(_xlpm.calc&lt;1000,_xlfn.CONCAT(_xlpm.calc," (",TEXT(_xlpm.perc,"0.0%"),")"),_xlfn.CONCAT(TEXT(_xlpm.calc,"0,000")," (",TEXT(_xlpm.perc,"0.0%"),")")),"-"))</f>
        <v>-</v>
      </c>
      <c r="I135" s="56" t="str" cm="1">
        <f t="array" ref="I135">_xlfn.LET(_xlpm.denom,I133,_xlpm.calc,IFERROR(ROWS(_xlfn.UNIQUE(_xlfn._xlws.FILTER(ID_Period_End,(Period_End &gt;= I$4) * (Period_End &lt;= I$5) * (IFERROR(SEARCH(I$1, Key_Gps),0)&gt;0) * (mpv_per_pp_less_prems_w &gt; 0)))),0),_xlpm.perc,_xlpm.calc/_xlpm.denom,IFERROR(IF(_xlpm.calc&lt;1000,_xlfn.CONCAT(_xlpm.calc," (",TEXT(_xlpm.perc,"0.0%"),")"),_xlfn.CONCAT(TEXT(_xlpm.calc,"0,000")," (",TEXT(_xlpm.perc,"0.0%"),")")),"-"))</f>
        <v>-</v>
      </c>
      <c r="J135" s="56" t="str" cm="1">
        <f t="array" ref="J135">_xlfn.LET(_xlpm.denom,J133,_xlpm.calc,IFERROR(ROWS(_xlfn.UNIQUE(_xlfn._xlws.FILTER(ID_Period_End,(Period_End &gt;= J$4) * (Period_End &lt;= J$5) * (IFERROR(SEARCH(J$1, Key_Gps),0)&gt;0) * (mpv_per_pp_less_prems_w &gt; 0)))),0),_xlpm.perc,_xlpm.calc/_xlpm.denom,IFERROR(IF(_xlpm.calc&lt;1000,_xlfn.CONCAT(_xlpm.calc," (",TEXT(_xlpm.perc,"0.0%"),")"),_xlfn.CONCAT(TEXT(_xlpm.calc,"0,000")," (",TEXT(_xlpm.perc,"0.0%"),")")),"-"))</f>
        <v>-</v>
      </c>
      <c r="K135" s="56" t="str" cm="1">
        <f t="array" ref="K135">_xlfn.LET(_xlpm.denom,K133,_xlpm.calc,IFERROR(ROWS(_xlfn.UNIQUE(_xlfn._xlws.FILTER(ID_Period_End,(Period_End &gt;= K$4) * (Period_End &lt;= K$5) * (IFERROR(SEARCH(K$1, Key_Gps),0)&gt;0) * (mpv_per_pp_less_prems_w &gt; 0)))),0),_xlpm.perc,_xlpm.calc/_xlpm.denom,IFERROR(IF(_xlpm.calc&lt;1000,_xlfn.CONCAT(_xlpm.calc," (",TEXT(_xlpm.perc,"0.0%"),")"),_xlfn.CONCAT(TEXT(_xlpm.calc,"0,000")," (",TEXT(_xlpm.perc,"0.0%"),")")),"-"))</f>
        <v>-</v>
      </c>
      <c r="L135" s="56" t="str" cm="1">
        <f t="array" ref="L135">_xlfn.LET(_xlpm.denom,L133,_xlpm.calc,IFERROR(ROWS(_xlfn.UNIQUE(_xlfn._xlws.FILTER(ID_Period_End,(Period_End &gt;= L$4) * (Period_End &lt;= L$5) * (IFERROR(SEARCH(L$1, Key_Gps),0)&gt;0) * (mpv_per_pp_less_prems_w &gt; 0)))),0),_xlpm.perc,_xlpm.calc/_xlpm.denom,IFERROR(IF(_xlpm.calc&lt;1000,_xlfn.CONCAT(_xlpm.calc," (",TEXT(_xlpm.perc,"0.0%"),")"),_xlfn.CONCAT(TEXT(_xlpm.calc,"0,000")," (",TEXT(_xlpm.perc,"0.0%"),")")),"-"))</f>
        <v>-</v>
      </c>
      <c r="M135" s="155" t="str" cm="1">
        <f t="array" ref="M135">_xlfn.LET(_xlpm.denom,M133,_xlpm.calc,IFERROR(ROWS(_xlfn.UNIQUE(_xlfn._xlws.FILTER(ID_Period_End,(Period_End &gt;= M$4) * (Period_End &lt;= M$5) * (IFERROR(SEARCH(M$1, Key_Gps),0)&gt;0) * (mpv_per_pp_less_prems_w &gt; 0)))),0),_xlpm.perc,_xlpm.calc/_xlpm.denom,IFERROR(IF(_xlpm.calc&lt;1000,_xlfn.CONCAT(_xlpm.calc," (",TEXT(_xlpm.perc,"0.0%"),")"),_xlfn.CONCAT(TEXT(_xlpm.calc,"0,000")," (",TEXT(_xlpm.perc,"0.0%"),")")),"-"))</f>
        <v>-</v>
      </c>
      <c r="N135" s="53" t="s">
        <v>80</v>
      </c>
      <c r="O135" s="278" t="s">
        <v>567</v>
      </c>
      <c r="P135" s="42"/>
      <c r="Q135" s="75" t="str">
        <f t="shared" si="92"/>
        <v/>
      </c>
      <c r="R135" s="76" t="e">
        <f t="shared" si="93"/>
        <v>#VALUE!</v>
      </c>
      <c r="S135" s="64">
        <f t="shared" si="47"/>
        <v>1</v>
      </c>
      <c r="T135" s="42" t="str">
        <f t="shared" ca="1" si="94"/>
        <v>-</v>
      </c>
      <c r="U135" s="42" t="str">
        <f t="shared" si="95"/>
        <v>-</v>
      </c>
      <c r="V135" s="42" t="str">
        <f t="shared" si="96"/>
        <v>-</v>
      </c>
      <c r="W135" s="42" t="str">
        <f t="shared" si="97"/>
        <v>-</v>
      </c>
      <c r="X135" s="42" t="str">
        <f t="shared" si="98"/>
        <v>-</v>
      </c>
      <c r="Y135" s="42" t="str">
        <f t="shared" si="99"/>
        <v>-</v>
      </c>
      <c r="Z135" s="42" t="str">
        <f t="shared" si="100"/>
        <v>-</v>
      </c>
      <c r="AA135" s="42" t="str">
        <f t="shared" si="101"/>
        <v>-</v>
      </c>
      <c r="AB135" s="42" t="str">
        <f t="shared" si="102"/>
        <v>-</v>
      </c>
      <c r="AC135" s="42" t="str">
        <f t="shared" si="103"/>
        <v>-</v>
      </c>
    </row>
    <row r="136" spans="1:29" s="41" customFormat="1" ht="28.8" outlineLevel="1" x14ac:dyDescent="0.25">
      <c r="A136" s="42" t="s">
        <v>13</v>
      </c>
      <c r="B136" s="315"/>
      <c r="C136" s="49" t="s">
        <v>17</v>
      </c>
      <c r="D136" s="195">
        <f t="shared" ref="D136:K136" si="105">_xlfn.LET(_xlpm.calc,_xlfn.XLOOKUP($C136,$C:$C,D:D),IF(IFERROR(SEARCH(" ",_xlpm.calc),0)&gt;0,IFERROR(VALUE(LEFT(_xlpm.calc,SEARCH(" ",_xlpm.calc))),"-"),IFERROR(_xlpm.calc,"-")))</f>
        <v>0</v>
      </c>
      <c r="E136" s="65">
        <f t="shared" si="105"/>
        <v>0</v>
      </c>
      <c r="F136" s="56">
        <f t="shared" si="105"/>
        <v>0</v>
      </c>
      <c r="G136" s="56">
        <f t="shared" si="105"/>
        <v>0</v>
      </c>
      <c r="H136" s="56">
        <f t="shared" si="105"/>
        <v>0</v>
      </c>
      <c r="I136" s="56">
        <f t="shared" si="105"/>
        <v>0</v>
      </c>
      <c r="J136" s="56">
        <f t="shared" si="105"/>
        <v>0</v>
      </c>
      <c r="K136" s="56">
        <f t="shared" si="105"/>
        <v>0</v>
      </c>
      <c r="L136" s="56">
        <f>_xlfn.LET(_xlpm.calc,_xlfn.XLOOKUP($C136,$C:$C,L:L),IF(IFERROR(SEARCH(" ",_xlpm.calc),0)&gt;0,IFERROR(VALUE(LEFT(_xlpm.calc,SEARCH(" ",_xlpm.calc))),"-"),IFERROR(_xlpm.calc,"-")))</f>
        <v>0</v>
      </c>
      <c r="M136" s="155">
        <f>_xlfn.LET(_xlpm.calc,_xlfn.XLOOKUP($C136,$C:$C,M:M),IF(IFERROR(SEARCH(" ",_xlpm.calc),0)&gt;0,IFERROR(VALUE(LEFT(_xlpm.calc,SEARCH(" ",_xlpm.calc))),"-"),IFERROR(_xlpm.calc,"-")))</f>
        <v>0</v>
      </c>
      <c r="N136" s="53"/>
      <c r="O136" s="74"/>
      <c r="P136" s="42"/>
      <c r="Q136" s="75" t="str">
        <f t="shared" si="92"/>
        <v/>
      </c>
      <c r="R136" s="76" t="str">
        <f t="shared" si="93"/>
        <v/>
      </c>
      <c r="S136" s="64" t="str">
        <f t="shared" si="47"/>
        <v/>
      </c>
      <c r="T136" s="42" t="str">
        <f t="shared" si="94"/>
        <v/>
      </c>
      <c r="U136" s="42" t="str">
        <f t="shared" si="95"/>
        <v/>
      </c>
      <c r="V136" s="42" t="str">
        <f t="shared" si="96"/>
        <v/>
      </c>
      <c r="W136" s="42" t="str">
        <f t="shared" si="97"/>
        <v/>
      </c>
      <c r="X136" s="42" t="str">
        <f t="shared" si="98"/>
        <v/>
      </c>
      <c r="Y136" s="42" t="str">
        <f t="shared" si="99"/>
        <v/>
      </c>
      <c r="Z136" s="42" t="str">
        <f t="shared" si="100"/>
        <v/>
      </c>
      <c r="AA136" s="42" t="str">
        <f t="shared" si="101"/>
        <v/>
      </c>
      <c r="AB136" s="42" t="str">
        <f t="shared" si="102"/>
        <v/>
      </c>
      <c r="AC136" s="42" t="str">
        <f t="shared" si="103"/>
        <v/>
      </c>
    </row>
    <row r="137" spans="1:29" s="41" customFormat="1" ht="28.8" outlineLevel="1" x14ac:dyDescent="0.25">
      <c r="A137" s="42" t="s">
        <v>13</v>
      </c>
      <c r="B137" s="315"/>
      <c r="C137" s="49" t="s">
        <v>31</v>
      </c>
      <c r="D137" s="195" t="str">
        <f>_xlfn.LET(_xlpm.denom,D136,_xlpm.calc,ROUND($Q137*_xlpm.denom,0),_xlpm.perc,_xlpm.calc/_xlpm.denom,IFERROR(IF(_xlpm.calc&lt;1000,_xlfn.CONCAT(_xlpm.calc," (",TEXT(_xlpm.perc,"0.0%"),")"),_xlfn.CONCAT(TEXT(_xlpm.calc,"0,000")," (",TEXT(_xlpm.perc,"0.0%"),")")),"-"))</f>
        <v>-</v>
      </c>
      <c r="E137" s="65" t="str" cm="1">
        <f t="array" ref="E137">_xlfn.LET(_xlpm.denom,E136,_xlpm.calc,IFERROR(ROWS(_xlfn.UNIQUE(_xlfn._xlws.FILTER(ID,(Period_End &gt;= E$4) * (Period_End &lt;= E$5) * (IFERROR(SEARCH(E$1, Key_Gps),0)&gt;0) * (mpv_shift_w &gt; 0)))),0),_xlpm.perc,_xlpm.calc/_xlpm.denom,IFERROR(IF(_xlpm.calc&lt;1000,_xlfn.CONCAT(_xlpm.calc," (",TEXT(_xlpm.perc,"0.0%"),")"),_xlfn.CONCAT(TEXT(_xlpm.calc,"0,000")," (",TEXT(_xlpm.perc,"0.0%"),")")),"-"))</f>
        <v>-</v>
      </c>
      <c r="F137" s="56" t="str" cm="1">
        <f t="array" ref="F137">_xlfn.LET(_xlpm.denom,F136,_xlpm.calc,IFERROR(ROWS(_xlfn.UNIQUE(_xlfn._xlws.FILTER(ID,(Period_End &gt;= F$4) * (Period_End &lt;= F$5) * (IFERROR(SEARCH(F$1, Key_Gps),0)&gt;0) * (mpv_shift_w &gt; 0)))),0),_xlpm.perc,_xlpm.calc/_xlpm.denom,IFERROR(IF(_xlpm.calc&lt;1000,_xlfn.CONCAT(_xlpm.calc," (",TEXT(_xlpm.perc,"0.0%"),")"),_xlfn.CONCAT(TEXT(_xlpm.calc,"0,000")," (",TEXT(_xlpm.perc,"0.0%"),")")),"-"))</f>
        <v>-</v>
      </c>
      <c r="G137" s="56" t="str" cm="1">
        <f t="array" ref="G137">_xlfn.LET(_xlpm.denom,G136,_xlpm.calc,IFERROR(ROWS(_xlfn.UNIQUE(_xlfn._xlws.FILTER(ID,(Period_End &gt;= G$4) * (Period_End &lt;= G$5) * (IFERROR(SEARCH(G$1, Key_Gps),0)&gt;0) * (mpv_shift_w &gt; 0)))),0),_xlpm.perc,_xlpm.calc/_xlpm.denom,IFERROR(IF(_xlpm.calc&lt;1000,_xlfn.CONCAT(_xlpm.calc," (",TEXT(_xlpm.perc,"0.0%"),")"),_xlfn.CONCAT(TEXT(_xlpm.calc,"0,000")," (",TEXT(_xlpm.perc,"0.0%"),")")),"-"))</f>
        <v>-</v>
      </c>
      <c r="H137" s="56" t="str" cm="1">
        <f t="array" ref="H137">_xlfn.LET(_xlpm.denom,H136,_xlpm.calc,IFERROR(ROWS(_xlfn.UNIQUE(_xlfn._xlws.FILTER(ID,(Period_End &gt;= H$4) * (Period_End &lt;= H$5) * (IFERROR(SEARCH(H$1, Key_Gps),0)&gt;0) * (mpv_shift_w &gt; 0)))),0),_xlpm.perc,_xlpm.calc/_xlpm.denom,IFERROR(IF(_xlpm.calc&lt;1000,_xlfn.CONCAT(_xlpm.calc," (",TEXT(_xlpm.perc,"0.0%"),")"),_xlfn.CONCAT(TEXT(_xlpm.calc,"0,000")," (",TEXT(_xlpm.perc,"0.0%"),")")),"-"))</f>
        <v>-</v>
      </c>
      <c r="I137" s="56" t="str" cm="1">
        <f t="array" ref="I137">_xlfn.LET(_xlpm.denom,I136,_xlpm.calc,IFERROR(ROWS(_xlfn.UNIQUE(_xlfn._xlws.FILTER(ID,(Period_End &gt;= I$4) * (Period_End &lt;= I$5) * (IFERROR(SEARCH(I$1, Key_Gps),0)&gt;0) * (mpv_shift_w &gt; 0)))),0),_xlpm.perc,_xlpm.calc/_xlpm.denom,IFERROR(IF(_xlpm.calc&lt;1000,_xlfn.CONCAT(_xlpm.calc," (",TEXT(_xlpm.perc,"0.0%"),")"),_xlfn.CONCAT(TEXT(_xlpm.calc,"0,000")," (",TEXT(_xlpm.perc,"0.0%"),")")),"-"))</f>
        <v>-</v>
      </c>
      <c r="J137" s="56" t="str" cm="1">
        <f t="array" ref="J137">_xlfn.LET(_xlpm.denom,J136,_xlpm.calc,IFERROR(ROWS(_xlfn.UNIQUE(_xlfn._xlws.FILTER(ID,(Period_End &gt;= J$4) * (Period_End &lt;= J$5) * (IFERROR(SEARCH(J$1, Key_Gps),0)&gt;0) * (mpv_shift_w &gt; 0)))),0),_xlpm.perc,_xlpm.calc/_xlpm.denom,IFERROR(IF(_xlpm.calc&lt;1000,_xlfn.CONCAT(_xlpm.calc," (",TEXT(_xlpm.perc,"0.0%"),")"),_xlfn.CONCAT(TEXT(_xlpm.calc,"0,000")," (",TEXT(_xlpm.perc,"0.0%"),")")),"-"))</f>
        <v>-</v>
      </c>
      <c r="K137" s="56" t="str" cm="1">
        <f t="array" ref="K137">_xlfn.LET(_xlpm.denom,K136,_xlpm.calc,IFERROR(ROWS(_xlfn.UNIQUE(_xlfn._xlws.FILTER(ID,(Period_End &gt;= K$4) * (Period_End &lt;= K$5) * (IFERROR(SEARCH(K$1, Key_Gps),0)&gt;0) * (mpv_shift_w &gt; 0)))),0),_xlpm.perc,_xlpm.calc/_xlpm.denom,IFERROR(IF(_xlpm.calc&lt;1000,_xlfn.CONCAT(_xlpm.calc," (",TEXT(_xlpm.perc,"0.0%"),")"),_xlfn.CONCAT(TEXT(_xlpm.calc,"0,000")," (",TEXT(_xlpm.perc,"0.0%"),")")),"-"))</f>
        <v>-</v>
      </c>
      <c r="L137" s="56" t="str" cm="1">
        <f t="array" ref="L137">_xlfn.LET(_xlpm.denom,L136,_xlpm.calc,IFERROR(ROWS(_xlfn.UNIQUE(_xlfn._xlws.FILTER(ID,(Period_End &gt;= L$4) * (Period_End &lt;= L$5) * (IFERROR(SEARCH(L$1, Key_Gps),0)&gt;0) * (mpv_shift_w &gt; 0)))),0),_xlpm.perc,_xlpm.calc/_xlpm.denom,IFERROR(IF(_xlpm.calc&lt;1000,_xlfn.CONCAT(_xlpm.calc," (",TEXT(_xlpm.perc,"0.0%"),")"),_xlfn.CONCAT(TEXT(_xlpm.calc,"0,000")," (",TEXT(_xlpm.perc,"0.0%"),")")),"-"))</f>
        <v>-</v>
      </c>
      <c r="M137" s="155" t="str" cm="1">
        <f t="array" ref="M137">_xlfn.LET(_xlpm.denom,M136,_xlpm.calc,IFERROR(ROWS(_xlfn.UNIQUE(_xlfn._xlws.FILTER(ID,(Period_End &gt;= M$4) * (Period_End &lt;= M$5) * (IFERROR(SEARCH(M$1, Key_Gps),0)&gt;0) * (mpv_shift_w &gt; 0)))),0),_xlpm.perc,_xlpm.calc/_xlpm.denom,IFERROR(IF(_xlpm.calc&lt;1000,_xlfn.CONCAT(_xlpm.calc," (",TEXT(_xlpm.perc,"0.0%"),")"),_xlfn.CONCAT(TEXT(_xlpm.calc,"0,000")," (",TEXT(_xlpm.perc,"0.0%"),")")),"-"))</f>
        <v>-</v>
      </c>
      <c r="N137" s="53" t="s">
        <v>128</v>
      </c>
      <c r="O137" s="74"/>
      <c r="P137" s="42"/>
      <c r="Q137" s="75" t="str">
        <f t="shared" si="92"/>
        <v/>
      </c>
      <c r="R137" s="76" t="str">
        <f t="shared" si="93"/>
        <v/>
      </c>
      <c r="S137" s="64" t="str">
        <f t="shared" si="47"/>
        <v/>
      </c>
      <c r="T137" s="42" t="str">
        <f t="shared" si="94"/>
        <v/>
      </c>
      <c r="U137" s="42" t="str">
        <f t="shared" si="95"/>
        <v/>
      </c>
      <c r="V137" s="42" t="str">
        <f t="shared" si="96"/>
        <v/>
      </c>
      <c r="W137" s="42" t="str">
        <f t="shared" si="97"/>
        <v/>
      </c>
      <c r="X137" s="42" t="str">
        <f t="shared" si="98"/>
        <v/>
      </c>
      <c r="Y137" s="42" t="str">
        <f t="shared" si="99"/>
        <v/>
      </c>
      <c r="Z137" s="42" t="str">
        <f t="shared" si="100"/>
        <v/>
      </c>
      <c r="AA137" s="42" t="str">
        <f t="shared" si="101"/>
        <v/>
      </c>
      <c r="AB137" s="42" t="str">
        <f t="shared" si="102"/>
        <v/>
      </c>
      <c r="AC137" s="42" t="str">
        <f t="shared" si="103"/>
        <v/>
      </c>
    </row>
    <row r="138" spans="1:29" s="41" customFormat="1" ht="28.8" outlineLevel="1" x14ac:dyDescent="0.25">
      <c r="A138" s="42" t="s">
        <v>13</v>
      </c>
      <c r="B138" s="315"/>
      <c r="C138" s="49" t="s">
        <v>566</v>
      </c>
      <c r="D138" s="195" t="str">
        <f>_xlfn.LET(_xlpm.denom,D136,_xlpm.calc,ROUND($Q138*_xlpm.denom,0),_xlpm.perc,_xlpm.calc/_xlpm.denom,IFERROR(IF(_xlpm.calc&lt;1000,_xlfn.CONCAT(_xlpm.calc," (",TEXT(_xlpm.perc,"0.0%"),")"),_xlfn.CONCAT(TEXT(_xlpm.calc,"0,000")," (",TEXT(_xlpm.perc,"0.0%"),")")),"-"))</f>
        <v>-</v>
      </c>
      <c r="E138" s="65" t="str" cm="1">
        <f t="array" ref="E138">_xlfn.LET(_xlpm.denom,E136,_xlpm.calc,IFERROR(ROWS(_xlfn.UNIQUE(_xlfn._xlws.FILTER(ID,(Period_End &gt;= E$4) * (Period_End &lt;= E$5) * (IFERROR(SEARCH(E$1, Key_Gps),0)&gt;0) * (mpv_per_pp_less_prems_w &gt; 0)))),0),_xlpm.perc,_xlpm.calc/_xlpm.denom,IFERROR(IF(_xlpm.calc&lt;1000,_xlfn.CONCAT(_xlpm.calc," (",TEXT(_xlpm.perc,"0.0%"),")"),_xlfn.CONCAT(TEXT(_xlpm.calc,"0,000")," (",TEXT(_xlpm.perc,"0.0%"),")")),"-"))</f>
        <v>-</v>
      </c>
      <c r="F138" s="56" t="str" cm="1">
        <f t="array" ref="F138">_xlfn.LET(_xlpm.denom,F136,_xlpm.calc,IFERROR(ROWS(_xlfn.UNIQUE(_xlfn._xlws.FILTER(ID,(Period_End &gt;= F$4) * (Period_End &lt;= F$5) * (IFERROR(SEARCH(F$1, Key_Gps),0)&gt;0) * (mpv_per_pp_less_prems_w &gt; 0)))),0),_xlpm.perc,_xlpm.calc/_xlpm.denom,IFERROR(IF(_xlpm.calc&lt;1000,_xlfn.CONCAT(_xlpm.calc," (",TEXT(_xlpm.perc,"0.0%"),")"),_xlfn.CONCAT(TEXT(_xlpm.calc,"0,000")," (",TEXT(_xlpm.perc,"0.0%"),")")),"-"))</f>
        <v>-</v>
      </c>
      <c r="G138" s="56" t="str" cm="1">
        <f t="array" ref="G138">_xlfn.LET(_xlpm.denom,G136,_xlpm.calc,IFERROR(ROWS(_xlfn.UNIQUE(_xlfn._xlws.FILTER(ID,(Period_End &gt;= G$4) * (Period_End &lt;= G$5) * (IFERROR(SEARCH(G$1, Key_Gps),0)&gt;0) * (mpv_per_pp_less_prems_w &gt; 0)))),0),_xlpm.perc,_xlpm.calc/_xlpm.denom,IFERROR(IF(_xlpm.calc&lt;1000,_xlfn.CONCAT(_xlpm.calc," (",TEXT(_xlpm.perc,"0.0%"),")"),_xlfn.CONCAT(TEXT(_xlpm.calc,"0,000")," (",TEXT(_xlpm.perc,"0.0%"),")")),"-"))</f>
        <v>-</v>
      </c>
      <c r="H138" s="56" t="str" cm="1">
        <f t="array" ref="H138">_xlfn.LET(_xlpm.denom,H136,_xlpm.calc,IFERROR(ROWS(_xlfn.UNIQUE(_xlfn._xlws.FILTER(ID,(Period_End &gt;= H$4) * (Period_End &lt;= H$5) * (IFERROR(SEARCH(H$1, Key_Gps),0)&gt;0) * (mpv_per_pp_less_prems_w &gt; 0)))),0),_xlpm.perc,_xlpm.calc/_xlpm.denom,IFERROR(IF(_xlpm.calc&lt;1000,_xlfn.CONCAT(_xlpm.calc," (",TEXT(_xlpm.perc,"0.0%"),")"),_xlfn.CONCAT(TEXT(_xlpm.calc,"0,000")," (",TEXT(_xlpm.perc,"0.0%"),")")),"-"))</f>
        <v>-</v>
      </c>
      <c r="I138" s="56" t="str" cm="1">
        <f t="array" ref="I138">_xlfn.LET(_xlpm.denom,I136,_xlpm.calc,IFERROR(ROWS(_xlfn.UNIQUE(_xlfn._xlws.FILTER(ID,(Period_End &gt;= I$4) * (Period_End &lt;= I$5) * (IFERROR(SEARCH(I$1, Key_Gps),0)&gt;0) * (mpv_per_pp_less_prems_w &gt; 0)))),0),_xlpm.perc,_xlpm.calc/_xlpm.denom,IFERROR(IF(_xlpm.calc&lt;1000,_xlfn.CONCAT(_xlpm.calc," (",TEXT(_xlpm.perc,"0.0%"),")"),_xlfn.CONCAT(TEXT(_xlpm.calc,"0,000")," (",TEXT(_xlpm.perc,"0.0%"),")")),"-"))</f>
        <v>-</v>
      </c>
      <c r="J138" s="56" t="str" cm="1">
        <f t="array" ref="J138">_xlfn.LET(_xlpm.denom,J136,_xlpm.calc,IFERROR(ROWS(_xlfn.UNIQUE(_xlfn._xlws.FILTER(ID,(Period_End &gt;= J$4) * (Period_End &lt;= J$5) * (IFERROR(SEARCH(J$1, Key_Gps),0)&gt;0) * (mpv_per_pp_less_prems_w &gt; 0)))),0),_xlpm.perc,_xlpm.calc/_xlpm.denom,IFERROR(IF(_xlpm.calc&lt;1000,_xlfn.CONCAT(_xlpm.calc," (",TEXT(_xlpm.perc,"0.0%"),")"),_xlfn.CONCAT(TEXT(_xlpm.calc,"0,000")," (",TEXT(_xlpm.perc,"0.0%"),")")),"-"))</f>
        <v>-</v>
      </c>
      <c r="K138" s="56" t="str" cm="1">
        <f t="array" ref="K138">_xlfn.LET(_xlpm.denom,K136,_xlpm.calc,IFERROR(ROWS(_xlfn.UNIQUE(_xlfn._xlws.FILTER(ID,(Period_End &gt;= K$4) * (Period_End &lt;= K$5) * (IFERROR(SEARCH(K$1, Key_Gps),0)&gt;0) * (mpv_per_pp_less_prems_w &gt; 0)))),0),_xlpm.perc,_xlpm.calc/_xlpm.denom,IFERROR(IF(_xlpm.calc&lt;1000,_xlfn.CONCAT(_xlpm.calc," (",TEXT(_xlpm.perc,"0.0%"),")"),_xlfn.CONCAT(TEXT(_xlpm.calc,"0,000")," (",TEXT(_xlpm.perc,"0.0%"),")")),"-"))</f>
        <v>-</v>
      </c>
      <c r="L138" s="56" t="str" cm="1">
        <f t="array" ref="L138">_xlfn.LET(_xlpm.denom,L136,_xlpm.calc,IFERROR(ROWS(_xlfn.UNIQUE(_xlfn._xlws.FILTER(ID,(Period_End &gt;= L$4) * (Period_End &lt;= L$5) * (IFERROR(SEARCH(L$1, Key_Gps),0)&gt;0) * (mpv_per_pp_less_prems_w &gt; 0)))),0),_xlpm.perc,_xlpm.calc/_xlpm.denom,IFERROR(IF(_xlpm.calc&lt;1000,_xlfn.CONCAT(_xlpm.calc," (",TEXT(_xlpm.perc,"0.0%"),")"),_xlfn.CONCAT(TEXT(_xlpm.calc,"0,000")," (",TEXT(_xlpm.perc,"0.0%"),")")),"-"))</f>
        <v>-</v>
      </c>
      <c r="M138" s="155" t="str" cm="1">
        <f t="array" ref="M138">_xlfn.LET(_xlpm.denom,M136,_xlpm.calc,IFERROR(ROWS(_xlfn.UNIQUE(_xlfn._xlws.FILTER(ID,(Period_End &gt;= M$4) * (Period_End &lt;= M$5) * (IFERROR(SEARCH(M$1, Key_Gps),0)&gt;0) * (mpv_per_pp_less_prems_w &gt; 0)))),0),_xlpm.perc,_xlpm.calc/_xlpm.denom,IFERROR(IF(_xlpm.calc&lt;1000,_xlfn.CONCAT(_xlpm.calc," (",TEXT(_xlpm.perc,"0.0%"),")"),_xlfn.CONCAT(TEXT(_xlpm.calc,"0,000")," (",TEXT(_xlpm.perc,"0.0%"),")")),"-"))</f>
        <v>-</v>
      </c>
      <c r="N138" s="53" t="s">
        <v>128</v>
      </c>
      <c r="O138" s="278" t="s">
        <v>567</v>
      </c>
      <c r="P138" s="42"/>
      <c r="Q138" s="75" t="str">
        <f t="shared" si="92"/>
        <v/>
      </c>
      <c r="R138" s="76" t="str">
        <f t="shared" si="93"/>
        <v/>
      </c>
      <c r="S138" s="64" t="str">
        <f t="shared" si="47"/>
        <v/>
      </c>
      <c r="T138" s="42" t="str">
        <f t="shared" si="94"/>
        <v/>
      </c>
      <c r="U138" s="42" t="str">
        <f t="shared" si="95"/>
        <v/>
      </c>
      <c r="V138" s="42" t="str">
        <f t="shared" si="96"/>
        <v/>
      </c>
      <c r="W138" s="42" t="str">
        <f t="shared" si="97"/>
        <v/>
      </c>
      <c r="X138" s="42" t="str">
        <f t="shared" si="98"/>
        <v/>
      </c>
      <c r="Y138" s="42" t="str">
        <f t="shared" si="99"/>
        <v/>
      </c>
      <c r="Z138" s="42" t="str">
        <f t="shared" si="100"/>
        <v/>
      </c>
      <c r="AA138" s="42" t="str">
        <f t="shared" si="101"/>
        <v/>
      </c>
      <c r="AB138" s="42" t="str">
        <f t="shared" si="102"/>
        <v/>
      </c>
      <c r="AC138" s="42" t="str">
        <f t="shared" si="103"/>
        <v/>
      </c>
    </row>
    <row r="139" spans="1:29" x14ac:dyDescent="0.25">
      <c r="A139" s="42">
        <v>1</v>
      </c>
      <c r="D139" s="190"/>
      <c r="E139" s="57"/>
      <c r="F139" s="57"/>
      <c r="G139" s="57"/>
      <c r="H139" s="57"/>
      <c r="I139" s="57"/>
      <c r="J139" s="57"/>
      <c r="K139" s="57"/>
      <c r="L139" s="57"/>
      <c r="M139" s="152"/>
      <c r="O139" s="74"/>
      <c r="Q139" s="75" t="str">
        <f t="shared" si="92"/>
        <v/>
      </c>
      <c r="R139" s="76" t="str">
        <f t="shared" si="93"/>
        <v/>
      </c>
      <c r="S139" s="64" t="str">
        <f t="shared" si="47"/>
        <v/>
      </c>
      <c r="T139" s="42" t="str">
        <f t="shared" si="94"/>
        <v/>
      </c>
      <c r="U139" s="42" t="str">
        <f t="shared" si="95"/>
        <v/>
      </c>
      <c r="V139" s="42" t="str">
        <f t="shared" si="96"/>
        <v/>
      </c>
      <c r="W139" s="42" t="str">
        <f t="shared" si="97"/>
        <v/>
      </c>
      <c r="X139" s="42" t="str">
        <f t="shared" si="98"/>
        <v/>
      </c>
      <c r="Y139" s="42" t="str">
        <f t="shared" si="99"/>
        <v/>
      </c>
      <c r="Z139" s="42" t="str">
        <f t="shared" si="100"/>
        <v/>
      </c>
      <c r="AA139" s="42" t="str">
        <f t="shared" si="101"/>
        <v/>
      </c>
      <c r="AB139" s="42" t="str">
        <f t="shared" si="102"/>
        <v/>
      </c>
      <c r="AC139" s="42" t="str">
        <f t="shared" si="103"/>
        <v/>
      </c>
    </row>
    <row r="140" spans="1:29" s="41" customFormat="1" ht="28.8" outlineLevel="1" x14ac:dyDescent="0.25">
      <c r="A140" s="42" t="s">
        <v>13</v>
      </c>
      <c r="B140" s="314" t="s">
        <v>118</v>
      </c>
      <c r="C140" s="51" t="s">
        <v>15</v>
      </c>
      <c r="D140" s="193">
        <f t="shared" ref="D140:K142" si="106">_xlfn.LET(_xlpm.calc,_xlfn.XLOOKUP($C140,$C:$C,D:D),IF(IFERROR(SEARCH(" ",_xlpm.calc),0)&gt;0,IFERROR(VALUE(LEFT(_xlpm.calc,SEARCH(" ",_xlpm.calc))),"-"),IFERROR(_xlpm.calc,"-")))</f>
        <v>43466</v>
      </c>
      <c r="E140" s="52" t="str">
        <f t="shared" si="106"/>
        <v>-</v>
      </c>
      <c r="F140" s="52" t="str">
        <f t="shared" si="106"/>
        <v>-</v>
      </c>
      <c r="G140" s="52" t="str">
        <f t="shared" si="106"/>
        <v>-</v>
      </c>
      <c r="H140" s="52" t="str">
        <f t="shared" si="106"/>
        <v>-</v>
      </c>
      <c r="I140" s="52" t="str">
        <f t="shared" si="106"/>
        <v>-</v>
      </c>
      <c r="J140" s="52" t="str">
        <f t="shared" si="106"/>
        <v>-</v>
      </c>
      <c r="K140" s="52" t="str">
        <f t="shared" si="106"/>
        <v>-</v>
      </c>
      <c r="L140" s="52" t="str">
        <f t="shared" ref="L140:M142" si="107">_xlfn.LET(_xlpm.calc,_xlfn.XLOOKUP($C140,$C:$C,L:L),IF(IFERROR(SEARCH(" ",_xlpm.calc),0)&gt;0,IFERROR(VALUE(LEFT(_xlpm.calc,SEARCH(" ",_xlpm.calc))),"-"),IFERROR(_xlpm.calc,"-")))</f>
        <v>-</v>
      </c>
      <c r="M140" s="154" t="str">
        <f t="shared" si="107"/>
        <v>-</v>
      </c>
      <c r="N140" s="84"/>
      <c r="O140" s="74"/>
      <c r="P140" s="42"/>
      <c r="Q140" s="75" t="str">
        <f t="shared" si="92"/>
        <v/>
      </c>
      <c r="R140" s="76" t="str">
        <f t="shared" si="93"/>
        <v/>
      </c>
      <c r="S140" s="64" t="str">
        <f t="shared" si="47"/>
        <v/>
      </c>
      <c r="T140" s="42" t="str">
        <f t="shared" si="94"/>
        <v/>
      </c>
      <c r="U140" s="42" t="str">
        <f t="shared" si="95"/>
        <v/>
      </c>
      <c r="V140" s="42" t="str">
        <f t="shared" si="96"/>
        <v/>
      </c>
      <c r="W140" s="42" t="str">
        <f t="shared" si="97"/>
        <v/>
      </c>
      <c r="X140" s="42" t="str">
        <f t="shared" si="98"/>
        <v/>
      </c>
      <c r="Y140" s="42" t="str">
        <f t="shared" si="99"/>
        <v/>
      </c>
      <c r="Z140" s="42" t="str">
        <f t="shared" si="100"/>
        <v/>
      </c>
      <c r="AA140" s="42" t="str">
        <f t="shared" si="101"/>
        <v/>
      </c>
      <c r="AB140" s="42" t="str">
        <f t="shared" si="102"/>
        <v/>
      </c>
      <c r="AC140" s="42" t="str">
        <f t="shared" si="103"/>
        <v/>
      </c>
    </row>
    <row r="141" spans="1:29" s="41" customFormat="1" ht="28.8" outlineLevel="1" x14ac:dyDescent="0.25">
      <c r="A141" s="42" t="s">
        <v>13</v>
      </c>
      <c r="B141" s="314"/>
      <c r="C141" s="51" t="s">
        <v>16</v>
      </c>
      <c r="D141" s="193">
        <f t="shared" ca="1" si="106"/>
        <v>46083</v>
      </c>
      <c r="E141" s="52" t="str">
        <f t="shared" si="106"/>
        <v>-</v>
      </c>
      <c r="F141" s="52" t="str">
        <f t="shared" si="106"/>
        <v>-</v>
      </c>
      <c r="G141" s="52" t="str">
        <f t="shared" si="106"/>
        <v>-</v>
      </c>
      <c r="H141" s="52" t="str">
        <f t="shared" si="106"/>
        <v>-</v>
      </c>
      <c r="I141" s="52" t="str">
        <f t="shared" si="106"/>
        <v>-</v>
      </c>
      <c r="J141" s="52" t="str">
        <f t="shared" si="106"/>
        <v>-</v>
      </c>
      <c r="K141" s="52" t="str">
        <f t="shared" si="106"/>
        <v>-</v>
      </c>
      <c r="L141" s="52" t="str">
        <f t="shared" si="107"/>
        <v>-</v>
      </c>
      <c r="M141" s="154" t="str">
        <f t="shared" si="107"/>
        <v>-</v>
      </c>
      <c r="N141" s="53"/>
      <c r="O141" s="74"/>
      <c r="P141" s="42"/>
      <c r="Q141" s="75" t="str">
        <f t="shared" si="92"/>
        <v/>
      </c>
      <c r="R141" s="76" t="str">
        <f t="shared" si="93"/>
        <v/>
      </c>
      <c r="S141" s="64" t="str">
        <f t="shared" si="47"/>
        <v/>
      </c>
      <c r="T141" s="42" t="str">
        <f t="shared" si="94"/>
        <v/>
      </c>
      <c r="U141" s="42" t="str">
        <f t="shared" si="95"/>
        <v/>
      </c>
      <c r="V141" s="42" t="str">
        <f t="shared" si="96"/>
        <v/>
      </c>
      <c r="W141" s="42" t="str">
        <f t="shared" si="97"/>
        <v/>
      </c>
      <c r="X141" s="42" t="str">
        <f t="shared" si="98"/>
        <v/>
      </c>
      <c r="Y141" s="42" t="str">
        <f t="shared" si="99"/>
        <v/>
      </c>
      <c r="Z141" s="42" t="str">
        <f t="shared" si="100"/>
        <v/>
      </c>
      <c r="AA141" s="42" t="str">
        <f t="shared" si="101"/>
        <v/>
      </c>
      <c r="AB141" s="42" t="str">
        <f t="shared" si="102"/>
        <v/>
      </c>
      <c r="AC141" s="42" t="str">
        <f t="shared" si="103"/>
        <v/>
      </c>
    </row>
    <row r="142" spans="1:29" s="41" customFormat="1" ht="28.8" outlineLevel="1" x14ac:dyDescent="0.25">
      <c r="A142" s="42" t="s">
        <v>13</v>
      </c>
      <c r="B142" s="314"/>
      <c r="C142" s="49" t="s">
        <v>63</v>
      </c>
      <c r="D142" s="195" t="str">
        <f t="shared" ca="1" si="106"/>
        <v>-</v>
      </c>
      <c r="E142" s="65" t="str">
        <f t="shared" si="106"/>
        <v>-</v>
      </c>
      <c r="F142" s="65" t="str">
        <f t="shared" si="106"/>
        <v>-</v>
      </c>
      <c r="G142" s="65" t="str">
        <f t="shared" si="106"/>
        <v>-</v>
      </c>
      <c r="H142" s="65" t="str">
        <f t="shared" si="106"/>
        <v>-</v>
      </c>
      <c r="I142" s="65" t="str">
        <f t="shared" si="106"/>
        <v>-</v>
      </c>
      <c r="J142" s="65" t="str">
        <f t="shared" si="106"/>
        <v>-</v>
      </c>
      <c r="K142" s="65" t="str">
        <f t="shared" si="106"/>
        <v>-</v>
      </c>
      <c r="L142" s="65" t="str">
        <f t="shared" si="107"/>
        <v>-</v>
      </c>
      <c r="M142" s="155" t="str">
        <f t="shared" si="107"/>
        <v>-</v>
      </c>
      <c r="N142" s="53"/>
      <c r="O142" s="74"/>
      <c r="P142" s="42"/>
      <c r="Q142" s="75" t="str">
        <f t="shared" si="92"/>
        <v/>
      </c>
      <c r="R142" s="76" t="e">
        <f t="shared" si="93"/>
        <v>#VALUE!</v>
      </c>
      <c r="S142" s="64">
        <f t="shared" si="47"/>
        <v>1</v>
      </c>
      <c r="T142" s="42" t="str">
        <f t="shared" ca="1" si="94"/>
        <v>-</v>
      </c>
      <c r="U142" s="42" t="str">
        <f t="shared" si="95"/>
        <v>-</v>
      </c>
      <c r="V142" s="42" t="str">
        <f t="shared" si="96"/>
        <v>-</v>
      </c>
      <c r="W142" s="42" t="str">
        <f t="shared" si="97"/>
        <v>-</v>
      </c>
      <c r="X142" s="42" t="str">
        <f t="shared" si="98"/>
        <v>-</v>
      </c>
      <c r="Y142" s="42" t="str">
        <f t="shared" si="99"/>
        <v>-</v>
      </c>
      <c r="Z142" s="42" t="str">
        <f t="shared" si="100"/>
        <v>-</v>
      </c>
      <c r="AA142" s="42" t="str">
        <f t="shared" si="101"/>
        <v>-</v>
      </c>
      <c r="AB142" s="42" t="str">
        <f t="shared" si="102"/>
        <v>-</v>
      </c>
      <c r="AC142" s="42" t="str">
        <f t="shared" si="103"/>
        <v>-</v>
      </c>
    </row>
    <row r="143" spans="1:29" s="41" customFormat="1" ht="28.8" outlineLevel="1" x14ac:dyDescent="0.25">
      <c r="A143" s="42" t="s">
        <v>13</v>
      </c>
      <c r="B143" s="314"/>
      <c r="C143" s="49" t="s">
        <v>119</v>
      </c>
      <c r="D143" s="195" t="str">
        <f ca="1">_xlfn.LET(_xlpm.denom,D142,_xlpm.calc,ROUND($Q143*_xlpm.denom,0),_xlpm.perc,_xlpm.calc/_xlpm.denom,IFERROR(IF(_xlpm.calc&lt;1000,_xlfn.CONCAT(_xlpm.calc," (",TEXT(_xlpm.perc,"0.0%"),")"),_xlfn.CONCAT(TEXT(_xlpm.calc,"0,000")," (",TEXT(_xlpm.perc,"0.0%"),")")),"-"))</f>
        <v>-</v>
      </c>
      <c r="E143" s="65" t="str" cm="1">
        <f t="array" ref="E143">_xlfn.LET(_xlpm.denom,E142,_xlpm.calc,COUNTIFS(MissRP1,1,Date,"&gt;="&amp;E$4,Date,"&lt;="&amp;E$5,Key_Gps,"*"&amp;E$1&amp;"*"),_xlpm.perc,_xlpm.calc/_xlpm.denom,IFERROR(IF(_xlpm.calc&lt;1000,_xlfn.CONCAT(_xlpm.calc," (",TEXT(_xlpm.perc,"0.0%"),")"),_xlfn.CONCAT(TEXT(_xlpm.calc,"0,000")," (",TEXT(_xlpm.perc,"0.0%"),")")),"-"))</f>
        <v>-</v>
      </c>
      <c r="F143" s="65" t="str" cm="1">
        <f t="array" ref="F143">_xlfn.LET(_xlpm.denom,F142,_xlpm.calc,COUNTIFS(MissRP1,1,Date,"&gt;="&amp;F$4,Date,"&lt;="&amp;F$5,Key_Gps,"*"&amp;F$1&amp;"*"),_xlpm.perc,_xlpm.calc/_xlpm.denom,IFERROR(IF(_xlpm.calc&lt;1000,_xlfn.CONCAT(_xlpm.calc," (",TEXT(_xlpm.perc,"0.0%"),")"),_xlfn.CONCAT(TEXT(_xlpm.calc,"0,000")," (",TEXT(_xlpm.perc,"0.0%"),")")),"-"))</f>
        <v>-</v>
      </c>
      <c r="G143" s="65" t="str" cm="1">
        <f t="array" ref="G143">_xlfn.LET(_xlpm.denom,G142,_xlpm.calc,COUNTIFS(MissRP1,1,Date,"&gt;="&amp;G$4,Date,"&lt;="&amp;G$5,Key_Gps,"*"&amp;G$1&amp;"*"),_xlpm.perc,_xlpm.calc/_xlpm.denom,IFERROR(IF(_xlpm.calc&lt;1000,_xlfn.CONCAT(_xlpm.calc," (",TEXT(_xlpm.perc,"0.0%"),")"),_xlfn.CONCAT(TEXT(_xlpm.calc,"0,000")," (",TEXT(_xlpm.perc,"0.0%"),")")),"-"))</f>
        <v>-</v>
      </c>
      <c r="H143" s="65" t="str" cm="1">
        <f t="array" ref="H143">_xlfn.LET(_xlpm.denom,H142,_xlpm.calc,COUNTIFS(MissRP1,1,Date,"&gt;="&amp;H$4,Date,"&lt;="&amp;H$5,Key_Gps,"*"&amp;H$1&amp;"*"),_xlpm.perc,_xlpm.calc/_xlpm.denom,IFERROR(IF(_xlpm.calc&lt;1000,_xlfn.CONCAT(_xlpm.calc," (",TEXT(_xlpm.perc,"0.0%"),")"),_xlfn.CONCAT(TEXT(_xlpm.calc,"0,000")," (",TEXT(_xlpm.perc,"0.0%"),")")),"-"))</f>
        <v>-</v>
      </c>
      <c r="I143" s="65" t="str" cm="1">
        <f t="array" ref="I143">_xlfn.LET(_xlpm.denom,I142,_xlpm.calc,COUNTIFS(MissRP1,1,Date,"&gt;="&amp;I$4,Date,"&lt;="&amp;I$5,Key_Gps,"*"&amp;I$1&amp;"*"),_xlpm.perc,_xlpm.calc/_xlpm.denom,IFERROR(IF(_xlpm.calc&lt;1000,_xlfn.CONCAT(_xlpm.calc," (",TEXT(_xlpm.perc,"0.0%"),")"),_xlfn.CONCAT(TEXT(_xlpm.calc,"0,000")," (",TEXT(_xlpm.perc,"0.0%"),")")),"-"))</f>
        <v>-</v>
      </c>
      <c r="J143" s="65" t="str" cm="1">
        <f t="array" ref="J143">_xlfn.LET(_xlpm.denom,J142,_xlpm.calc,COUNTIFS(MissRP1,1,Date,"&gt;="&amp;J$4,Date,"&lt;="&amp;J$5,Key_Gps,"*"&amp;J$1&amp;"*"),_xlpm.perc,_xlpm.calc/_xlpm.denom,IFERROR(IF(_xlpm.calc&lt;1000,_xlfn.CONCAT(_xlpm.calc," (",TEXT(_xlpm.perc,"0.0%"),")"),_xlfn.CONCAT(TEXT(_xlpm.calc,"0,000")," (",TEXT(_xlpm.perc,"0.0%"),")")),"-"))</f>
        <v>-</v>
      </c>
      <c r="K143" s="65" t="str" cm="1">
        <f t="array" ref="K143">_xlfn.LET(_xlpm.denom,K142,_xlpm.calc,COUNTIFS(MissRP1,1,Date,"&gt;="&amp;K$4,Date,"&lt;="&amp;K$5,Key_Gps,"*"&amp;K$1&amp;"*"),_xlpm.perc,_xlpm.calc/_xlpm.denom,IFERROR(IF(_xlpm.calc&lt;1000,_xlfn.CONCAT(_xlpm.calc," (",TEXT(_xlpm.perc,"0.0%"),")"),_xlfn.CONCAT(TEXT(_xlpm.calc,"0,000")," (",TEXT(_xlpm.perc,"0.0%"),")")),"-"))</f>
        <v>-</v>
      </c>
      <c r="L143" s="65" t="str" cm="1">
        <f t="array" ref="L143">_xlfn.LET(_xlpm.denom,L142,_xlpm.calc,COUNTIFS(MissRP1,1,Date,"&gt;="&amp;L$4,Date,"&lt;="&amp;L$5,Key_Gps,"*"&amp;L$1&amp;"*"),_xlpm.perc,_xlpm.calc/_xlpm.denom,IFERROR(IF(_xlpm.calc&lt;1000,_xlfn.CONCAT(_xlpm.calc," (",TEXT(_xlpm.perc,"0.0%"),")"),_xlfn.CONCAT(TEXT(_xlpm.calc,"0,000")," (",TEXT(_xlpm.perc,"0.0%"),")")),"-"))</f>
        <v>-</v>
      </c>
      <c r="M143" s="155" t="str" cm="1">
        <f t="array" ref="M143">_xlfn.LET(_xlpm.denom,M142,_xlpm.calc,COUNTIFS(MissRP1,1,Date,"&gt;="&amp;M$4,Date,"&lt;="&amp;M$5,Key_Gps,"*"&amp;M$1&amp;"*"),_xlpm.perc,_xlpm.calc/_xlpm.denom,IFERROR(IF(_xlpm.calc&lt;1000,_xlfn.CONCAT(_xlpm.calc," (",TEXT(_xlpm.perc,"0.0%"),")"),_xlfn.CONCAT(TEXT(_xlpm.calc,"0,000")," (",TEXT(_xlpm.perc,"0.0%"),")")),"-"))</f>
        <v>-</v>
      </c>
      <c r="N143" s="53" t="s">
        <v>120</v>
      </c>
      <c r="O143" s="278" t="s">
        <v>564</v>
      </c>
      <c r="P143" s="42"/>
      <c r="Q143" s="75" t="str">
        <f t="shared" si="92"/>
        <v/>
      </c>
      <c r="R143" s="76" t="e">
        <f t="shared" si="93"/>
        <v>#VALUE!</v>
      </c>
      <c r="S143" s="64">
        <f t="shared" si="47"/>
        <v>1</v>
      </c>
      <c r="T143" s="42" t="str">
        <f t="shared" ca="1" si="94"/>
        <v>-</v>
      </c>
      <c r="U143" s="42" t="str">
        <f t="shared" si="95"/>
        <v>-</v>
      </c>
      <c r="V143" s="42" t="str">
        <f t="shared" si="96"/>
        <v>-</v>
      </c>
      <c r="W143" s="42" t="str">
        <f t="shared" si="97"/>
        <v>-</v>
      </c>
      <c r="X143" s="42" t="str">
        <f t="shared" si="98"/>
        <v>-</v>
      </c>
      <c r="Y143" s="42" t="str">
        <f t="shared" si="99"/>
        <v>-</v>
      </c>
      <c r="Z143" s="42" t="str">
        <f t="shared" si="100"/>
        <v>-</v>
      </c>
      <c r="AA143" s="42" t="str">
        <f t="shared" si="101"/>
        <v>-</v>
      </c>
      <c r="AB143" s="42" t="str">
        <f t="shared" si="102"/>
        <v>-</v>
      </c>
      <c r="AC143" s="42" t="str">
        <f t="shared" si="103"/>
        <v>-</v>
      </c>
    </row>
    <row r="144" spans="1:29" s="41" customFormat="1" ht="28.8" outlineLevel="1" x14ac:dyDescent="0.25">
      <c r="A144" s="42" t="s">
        <v>13</v>
      </c>
      <c r="B144" s="314"/>
      <c r="C144" s="49" t="s">
        <v>67</v>
      </c>
      <c r="D144" s="195" t="str">
        <f t="shared" ref="D144:K144" ca="1" si="108">_xlfn.LET(_xlpm.calc,_xlfn.XLOOKUP($C144,$C:$C,D:D),IF(IFERROR(SEARCH(" ",_xlpm.calc),0)&gt;0,IFERROR(VALUE(LEFT(_xlpm.calc,SEARCH(" ",_xlpm.calc))),"-"),IFERROR(_xlpm.calc,"-")))</f>
        <v>-</v>
      </c>
      <c r="E144" s="65" t="str">
        <f t="shared" si="108"/>
        <v>-</v>
      </c>
      <c r="F144" s="65" t="str">
        <f t="shared" si="108"/>
        <v>-</v>
      </c>
      <c r="G144" s="65" t="str">
        <f t="shared" si="108"/>
        <v>-</v>
      </c>
      <c r="H144" s="65" t="str">
        <f t="shared" si="108"/>
        <v>-</v>
      </c>
      <c r="I144" s="65" t="str">
        <f t="shared" si="108"/>
        <v>-</v>
      </c>
      <c r="J144" s="65" t="str">
        <f t="shared" si="108"/>
        <v>-</v>
      </c>
      <c r="K144" s="65" t="str">
        <f t="shared" si="108"/>
        <v>-</v>
      </c>
      <c r="L144" s="65" t="str">
        <f>_xlfn.LET(_xlpm.calc,_xlfn.XLOOKUP($C144,$C:$C,L:L),IF(IFERROR(SEARCH(" ",_xlpm.calc),0)&gt;0,IFERROR(VALUE(LEFT(_xlpm.calc,SEARCH(" ",_xlpm.calc))),"-"),IFERROR(_xlpm.calc,"-")))</f>
        <v>-</v>
      </c>
      <c r="M144" s="155" t="str">
        <f>_xlfn.LET(_xlpm.calc,_xlfn.XLOOKUP($C144,$C:$C,M:M),IF(IFERROR(SEARCH(" ",_xlpm.calc),0)&gt;0,IFERROR(VALUE(LEFT(_xlpm.calc,SEARCH(" ",_xlpm.calc))),"-"),IFERROR(_xlpm.calc,"-")))</f>
        <v>-</v>
      </c>
      <c r="N144" s="53"/>
      <c r="O144" s="278" t="s">
        <v>564</v>
      </c>
      <c r="P144" s="42"/>
      <c r="Q144" s="75" t="str">
        <f t="shared" si="92"/>
        <v/>
      </c>
      <c r="R144" s="76" t="e">
        <f t="shared" si="93"/>
        <v>#VALUE!</v>
      </c>
      <c r="S144" s="64">
        <f t="shared" si="47"/>
        <v>1</v>
      </c>
      <c r="T144" s="42" t="str">
        <f t="shared" ca="1" si="94"/>
        <v>-</v>
      </c>
      <c r="U144" s="42" t="str">
        <f t="shared" si="95"/>
        <v>-</v>
      </c>
      <c r="V144" s="42" t="str">
        <f t="shared" si="96"/>
        <v>-</v>
      </c>
      <c r="W144" s="42" t="str">
        <f t="shared" si="97"/>
        <v>-</v>
      </c>
      <c r="X144" s="42" t="str">
        <f t="shared" si="98"/>
        <v>-</v>
      </c>
      <c r="Y144" s="42" t="str">
        <f t="shared" si="99"/>
        <v>-</v>
      </c>
      <c r="Z144" s="42" t="str">
        <f t="shared" si="100"/>
        <v>-</v>
      </c>
      <c r="AA144" s="42" t="str">
        <f t="shared" si="101"/>
        <v>-</v>
      </c>
      <c r="AB144" s="42" t="str">
        <f t="shared" si="102"/>
        <v>-</v>
      </c>
      <c r="AC144" s="42" t="str">
        <f t="shared" si="103"/>
        <v>-</v>
      </c>
    </row>
    <row r="145" spans="1:29" s="41" customFormat="1" ht="28.8" outlineLevel="1" x14ac:dyDescent="0.25">
      <c r="A145" s="42" t="s">
        <v>13</v>
      </c>
      <c r="B145" s="314"/>
      <c r="C145" s="49" t="s">
        <v>121</v>
      </c>
      <c r="D145" s="195" t="str">
        <f ca="1">_xlfn.LET(_xlpm.denom,D144,_xlpm.calc,ROUND($Q145*_xlpm.denom,0),_xlpm.perc,_xlpm.calc/_xlpm.denom,IFERROR(IF(_xlpm.calc&lt;1000,_xlfn.CONCAT(_xlpm.calc," (",TEXT(_xlpm.perc,"0.0%"),")"),_xlfn.CONCAT(TEXT(_xlpm.calc,"0,000")," (",TEXT(_xlpm.perc,"0.0%"),")")),"-"))</f>
        <v>-</v>
      </c>
      <c r="E145" s="65" t="str" cm="1">
        <f t="array" ref="E145">_xlfn.LET(_xlpm.denom,E144,_xlpm.calc,COUNTIFS(MissRP2,1,Date,"&gt;="&amp;E$4,Date,"&lt;="&amp;E$5,Key_Gps,"*"&amp;E$1&amp;"*"),_xlpm.perc,_xlpm.calc/_xlpm.denom,IFERROR(IF(_xlpm.calc&lt;1000,_xlfn.CONCAT(_xlpm.calc," (",TEXT(_xlpm.perc,"0.0%"),")"),_xlfn.CONCAT(TEXT(_xlpm.calc,"0,000")," (",TEXT(_xlpm.perc,"0.0%"),")")),"-"))</f>
        <v>-</v>
      </c>
      <c r="F145" s="65" t="str" cm="1">
        <f t="array" ref="F145">_xlfn.LET(_xlpm.denom,F144,_xlpm.calc,COUNTIFS(MissRP2,1,Date,"&gt;="&amp;F$4,Date,"&lt;="&amp;F$5,Key_Gps,"*"&amp;F$1&amp;"*"),_xlpm.perc,_xlpm.calc/_xlpm.denom,IFERROR(IF(_xlpm.calc&lt;1000,_xlfn.CONCAT(_xlpm.calc," (",TEXT(_xlpm.perc,"0.0%"),")"),_xlfn.CONCAT(TEXT(_xlpm.calc,"0,000")," (",TEXT(_xlpm.perc,"0.0%"),")")),"-"))</f>
        <v>-</v>
      </c>
      <c r="G145" s="65" t="str" cm="1">
        <f t="array" ref="G145">_xlfn.LET(_xlpm.denom,G144,_xlpm.calc,COUNTIFS(MissRP2,1,Date,"&gt;="&amp;G$4,Date,"&lt;="&amp;G$5,Key_Gps,"*"&amp;G$1&amp;"*"),_xlpm.perc,_xlpm.calc/_xlpm.denom,IFERROR(IF(_xlpm.calc&lt;1000,_xlfn.CONCAT(_xlpm.calc," (",TEXT(_xlpm.perc,"0.0%"),")"),_xlfn.CONCAT(TEXT(_xlpm.calc,"0,000")," (",TEXT(_xlpm.perc,"0.0%"),")")),"-"))</f>
        <v>-</v>
      </c>
      <c r="H145" s="65" t="str" cm="1">
        <f t="array" ref="H145">_xlfn.LET(_xlpm.denom,H144,_xlpm.calc,COUNTIFS(MissRP2,1,Date,"&gt;="&amp;H$4,Date,"&lt;="&amp;H$5,Key_Gps,"*"&amp;H$1&amp;"*"),_xlpm.perc,_xlpm.calc/_xlpm.denom,IFERROR(IF(_xlpm.calc&lt;1000,_xlfn.CONCAT(_xlpm.calc," (",TEXT(_xlpm.perc,"0.0%"),")"),_xlfn.CONCAT(TEXT(_xlpm.calc,"0,000")," (",TEXT(_xlpm.perc,"0.0%"),")")),"-"))</f>
        <v>-</v>
      </c>
      <c r="I145" s="65" t="str" cm="1">
        <f t="array" ref="I145">_xlfn.LET(_xlpm.denom,I144,_xlpm.calc,COUNTIFS(MissRP2,1,Date,"&gt;="&amp;I$4,Date,"&lt;="&amp;I$5,Key_Gps,"*"&amp;I$1&amp;"*"),_xlpm.perc,_xlpm.calc/_xlpm.denom,IFERROR(IF(_xlpm.calc&lt;1000,_xlfn.CONCAT(_xlpm.calc," (",TEXT(_xlpm.perc,"0.0%"),")"),_xlfn.CONCAT(TEXT(_xlpm.calc,"0,000")," (",TEXT(_xlpm.perc,"0.0%"),")")),"-"))</f>
        <v>-</v>
      </c>
      <c r="J145" s="65" t="str" cm="1">
        <f t="array" ref="J145">_xlfn.LET(_xlpm.denom,J144,_xlpm.calc,COUNTIFS(MissRP2,1,Date,"&gt;="&amp;J$4,Date,"&lt;="&amp;J$5,Key_Gps,"*"&amp;J$1&amp;"*"),_xlpm.perc,_xlpm.calc/_xlpm.denom,IFERROR(IF(_xlpm.calc&lt;1000,_xlfn.CONCAT(_xlpm.calc," (",TEXT(_xlpm.perc,"0.0%"),")"),_xlfn.CONCAT(TEXT(_xlpm.calc,"0,000")," (",TEXT(_xlpm.perc,"0.0%"),")")),"-"))</f>
        <v>-</v>
      </c>
      <c r="K145" s="65" t="str" cm="1">
        <f t="array" ref="K145">_xlfn.LET(_xlpm.denom,K144,_xlpm.calc,COUNTIFS(MissRP2,1,Date,"&gt;="&amp;K$4,Date,"&lt;="&amp;K$5,Key_Gps,"*"&amp;K$1&amp;"*"),_xlpm.perc,_xlpm.calc/_xlpm.denom,IFERROR(IF(_xlpm.calc&lt;1000,_xlfn.CONCAT(_xlpm.calc," (",TEXT(_xlpm.perc,"0.0%"),")"),_xlfn.CONCAT(TEXT(_xlpm.calc,"0,000")," (",TEXT(_xlpm.perc,"0.0%"),")")),"-"))</f>
        <v>-</v>
      </c>
      <c r="L145" s="65" t="str" cm="1">
        <f t="array" ref="L145">_xlfn.LET(_xlpm.denom,L144,_xlpm.calc,COUNTIFS(MissRP2,1,Date,"&gt;="&amp;L$4,Date,"&lt;="&amp;L$5,Key_Gps,"*"&amp;L$1&amp;"*"),_xlpm.perc,_xlpm.calc/_xlpm.denom,IFERROR(IF(_xlpm.calc&lt;1000,_xlfn.CONCAT(_xlpm.calc," (",TEXT(_xlpm.perc,"0.0%"),")"),_xlfn.CONCAT(TEXT(_xlpm.calc,"0,000")," (",TEXT(_xlpm.perc,"0.0%"),")")),"-"))</f>
        <v>-</v>
      </c>
      <c r="M145" s="155" t="str" cm="1">
        <f t="array" ref="M145">_xlfn.LET(_xlpm.denom,M144,_xlpm.calc,COUNTIFS(MissRP2,1,Date,"&gt;="&amp;M$4,Date,"&lt;="&amp;M$5,Key_Gps,"*"&amp;M$1&amp;"*"),_xlpm.perc,_xlpm.calc/_xlpm.denom,IFERROR(IF(_xlpm.calc&lt;1000,_xlfn.CONCAT(_xlpm.calc," (",TEXT(_xlpm.perc,"0.0%"),")"),_xlfn.CONCAT(TEXT(_xlpm.calc,"0,000")," (",TEXT(_xlpm.perc,"0.0%"),")")),"-"))</f>
        <v>-</v>
      </c>
      <c r="N145" s="53" t="s">
        <v>112</v>
      </c>
      <c r="O145" s="278" t="s">
        <v>564</v>
      </c>
      <c r="P145" s="42"/>
      <c r="Q145" s="75" t="str">
        <f t="shared" si="92"/>
        <v/>
      </c>
      <c r="R145" s="76" t="e">
        <f t="shared" si="93"/>
        <v>#VALUE!</v>
      </c>
      <c r="S145" s="64">
        <f t="shared" si="47"/>
        <v>1</v>
      </c>
      <c r="T145" s="42" t="str">
        <f t="shared" ca="1" si="94"/>
        <v>-</v>
      </c>
      <c r="U145" s="42" t="str">
        <f t="shared" si="95"/>
        <v>-</v>
      </c>
      <c r="V145" s="42" t="str">
        <f t="shared" si="96"/>
        <v>-</v>
      </c>
      <c r="W145" s="42" t="str">
        <f t="shared" si="97"/>
        <v>-</v>
      </c>
      <c r="X145" s="42" t="str">
        <f t="shared" si="98"/>
        <v>-</v>
      </c>
      <c r="Y145" s="42" t="str">
        <f t="shared" si="99"/>
        <v>-</v>
      </c>
      <c r="Z145" s="42" t="str">
        <f t="shared" si="100"/>
        <v>-</v>
      </c>
      <c r="AA145" s="42" t="str">
        <f t="shared" si="101"/>
        <v>-</v>
      </c>
      <c r="AB145" s="42" t="str">
        <f t="shared" si="102"/>
        <v>-</v>
      </c>
      <c r="AC145" s="42" t="str">
        <f t="shared" si="103"/>
        <v>-</v>
      </c>
    </row>
    <row r="146" spans="1:29" s="41" customFormat="1" ht="28.8" outlineLevel="1" x14ac:dyDescent="0.25">
      <c r="A146" s="42" t="s">
        <v>13</v>
      </c>
      <c r="B146" s="314"/>
      <c r="C146" s="49" t="s">
        <v>69</v>
      </c>
      <c r="D146" s="195" t="str">
        <f t="shared" ref="D146:K146" ca="1" si="109">_xlfn.LET(_xlpm.calc,_xlfn.XLOOKUP($C146,$C:$C,D:D),IF(IFERROR(SEARCH(" ",_xlpm.calc),0)&gt;0,IFERROR(VALUE(LEFT(_xlpm.calc,SEARCH(" ",_xlpm.calc))),"-"),IFERROR(_xlpm.calc,"-")))</f>
        <v>-</v>
      </c>
      <c r="E146" s="65" t="str">
        <f t="shared" si="109"/>
        <v>-</v>
      </c>
      <c r="F146" s="65" t="str">
        <f t="shared" si="109"/>
        <v>-</v>
      </c>
      <c r="G146" s="65" t="str">
        <f t="shared" si="109"/>
        <v>-</v>
      </c>
      <c r="H146" s="65" t="str">
        <f t="shared" si="109"/>
        <v>-</v>
      </c>
      <c r="I146" s="65" t="str">
        <f t="shared" si="109"/>
        <v>-</v>
      </c>
      <c r="J146" s="65" t="str">
        <f t="shared" si="109"/>
        <v>-</v>
      </c>
      <c r="K146" s="65" t="str">
        <f t="shared" si="109"/>
        <v>-</v>
      </c>
      <c r="L146" s="65" t="str">
        <f>_xlfn.LET(_xlpm.calc,_xlfn.XLOOKUP($C146,$C:$C,L:L),IF(IFERROR(SEARCH(" ",_xlpm.calc),0)&gt;0,IFERROR(VALUE(LEFT(_xlpm.calc,SEARCH(" ",_xlpm.calc))),"-"),IFERROR(_xlpm.calc,"-")))</f>
        <v>-</v>
      </c>
      <c r="M146" s="155" t="str">
        <f>_xlfn.LET(_xlpm.calc,_xlfn.XLOOKUP($C146,$C:$C,M:M),IF(IFERROR(SEARCH(" ",_xlpm.calc),0)&gt;0,IFERROR(VALUE(LEFT(_xlpm.calc,SEARCH(" ",_xlpm.calc))),"-"),IFERROR(_xlpm.calc,"-")))</f>
        <v>-</v>
      </c>
      <c r="N146" s="53"/>
      <c r="O146" s="278" t="s">
        <v>564</v>
      </c>
      <c r="P146" s="42"/>
      <c r="Q146" s="75" t="str">
        <f t="shared" si="92"/>
        <v/>
      </c>
      <c r="R146" s="76" t="e">
        <f t="shared" si="93"/>
        <v>#VALUE!</v>
      </c>
      <c r="S146" s="64">
        <f t="shared" si="47"/>
        <v>1</v>
      </c>
      <c r="T146" s="42" t="str">
        <f t="shared" ca="1" si="94"/>
        <v>-</v>
      </c>
      <c r="U146" s="42" t="str">
        <f t="shared" si="95"/>
        <v>-</v>
      </c>
      <c r="V146" s="42" t="str">
        <f t="shared" si="96"/>
        <v>-</v>
      </c>
      <c r="W146" s="42" t="str">
        <f t="shared" si="97"/>
        <v>-</v>
      </c>
      <c r="X146" s="42" t="str">
        <f t="shared" si="98"/>
        <v>-</v>
      </c>
      <c r="Y146" s="42" t="str">
        <f t="shared" si="99"/>
        <v>-</v>
      </c>
      <c r="Z146" s="42" t="str">
        <f t="shared" si="100"/>
        <v>-</v>
      </c>
      <c r="AA146" s="42" t="str">
        <f t="shared" si="101"/>
        <v>-</v>
      </c>
      <c r="AB146" s="42" t="str">
        <f t="shared" si="102"/>
        <v>-</v>
      </c>
      <c r="AC146" s="42" t="str">
        <f t="shared" si="103"/>
        <v>-</v>
      </c>
    </row>
    <row r="147" spans="1:29" s="41" customFormat="1" ht="28.8" outlineLevel="1" x14ac:dyDescent="0.25">
      <c r="A147" s="42" t="s">
        <v>13</v>
      </c>
      <c r="B147" s="315"/>
      <c r="C147" s="49" t="s">
        <v>122</v>
      </c>
      <c r="D147" s="195" t="str">
        <f ca="1">_xlfn.LET(_xlpm.denom,D146,_xlpm.calc,ROUND($Q147*_xlpm.denom,0),_xlpm.perc,_xlpm.calc/_xlpm.denom,IFERROR(IF(_xlpm.calc&lt;1000,_xlfn.CONCAT(_xlpm.calc," (",TEXT(_xlpm.perc,"0.0%"),")"),_xlfn.CONCAT(TEXT(_xlpm.calc,"0,000")," (",TEXT(_xlpm.perc,"0.0%"),")")),"-"))</f>
        <v>-</v>
      </c>
      <c r="E147" s="65" t="str" cm="1">
        <f t="array" ref="E147">_xlfn.LET(_xlpm.denom,E146,_xlpm.calc,COUNTIFS(MissRP3,1,Date,"&gt;="&amp;E$4,Date,"&lt;="&amp;E$5,Key_Gps,"*"&amp;E$1&amp;"*"),_xlpm.perc,_xlpm.calc/_xlpm.denom,IFERROR(IF(_xlpm.calc&lt;1000,_xlfn.CONCAT(_xlpm.calc," (",TEXT(_xlpm.perc,"0.0%"),")"),_xlfn.CONCAT(TEXT(_xlpm.calc,"0,000")," (",TEXT(_xlpm.perc,"0.0%"),")")),"-"))</f>
        <v>-</v>
      </c>
      <c r="F147" s="65" t="str" cm="1">
        <f t="array" ref="F147">_xlfn.LET(_xlpm.denom,F146,_xlpm.calc,COUNTIFS(MissRP3,1,Date,"&gt;="&amp;F$4,Date,"&lt;="&amp;F$5,Key_Gps,"*"&amp;F$1&amp;"*"),_xlpm.perc,_xlpm.calc/_xlpm.denom,IFERROR(IF(_xlpm.calc&lt;1000,_xlfn.CONCAT(_xlpm.calc," (",TEXT(_xlpm.perc,"0.0%"),")"),_xlfn.CONCAT(TEXT(_xlpm.calc,"0,000")," (",TEXT(_xlpm.perc,"0.0%"),")")),"-"))</f>
        <v>-</v>
      </c>
      <c r="G147" s="65" t="str" cm="1">
        <f t="array" ref="G147">_xlfn.LET(_xlpm.denom,G146,_xlpm.calc,COUNTIFS(MissRP3,1,Date,"&gt;="&amp;G$4,Date,"&lt;="&amp;G$5,Key_Gps,"*"&amp;G$1&amp;"*"),_xlpm.perc,_xlpm.calc/_xlpm.denom,IFERROR(IF(_xlpm.calc&lt;1000,_xlfn.CONCAT(_xlpm.calc," (",TEXT(_xlpm.perc,"0.0%"),")"),_xlfn.CONCAT(TEXT(_xlpm.calc,"0,000")," (",TEXT(_xlpm.perc,"0.0%"),")")),"-"))</f>
        <v>-</v>
      </c>
      <c r="H147" s="65" t="str" cm="1">
        <f t="array" ref="H147">_xlfn.LET(_xlpm.denom,H146,_xlpm.calc,COUNTIFS(MissRP3,1,Date,"&gt;="&amp;H$4,Date,"&lt;="&amp;H$5,Key_Gps,"*"&amp;H$1&amp;"*"),_xlpm.perc,_xlpm.calc/_xlpm.denom,IFERROR(IF(_xlpm.calc&lt;1000,_xlfn.CONCAT(_xlpm.calc," (",TEXT(_xlpm.perc,"0.0%"),")"),_xlfn.CONCAT(TEXT(_xlpm.calc,"0,000")," (",TEXT(_xlpm.perc,"0.0%"),")")),"-"))</f>
        <v>-</v>
      </c>
      <c r="I147" s="65" t="str" cm="1">
        <f t="array" ref="I147">_xlfn.LET(_xlpm.denom,I146,_xlpm.calc,COUNTIFS(MissRP3,1,Date,"&gt;="&amp;I$4,Date,"&lt;="&amp;I$5,Key_Gps,"*"&amp;I$1&amp;"*"),_xlpm.perc,_xlpm.calc/_xlpm.denom,IFERROR(IF(_xlpm.calc&lt;1000,_xlfn.CONCAT(_xlpm.calc," (",TEXT(_xlpm.perc,"0.0%"),")"),_xlfn.CONCAT(TEXT(_xlpm.calc,"0,000")," (",TEXT(_xlpm.perc,"0.0%"),")")),"-"))</f>
        <v>-</v>
      </c>
      <c r="J147" s="65" t="str" cm="1">
        <f t="array" ref="J147">_xlfn.LET(_xlpm.denom,J146,_xlpm.calc,COUNTIFS(MissRP3,1,Date,"&gt;="&amp;J$4,Date,"&lt;="&amp;J$5,Key_Gps,"*"&amp;J$1&amp;"*"),_xlpm.perc,_xlpm.calc/_xlpm.denom,IFERROR(IF(_xlpm.calc&lt;1000,_xlfn.CONCAT(_xlpm.calc," (",TEXT(_xlpm.perc,"0.0%"),")"),_xlfn.CONCAT(TEXT(_xlpm.calc,"0,000")," (",TEXT(_xlpm.perc,"0.0%"),")")),"-"))</f>
        <v>-</v>
      </c>
      <c r="K147" s="65" t="str" cm="1">
        <f t="array" ref="K147">_xlfn.LET(_xlpm.denom,K146,_xlpm.calc,COUNTIFS(MissRP3,1,Date,"&gt;="&amp;K$4,Date,"&lt;="&amp;K$5,Key_Gps,"*"&amp;K$1&amp;"*"),_xlpm.perc,_xlpm.calc/_xlpm.denom,IFERROR(IF(_xlpm.calc&lt;1000,_xlfn.CONCAT(_xlpm.calc," (",TEXT(_xlpm.perc,"0.0%"),")"),_xlfn.CONCAT(TEXT(_xlpm.calc,"0,000")," (",TEXT(_xlpm.perc,"0.0%"),")")),"-"))</f>
        <v>-</v>
      </c>
      <c r="L147" s="65" t="str" cm="1">
        <f t="array" ref="L147">_xlfn.LET(_xlpm.denom,L146,_xlpm.calc,COUNTIFS(MissRP3,1,Date,"&gt;="&amp;L$4,Date,"&lt;="&amp;L$5,Key_Gps,"*"&amp;L$1&amp;"*"),_xlpm.perc,_xlpm.calc/_xlpm.denom,IFERROR(IF(_xlpm.calc&lt;1000,_xlfn.CONCAT(_xlpm.calc," (",TEXT(_xlpm.perc,"0.0%"),")"),_xlfn.CONCAT(TEXT(_xlpm.calc,"0,000")," (",TEXT(_xlpm.perc,"0.0%"),")")),"-"))</f>
        <v>-</v>
      </c>
      <c r="M147" s="155" t="str" cm="1">
        <f t="array" ref="M147">_xlfn.LET(_xlpm.denom,M146,_xlpm.calc,COUNTIFS(MissRP3,1,Date,"&gt;="&amp;M$4,Date,"&lt;="&amp;M$5,Key_Gps,"*"&amp;M$1&amp;"*"),_xlpm.perc,_xlpm.calc/_xlpm.denom,IFERROR(IF(_xlpm.calc&lt;1000,_xlfn.CONCAT(_xlpm.calc," (",TEXT(_xlpm.perc,"0.0%"),")"),_xlfn.CONCAT(TEXT(_xlpm.calc,"0,000")," (",TEXT(_xlpm.perc,"0.0%"),")")),"-"))</f>
        <v>-</v>
      </c>
      <c r="N147" s="53" t="s">
        <v>105</v>
      </c>
      <c r="O147" s="278" t="s">
        <v>564</v>
      </c>
      <c r="P147" s="42"/>
      <c r="Q147" s="75" t="str">
        <f t="shared" si="92"/>
        <v/>
      </c>
      <c r="R147" s="76" t="e">
        <f t="shared" si="93"/>
        <v>#VALUE!</v>
      </c>
      <c r="S147" s="64">
        <f t="shared" si="47"/>
        <v>1</v>
      </c>
      <c r="T147" s="42" t="str">
        <f t="shared" ca="1" si="94"/>
        <v>-</v>
      </c>
      <c r="U147" s="42" t="str">
        <f t="shared" si="95"/>
        <v>-</v>
      </c>
      <c r="V147" s="42" t="str">
        <f t="shared" si="96"/>
        <v>-</v>
      </c>
      <c r="W147" s="42" t="str">
        <f t="shared" si="97"/>
        <v>-</v>
      </c>
      <c r="X147" s="42" t="str">
        <f t="shared" si="98"/>
        <v>-</v>
      </c>
      <c r="Y147" s="42" t="str">
        <f t="shared" si="99"/>
        <v>-</v>
      </c>
      <c r="Z147" s="42" t="str">
        <f t="shared" si="100"/>
        <v>-</v>
      </c>
      <c r="AA147" s="42" t="str">
        <f t="shared" si="101"/>
        <v>-</v>
      </c>
      <c r="AB147" s="42" t="str">
        <f t="shared" si="102"/>
        <v>-</v>
      </c>
      <c r="AC147" s="42" t="str">
        <f t="shared" si="103"/>
        <v>-</v>
      </c>
    </row>
    <row r="148" spans="1:29" s="41" customFormat="1" ht="28.8" outlineLevel="1" x14ac:dyDescent="0.25">
      <c r="A148" s="42" t="s">
        <v>13</v>
      </c>
      <c r="B148" s="315"/>
      <c r="C148" s="49" t="s">
        <v>123</v>
      </c>
      <c r="D148" s="195" t="str">
        <f ca="1">_xlfn.LET(_xlpm.denom,D$142,_xlpm.calc,ROUND($Q148*_xlpm.denom,0),_xlpm.perc,_xlpm.calc/_xlpm.denom,IFERROR(IF(_xlpm.calc&lt;1000,_xlfn.CONCAT(_xlpm.calc," (",TEXT(_xlpm.perc,"0.0%"),")"),_xlfn.CONCAT(TEXT(_xlpm.calc,"0,000")," (",TEXT(_xlpm.perc,"0.0%"),")")),"-"))</f>
        <v>-</v>
      </c>
      <c r="E148" s="65" t="str" cm="1">
        <f t="array" ref="E148">_xlfn.LET(_xlpm.denom,E$142,_xlpm.calc,COUNTIFS(rpv_shift,1,Date,"&gt;="&amp;E$4,Date,"&lt;="&amp;E$5,Key_Gps,"*"&amp;E$1&amp;"*"),_xlpm.perc,_xlpm.calc/_xlpm.denom,IFERROR(IF(_xlpm.calc&lt;1000,_xlfn.CONCAT(_xlpm.calc," (",TEXT(_xlpm.perc,"0.0%"),")"),_xlfn.CONCAT(TEXT(_xlpm.calc,"0,000")," (",TEXT(_xlpm.perc,"0.0%"),")")),"-"))</f>
        <v>-</v>
      </c>
      <c r="F148" s="65" t="str" cm="1">
        <f t="array" ref="F148">_xlfn.LET(_xlpm.denom,F$142,_xlpm.calc,COUNTIFS(rpv_shift,1,Date,"&gt;="&amp;F$4,Date,"&lt;="&amp;F$5,Key_Gps,"*"&amp;F$1&amp;"*"),_xlpm.perc,_xlpm.calc/_xlpm.denom,IFERROR(IF(_xlpm.calc&lt;1000,_xlfn.CONCAT(_xlpm.calc," (",TEXT(_xlpm.perc,"0.0%"),")"),_xlfn.CONCAT(TEXT(_xlpm.calc,"0,000")," (",TEXT(_xlpm.perc,"0.0%"),")")),"-"))</f>
        <v>-</v>
      </c>
      <c r="G148" s="65" t="str" cm="1">
        <f t="array" ref="G148">_xlfn.LET(_xlpm.denom,G$142,_xlpm.calc,COUNTIFS(rpv_shift,1,Date,"&gt;="&amp;G$4,Date,"&lt;="&amp;G$5,Key_Gps,"*"&amp;G$1&amp;"*"),_xlpm.perc,_xlpm.calc/_xlpm.denom,IFERROR(IF(_xlpm.calc&lt;1000,_xlfn.CONCAT(_xlpm.calc," (",TEXT(_xlpm.perc,"0.0%"),")"),_xlfn.CONCAT(TEXT(_xlpm.calc,"0,000")," (",TEXT(_xlpm.perc,"0.0%"),")")),"-"))</f>
        <v>-</v>
      </c>
      <c r="H148" s="65" t="str" cm="1">
        <f t="array" ref="H148">_xlfn.LET(_xlpm.denom,H$142,_xlpm.calc,COUNTIFS(rpv_shift,1,Date,"&gt;="&amp;H$4,Date,"&lt;="&amp;H$5,Key_Gps,"*"&amp;H$1&amp;"*"),_xlpm.perc,_xlpm.calc/_xlpm.denom,IFERROR(IF(_xlpm.calc&lt;1000,_xlfn.CONCAT(_xlpm.calc," (",TEXT(_xlpm.perc,"0.0%"),")"),_xlfn.CONCAT(TEXT(_xlpm.calc,"0,000")," (",TEXT(_xlpm.perc,"0.0%"),")")),"-"))</f>
        <v>-</v>
      </c>
      <c r="I148" s="65" t="str" cm="1">
        <f t="array" ref="I148">_xlfn.LET(_xlpm.denom,I$142,_xlpm.calc,COUNTIFS(rpv_shift,1,Date,"&gt;="&amp;I$4,Date,"&lt;="&amp;I$5,Key_Gps,"*"&amp;I$1&amp;"*"),_xlpm.perc,_xlpm.calc/_xlpm.denom,IFERROR(IF(_xlpm.calc&lt;1000,_xlfn.CONCAT(_xlpm.calc," (",TEXT(_xlpm.perc,"0.0%"),")"),_xlfn.CONCAT(TEXT(_xlpm.calc,"0,000")," (",TEXT(_xlpm.perc,"0.0%"),")")),"-"))</f>
        <v>-</v>
      </c>
      <c r="J148" s="65" t="str" cm="1">
        <f t="array" ref="J148">_xlfn.LET(_xlpm.denom,J$142,_xlpm.calc,COUNTIFS(rpv_shift,1,Date,"&gt;="&amp;J$4,Date,"&lt;="&amp;J$5,Key_Gps,"*"&amp;J$1&amp;"*"),_xlpm.perc,_xlpm.calc/_xlpm.denom,IFERROR(IF(_xlpm.calc&lt;1000,_xlfn.CONCAT(_xlpm.calc," (",TEXT(_xlpm.perc,"0.0%"),")"),_xlfn.CONCAT(TEXT(_xlpm.calc,"0,000")," (",TEXT(_xlpm.perc,"0.0%"),")")),"-"))</f>
        <v>-</v>
      </c>
      <c r="K148" s="65" t="str" cm="1">
        <f t="array" ref="K148">_xlfn.LET(_xlpm.denom,K$142,_xlpm.calc,COUNTIFS(rpv_shift,1,Date,"&gt;="&amp;K$4,Date,"&lt;="&amp;K$5,Key_Gps,"*"&amp;K$1&amp;"*"),_xlpm.perc,_xlpm.calc/_xlpm.denom,IFERROR(IF(_xlpm.calc&lt;1000,_xlfn.CONCAT(_xlpm.calc," (",TEXT(_xlpm.perc,"0.0%"),")"),_xlfn.CONCAT(TEXT(_xlpm.calc,"0,000")," (",TEXT(_xlpm.perc,"0.0%"),")")),"-"))</f>
        <v>-</v>
      </c>
      <c r="L148" s="65" t="str" cm="1">
        <f t="array" ref="L148">_xlfn.LET(_xlpm.denom,L$142,_xlpm.calc,COUNTIFS(rpv_shift,1,Date,"&gt;="&amp;L$4,Date,"&lt;="&amp;L$5,Key_Gps,"*"&amp;L$1&amp;"*"),_xlpm.perc,_xlpm.calc/_xlpm.denom,IFERROR(IF(_xlpm.calc&lt;1000,_xlfn.CONCAT(_xlpm.calc," (",TEXT(_xlpm.perc,"0.0%"),")"),_xlfn.CONCAT(TEXT(_xlpm.calc,"0,000")," (",TEXT(_xlpm.perc,"0.0%"),")")),"-"))</f>
        <v>-</v>
      </c>
      <c r="M148" s="155" t="str" cm="1">
        <f t="array" ref="M148">_xlfn.LET(_xlpm.denom,M$142,_xlpm.calc,COUNTIFS(rpv_shift,1,Date,"&gt;="&amp;M$4,Date,"&lt;="&amp;M$5,Key_Gps,"*"&amp;M$1&amp;"*"),_xlpm.perc,_xlpm.calc/_xlpm.denom,IFERROR(IF(_xlpm.calc&lt;1000,_xlfn.CONCAT(_xlpm.calc," (",TEXT(_xlpm.perc,"0.0%"),")"),_xlfn.CONCAT(TEXT(_xlpm.calc,"0,000")," (",TEXT(_xlpm.perc,"0.0%"),")")),"-"))</f>
        <v>-</v>
      </c>
      <c r="N148" s="53" t="s">
        <v>120</v>
      </c>
      <c r="O148" s="278" t="s">
        <v>564</v>
      </c>
      <c r="P148" s="42"/>
      <c r="Q148" s="75" t="str">
        <f t="shared" si="92"/>
        <v/>
      </c>
      <c r="R148" s="76" t="e">
        <f t="shared" si="93"/>
        <v>#VALUE!</v>
      </c>
      <c r="S148" s="64">
        <f t="shared" si="47"/>
        <v>1</v>
      </c>
      <c r="T148" s="42" t="str">
        <f t="shared" ca="1" si="94"/>
        <v>-</v>
      </c>
      <c r="U148" s="42" t="str">
        <f t="shared" si="95"/>
        <v>-</v>
      </c>
      <c r="V148" s="42" t="str">
        <f t="shared" si="96"/>
        <v>-</v>
      </c>
      <c r="W148" s="42" t="str">
        <f t="shared" si="97"/>
        <v>-</v>
      </c>
      <c r="X148" s="42" t="str">
        <f t="shared" si="98"/>
        <v>-</v>
      </c>
      <c r="Y148" s="42" t="str">
        <f t="shared" si="99"/>
        <v>-</v>
      </c>
      <c r="Z148" s="42" t="str">
        <f t="shared" si="100"/>
        <v>-</v>
      </c>
      <c r="AA148" s="42" t="str">
        <f t="shared" si="101"/>
        <v>-</v>
      </c>
      <c r="AB148" s="42" t="str">
        <f t="shared" si="102"/>
        <v>-</v>
      </c>
      <c r="AC148" s="42" t="str">
        <f t="shared" si="103"/>
        <v>-</v>
      </c>
    </row>
    <row r="149" spans="1:29" s="41" customFormat="1" outlineLevel="1" x14ac:dyDescent="0.3">
      <c r="A149" s="83">
        <v>1</v>
      </c>
      <c r="B149" s="315"/>
      <c r="C149" s="49" t="s">
        <v>573</v>
      </c>
      <c r="D149" s="195">
        <f ca="1">IFERROR(ROUND(E149/E142*D142,0),0)</f>
        <v>0</v>
      </c>
      <c r="E149" s="65" t="e" cm="1">
        <f t="array" ref="E149">SUMIFS(Rest_Prem_Hrs,pp,1,Period_End,"&gt;="&amp;E$22,Period_End,"&lt;="&amp;E$23,Key_Gps,"*"&amp;E$1&amp;"*")</f>
        <v>#NAME?</v>
      </c>
      <c r="F149" s="65" t="e" cm="1">
        <f t="array" ref="F149">SUMIFS(Rest_Prem_Hrs,pp,1,Period_End,"&gt;="&amp;F$22,Period_End,"&lt;="&amp;F$23,Key_Gps,"*"&amp;F$1&amp;"*")</f>
        <v>#NAME?</v>
      </c>
      <c r="G149" s="65" t="e" cm="1">
        <f t="array" ref="G149">SUMIFS(Rest_Prem_Hrs,pp,1,Period_End,"&gt;="&amp;G$22,Period_End,"&lt;="&amp;G$23,Key_Gps,"*"&amp;G$1&amp;"*")</f>
        <v>#NAME?</v>
      </c>
      <c r="H149" s="65" t="e" cm="1">
        <f t="array" ref="H149">SUMIFS(Rest_Prem_Hrs,pp,1,Period_End,"&gt;="&amp;H$22,Period_End,"&lt;="&amp;H$23,Key_Gps,"*"&amp;H$1&amp;"*")</f>
        <v>#NAME?</v>
      </c>
      <c r="I149" s="65" t="e" cm="1">
        <f t="array" ref="I149">SUMIFS(Rest_Prem_Hrs,pp,1,Period_End,"&gt;="&amp;I$22,Period_End,"&lt;="&amp;I$23,Key_Gps,"*"&amp;I$1&amp;"*")</f>
        <v>#NAME?</v>
      </c>
      <c r="J149" s="65" t="e" cm="1">
        <f t="array" ref="J149">SUMIFS(Rest_Prem_Hrs,pp,1,Period_End,"&gt;="&amp;J$22,Period_End,"&lt;="&amp;J$23,Key_Gps,"*"&amp;J$1&amp;"*")</f>
        <v>#NAME?</v>
      </c>
      <c r="K149" s="65" t="e" cm="1">
        <f t="array" ref="K149">SUMIFS(Rest_Prem_Hrs,pp,1,Period_End,"&gt;="&amp;K$22,Period_End,"&lt;="&amp;K$23,Key_Gps,"*"&amp;K$1&amp;"*")</f>
        <v>#NAME?</v>
      </c>
      <c r="L149" s="65" t="e" cm="1">
        <f t="array" ref="L149">SUMIFS(Rest_Prem_Hrs,pp,1,Period_End,"&gt;="&amp;L$22,Period_End,"&lt;="&amp;L$23,Key_Gps,"*"&amp;L$1&amp;"*")</f>
        <v>#NAME?</v>
      </c>
      <c r="M149" s="155" t="e" cm="1">
        <f t="array" ref="M149">SUMIFS(Rest_Prem_Hrs,pp,1,Period_End,"&gt;="&amp;M$22,Period_End,"&lt;="&amp;M$23,Key_Gps,"*"&amp;M$1&amp;"*")</f>
        <v>#NAME?</v>
      </c>
      <c r="N149" s="53" t="s">
        <v>571</v>
      </c>
      <c r="O149" s="278" t="s">
        <v>569</v>
      </c>
      <c r="P149" s="42"/>
      <c r="Q149" s="75"/>
      <c r="R149" s="76"/>
      <c r="S149" s="64">
        <f t="shared" si="47"/>
        <v>1</v>
      </c>
      <c r="T149" s="42"/>
      <c r="U149" s="42"/>
      <c r="V149" s="42"/>
      <c r="W149" s="42"/>
      <c r="X149" s="42"/>
      <c r="Y149" s="42"/>
      <c r="Z149" s="42"/>
      <c r="AA149" s="42"/>
      <c r="AB149" s="42"/>
      <c r="AC149" s="42"/>
    </row>
    <row r="150" spans="1:29" s="41" customFormat="1" ht="28.8" outlineLevel="1" x14ac:dyDescent="0.25">
      <c r="A150" s="42" t="s">
        <v>13</v>
      </c>
      <c r="B150" s="315"/>
      <c r="C150" s="49" t="s">
        <v>585</v>
      </c>
      <c r="D150" s="195" t="str">
        <f ca="1">_xlfn.LET(_xlpm.denom,D142,_xlpm.calc,ROUND($Q150*_xlpm.denom,0),_xlpm.perc,_xlpm.calc/_xlpm.denom,IFERROR(IF(_xlpm.calc&lt;1000,_xlfn.CONCAT(_xlpm.calc," (",TEXT(_xlpm.perc,"0.0%"),")"),_xlfn.CONCAT(TEXT(_xlpm.calc,"0,000")," (",TEXT(_xlpm.perc,"0.0%"),")")),"-"))</f>
        <v>-</v>
      </c>
      <c r="E150" s="65" t="str" cm="1">
        <f t="array" ref="E150">_xlfn.LET(_xlpm.denom,E142,_xlpm.calc,SUMIFS(rpv_shift_less_prems,Date,"&gt;="&amp;E$4,Date,"&lt;="&amp;E$5,Key_Gps,"*"&amp;E$1&amp;"*"),_xlpm.perc,_xlpm.calc/_xlpm.denom,IFERROR(IF(_xlpm.calc&lt;1000,_xlfn.CONCAT(_xlpm.calc," (",TEXT(_xlpm.perc,"0.0%"),")"),_xlfn.CONCAT(TEXT(_xlpm.calc,"0,000")," (",TEXT(_xlpm.perc,"0.0%"),")")),"-"))</f>
        <v>-</v>
      </c>
      <c r="F150" s="56" t="str" cm="1">
        <f t="array" ref="F150">_xlfn.LET(_xlpm.denom,F142,_xlpm.calc,SUMIFS(rpv_shift_less_prems,Date,"&gt;="&amp;F$4,Date,"&lt;="&amp;F$5,Key_Gps,"*"&amp;F$1&amp;"*"),_xlpm.perc,_xlpm.calc/_xlpm.denom,IFERROR(IF(_xlpm.calc&lt;1000,_xlfn.CONCAT(_xlpm.calc," (",TEXT(_xlpm.perc,"0.0%"),")"),_xlfn.CONCAT(TEXT(_xlpm.calc,"0,000")," (",TEXT(_xlpm.perc,"0.0%"),")")),"-"))</f>
        <v>-</v>
      </c>
      <c r="G150" s="56" t="str" cm="1">
        <f t="array" ref="G150">_xlfn.LET(_xlpm.denom,G142,_xlpm.calc,SUMIFS(rpv_shift_less_prems,Date,"&gt;="&amp;G$4,Date,"&lt;="&amp;G$5,Key_Gps,"*"&amp;G$1&amp;"*"),_xlpm.perc,_xlpm.calc/_xlpm.denom,IFERROR(IF(_xlpm.calc&lt;1000,_xlfn.CONCAT(_xlpm.calc," (",TEXT(_xlpm.perc,"0.0%"),")"),_xlfn.CONCAT(TEXT(_xlpm.calc,"0,000")," (",TEXT(_xlpm.perc,"0.0%"),")")),"-"))</f>
        <v>-</v>
      </c>
      <c r="H150" s="56" t="str" cm="1">
        <f t="array" ref="H150">_xlfn.LET(_xlpm.denom,H142,_xlpm.calc,SUMIFS(rpv_shift_less_prems,Date,"&gt;="&amp;H$4,Date,"&lt;="&amp;H$5,Key_Gps,"*"&amp;H$1&amp;"*"),_xlpm.perc,_xlpm.calc/_xlpm.denom,IFERROR(IF(_xlpm.calc&lt;1000,_xlfn.CONCAT(_xlpm.calc," (",TEXT(_xlpm.perc,"0.0%"),")"),_xlfn.CONCAT(TEXT(_xlpm.calc,"0,000")," (",TEXT(_xlpm.perc,"0.0%"),")")),"-"))</f>
        <v>-</v>
      </c>
      <c r="I150" s="56" t="str" cm="1">
        <f t="array" ref="I150">_xlfn.LET(_xlpm.denom,I142,_xlpm.calc,SUMIFS(rpv_shift_less_prems,Date,"&gt;="&amp;I$4,Date,"&lt;="&amp;I$5,Key_Gps,"*"&amp;I$1&amp;"*"),_xlpm.perc,_xlpm.calc/_xlpm.denom,IFERROR(IF(_xlpm.calc&lt;1000,_xlfn.CONCAT(_xlpm.calc," (",TEXT(_xlpm.perc,"0.0%"),")"),_xlfn.CONCAT(TEXT(_xlpm.calc,"0,000")," (",TEXT(_xlpm.perc,"0.0%"),")")),"-"))</f>
        <v>-</v>
      </c>
      <c r="J150" s="56" t="str" cm="1">
        <f t="array" ref="J150">_xlfn.LET(_xlpm.denom,J142,_xlpm.calc,SUMIFS(rpv_shift_less_prems,Date,"&gt;="&amp;J$4,Date,"&lt;="&amp;J$5,Key_Gps,"*"&amp;J$1&amp;"*"),_xlpm.perc,_xlpm.calc/_xlpm.denom,IFERROR(IF(_xlpm.calc&lt;1000,_xlfn.CONCAT(_xlpm.calc," (",TEXT(_xlpm.perc,"0.0%"),")"),_xlfn.CONCAT(TEXT(_xlpm.calc,"0,000")," (",TEXT(_xlpm.perc,"0.0%"),")")),"-"))</f>
        <v>-</v>
      </c>
      <c r="K150" s="56" t="str" cm="1">
        <f t="array" ref="K150">_xlfn.LET(_xlpm.denom,K142,_xlpm.calc,SUMIFS(rpv_shift_less_prems,Date,"&gt;="&amp;K$4,Date,"&lt;="&amp;K$5,Key_Gps,"*"&amp;K$1&amp;"*"),_xlpm.perc,_xlpm.calc/_xlpm.denom,IFERROR(IF(_xlpm.calc&lt;1000,_xlfn.CONCAT(_xlpm.calc," (",TEXT(_xlpm.perc,"0.0%"),")"),_xlfn.CONCAT(TEXT(_xlpm.calc,"0,000")," (",TEXT(_xlpm.perc,"0.0%"),")")),"-"))</f>
        <v>-</v>
      </c>
      <c r="L150" s="56" t="str" cm="1">
        <f t="array" ref="L150">_xlfn.LET(_xlpm.denom,L142,_xlpm.calc,SUMIFS(rpv_shift_less_prems,Date,"&gt;="&amp;L$4,Date,"&lt;="&amp;L$5,Key_Gps,"*"&amp;L$1&amp;"*"),_xlpm.perc,_xlpm.calc/_xlpm.denom,IFERROR(IF(_xlpm.calc&lt;1000,_xlfn.CONCAT(_xlpm.calc," (",TEXT(_xlpm.perc,"0.0%"),")"),_xlfn.CONCAT(TEXT(_xlpm.calc,"0,000")," (",TEXT(_xlpm.perc,"0.0%"),")")),"-"))</f>
        <v>-</v>
      </c>
      <c r="M150" s="155" t="str" cm="1">
        <f t="array" ref="M150">_xlfn.LET(_xlpm.denom,M142,_xlpm.calc,SUMIFS(rpv_shift_less_prems,Date,"&gt;="&amp;M$4,Date,"&lt;="&amp;M$5,Key_Gps,"*"&amp;M$1&amp;"*"),_xlpm.perc,_xlpm.calc/_xlpm.denom,IFERROR(IF(_xlpm.calc&lt;1000,_xlfn.CONCAT(_xlpm.calc," (",TEXT(_xlpm.perc,"0.0%"),")"),_xlfn.CONCAT(TEXT(_xlpm.calc,"0,000")," (",TEXT(_xlpm.perc,"0.0%"),")")),"-"))</f>
        <v>-</v>
      </c>
      <c r="N150" s="53" t="s">
        <v>80</v>
      </c>
      <c r="O150" s="278" t="s">
        <v>564</v>
      </c>
      <c r="P150" s="42"/>
      <c r="Q150" s="75" t="str">
        <f t="shared" ref="Q150:Q213" si="110">IF(IFERROR(SEARCH("(",E150),0)=0,"",VALUE(SUBSTITUTE(RIGHT(E150,LEN(E150)-SEARCH("(",E150)),")","")))</f>
        <v/>
      </c>
      <c r="R150" s="76" t="e">
        <f t="shared" ref="R150:R213" si="111">IF(U150="","",SUM(V150:AB150)-U150)</f>
        <v>#VALUE!</v>
      </c>
      <c r="S150" s="64">
        <f t="shared" si="47"/>
        <v>1</v>
      </c>
      <c r="T150" s="42" t="str">
        <f t="shared" ref="T150:T181" ca="1" si="112">IF($S150&lt;&gt;1,"",IF(IFERROR(SEARCH("(",D150),0)=0,D150,VALUE(TRIM(LEFT(D150,SEARCH(" (",D150))))))</f>
        <v>-</v>
      </c>
      <c r="U150" s="42" t="str">
        <f t="shared" ref="U150:U181" si="113">IF($S150&lt;&gt;1,"",IF(IFERROR(SEARCH("(",E150),0)=0,E150,VALUE(TRIM(LEFT(E150,SEARCH(" (",E150))))))</f>
        <v>-</v>
      </c>
      <c r="V150" s="42" t="str">
        <f t="shared" ref="V150:V181" si="114">IF($S150&lt;&gt;1,"",IF(IFERROR(SEARCH("(",F150),0)=0,F150,VALUE(TRIM(LEFT(F150,SEARCH(" (",F150))))))</f>
        <v>-</v>
      </c>
      <c r="W150" s="42" t="str">
        <f t="shared" ref="W150:W213" si="115">IF($S150&lt;&gt;1,"",IF(IFERROR(SEARCH("(",G150),0)=0,G150,VALUE(TRIM(LEFT(G150,SEARCH(" (",G150))))))</f>
        <v>-</v>
      </c>
      <c r="X150" s="42" t="str">
        <f t="shared" ref="X150:X213" si="116">IF($S150&lt;&gt;1,"",IF(IFERROR(SEARCH("(",H150),0)=0,H150,VALUE(TRIM(LEFT(H150,SEARCH(" (",H150))))))</f>
        <v>-</v>
      </c>
      <c r="Y150" s="42" t="str">
        <f t="shared" ref="Y150:Y213" si="117">IF($S150&lt;&gt;1,"",IF(IFERROR(SEARCH("(",I150),0)=0,I150,VALUE(TRIM(LEFT(I150,SEARCH(" (",I150))))))</f>
        <v>-</v>
      </c>
      <c r="Z150" s="42" t="str">
        <f t="shared" ref="Z150:Z213" si="118">IF($S150&lt;&gt;1,"",IF(IFERROR(SEARCH("(",J150),0)=0,J150,VALUE(TRIM(LEFT(J150,SEARCH(" (",J150))))))</f>
        <v>-</v>
      </c>
      <c r="AA150" s="42" t="str">
        <f t="shared" ref="AA150:AA213" si="119">IF($S150&lt;&gt;1,"",IF(IFERROR(SEARCH("(",K150),0)=0,K150,VALUE(TRIM(LEFT(K150,SEARCH(" (",K150))))))</f>
        <v>-</v>
      </c>
      <c r="AB150" s="42" t="str">
        <f t="shared" ref="AB150:AB213" si="120">IF($S150&lt;&gt;1,"",IF(IFERROR(SEARCH("(",L150),0)=0,L150,VALUE(TRIM(LEFT(L150,SEARCH(" (",L150))))))</f>
        <v>-</v>
      </c>
      <c r="AC150" s="42" t="str">
        <f t="shared" ref="AC150:AC181" si="121">IF($S150&lt;&gt;1,"",IF(IFERROR(SEARCH("(",M150),0)=0,M150,VALUE(TRIM(LEFT(M150,SEARCH(" (",M150))))))</f>
        <v>-</v>
      </c>
    </row>
    <row r="151" spans="1:29" ht="28.8" outlineLevel="1" x14ac:dyDescent="0.25">
      <c r="A151" s="42" t="s">
        <v>13</v>
      </c>
      <c r="B151" s="315"/>
      <c r="C151" s="49" t="s">
        <v>21</v>
      </c>
      <c r="D151" s="195" t="str">
        <f t="shared" ref="D151:K151" ca="1" si="122">_xlfn.LET(_xlpm.calc,_xlfn.XLOOKUP($C151,$C:$C,D:D),IF(IFERROR(SEARCH(" ",_xlpm.calc),0)&gt;0,IFERROR(VALUE(LEFT(_xlpm.calc,SEARCH(" ",_xlpm.calc))),"-"),IFERROR(_xlpm.calc,"-")))</f>
        <v>-</v>
      </c>
      <c r="E151" s="65">
        <f t="shared" si="122"/>
        <v>0</v>
      </c>
      <c r="F151" s="65">
        <f t="shared" si="122"/>
        <v>0</v>
      </c>
      <c r="G151" s="65">
        <f t="shared" si="122"/>
        <v>0</v>
      </c>
      <c r="H151" s="65">
        <f t="shared" si="122"/>
        <v>0</v>
      </c>
      <c r="I151" s="65">
        <f t="shared" si="122"/>
        <v>0</v>
      </c>
      <c r="J151" s="65">
        <f t="shared" si="122"/>
        <v>0</v>
      </c>
      <c r="K151" s="65">
        <f t="shared" si="122"/>
        <v>0</v>
      </c>
      <c r="L151" s="65">
        <f>_xlfn.LET(_xlpm.calc,_xlfn.XLOOKUP($C151,$C:$C,L:L),IF(IFERROR(SEARCH(" ",_xlpm.calc),0)&gt;0,IFERROR(VALUE(LEFT(_xlpm.calc,SEARCH(" ",_xlpm.calc))),"-"),IFERROR(_xlpm.calc,"-")))</f>
        <v>0</v>
      </c>
      <c r="M151" s="155">
        <f>_xlfn.LET(_xlpm.calc,_xlfn.XLOOKUP($C151,$C:$C,M:M),IF(IFERROR(SEARCH(" ",_xlpm.calc),0)&gt;0,IFERROR(VALUE(LEFT(_xlpm.calc,SEARCH(" ",_xlpm.calc))),"-"),IFERROR(_xlpm.calc,"-")))</f>
        <v>0</v>
      </c>
      <c r="N151" s="53"/>
      <c r="O151" s="74"/>
      <c r="Q151" s="75" t="str">
        <f t="shared" si="110"/>
        <v/>
      </c>
      <c r="R151" s="76">
        <f t="shared" si="111"/>
        <v>0</v>
      </c>
      <c r="S151" s="64">
        <f t="shared" si="47"/>
        <v>1</v>
      </c>
      <c r="T151" s="42" t="str">
        <f t="shared" ca="1" si="112"/>
        <v>-</v>
      </c>
      <c r="U151" s="42">
        <f t="shared" si="113"/>
        <v>0</v>
      </c>
      <c r="V151" s="42">
        <f t="shared" si="114"/>
        <v>0</v>
      </c>
      <c r="W151" s="42">
        <f t="shared" si="115"/>
        <v>0</v>
      </c>
      <c r="X151" s="42">
        <f t="shared" si="116"/>
        <v>0</v>
      </c>
      <c r="Y151" s="42">
        <f t="shared" si="117"/>
        <v>0</v>
      </c>
      <c r="Z151" s="42">
        <f t="shared" si="118"/>
        <v>0</v>
      </c>
      <c r="AA151" s="42">
        <f t="shared" si="119"/>
        <v>0</v>
      </c>
      <c r="AB151" s="42">
        <f t="shared" si="120"/>
        <v>0</v>
      </c>
      <c r="AC151" s="42">
        <f t="shared" si="121"/>
        <v>0</v>
      </c>
    </row>
    <row r="152" spans="1:29" s="41" customFormat="1" ht="28.8" outlineLevel="1" x14ac:dyDescent="0.25">
      <c r="A152" s="42" t="s">
        <v>13</v>
      </c>
      <c r="B152" s="315"/>
      <c r="C152" s="49" t="s">
        <v>124</v>
      </c>
      <c r="D152" s="195" t="str">
        <f ca="1">_xlfn.LET(_xlpm.denom,D$151,_xlpm.calc,ROUND($Q152*_xlpm.denom,0),_xlpm.perc,_xlpm.calc/_xlpm.denom,IFERROR(IF(_xlpm.calc&lt;1000,_xlfn.CONCAT(_xlpm.calc," (",TEXT(_xlpm.perc,"0.0%"),")"),_xlfn.CONCAT(TEXT(_xlpm.calc,"0,000")," (",TEXT(_xlpm.perc,"0.0%"),")")),"-"))</f>
        <v>-</v>
      </c>
      <c r="E152" s="65" t="str" cm="1">
        <f t="array" ref="E152">_xlfn.LET(_xlpm.denom,E$151,_xlpm.calc,IFERROR(ROWS(_xlfn.UNIQUE(_xlfn._xlws.FILTER(ID_Period_End,(Period_End &gt;= E$4) * (Period_End &lt;= E$5) * (IFERROR(SEARCH(E$1, Key_Gps),0)&gt;0) * (shift_hrs &gt; 3.5)))),0),_xlpm.perc,_xlpm.calc/_xlpm.denom,IFERROR(IF(_xlpm.calc&lt;1000,_xlfn.CONCAT(_xlpm.calc," (",TEXT(_xlpm.perc,"0.0%"),")"),_xlfn.CONCAT(TEXT(_xlpm.calc,"0,000")," (",TEXT(_xlpm.perc,"0.0%"),")")),"-"))</f>
        <v>-</v>
      </c>
      <c r="F152" s="65" t="str" cm="1">
        <f t="array" ref="F152">_xlfn.LET(_xlpm.denom,F$151,_xlpm.calc,IFERROR(ROWS(_xlfn.UNIQUE(_xlfn._xlws.FILTER(ID_Period_End,(Period_End &gt;= F$4) * (Period_End &lt;= F$5) * (IFERROR(SEARCH(F$1, Key_Gps),0)&gt;0) * (shift_hrs &gt; 3.5)))),0),_xlpm.perc,_xlpm.calc/_xlpm.denom,IFERROR(IF(_xlpm.calc&lt;1000,_xlfn.CONCAT(_xlpm.calc," (",TEXT(_xlpm.perc,"0.0%"),")"),_xlfn.CONCAT(TEXT(_xlpm.calc,"0,000")," (",TEXT(_xlpm.perc,"0.0%"),")")),"-"))</f>
        <v>-</v>
      </c>
      <c r="G152" s="65" t="str" cm="1">
        <f t="array" ref="G152">_xlfn.LET(_xlpm.denom,G$151,_xlpm.calc,IFERROR(ROWS(_xlfn.UNIQUE(_xlfn._xlws.FILTER(ID_Period_End,(Period_End &gt;= G$4) * (Period_End &lt;= G$5) * (IFERROR(SEARCH(G$1, Key_Gps),0)&gt;0) * (shift_hrs &gt; 3.5)))),0),_xlpm.perc,_xlpm.calc/_xlpm.denom,IFERROR(IF(_xlpm.calc&lt;1000,_xlfn.CONCAT(_xlpm.calc," (",TEXT(_xlpm.perc,"0.0%"),")"),_xlfn.CONCAT(TEXT(_xlpm.calc,"0,000")," (",TEXT(_xlpm.perc,"0.0%"),")")),"-"))</f>
        <v>-</v>
      </c>
      <c r="H152" s="65" t="str" cm="1">
        <f t="array" ref="H152">_xlfn.LET(_xlpm.denom,H$151,_xlpm.calc,IFERROR(ROWS(_xlfn.UNIQUE(_xlfn._xlws.FILTER(ID_Period_End,(Period_End &gt;= H$4) * (Period_End &lt;= H$5) * (IFERROR(SEARCH(H$1, Key_Gps),0)&gt;0) * (shift_hrs &gt; 3.5)))),0),_xlpm.perc,_xlpm.calc/_xlpm.denom,IFERROR(IF(_xlpm.calc&lt;1000,_xlfn.CONCAT(_xlpm.calc," (",TEXT(_xlpm.perc,"0.0%"),")"),_xlfn.CONCAT(TEXT(_xlpm.calc,"0,000")," (",TEXT(_xlpm.perc,"0.0%"),")")),"-"))</f>
        <v>-</v>
      </c>
      <c r="I152" s="65" t="str" cm="1">
        <f t="array" ref="I152">_xlfn.LET(_xlpm.denom,I$151,_xlpm.calc,IFERROR(ROWS(_xlfn.UNIQUE(_xlfn._xlws.FILTER(ID_Period_End,(Period_End &gt;= I$4) * (Period_End &lt;= I$5) * (IFERROR(SEARCH(I$1, Key_Gps),0)&gt;0) * (shift_hrs &gt; 3.5)))),0),_xlpm.perc,_xlpm.calc/_xlpm.denom,IFERROR(IF(_xlpm.calc&lt;1000,_xlfn.CONCAT(_xlpm.calc," (",TEXT(_xlpm.perc,"0.0%"),")"),_xlfn.CONCAT(TEXT(_xlpm.calc,"0,000")," (",TEXT(_xlpm.perc,"0.0%"),")")),"-"))</f>
        <v>-</v>
      </c>
      <c r="J152" s="65" t="str" cm="1">
        <f t="array" ref="J152">_xlfn.LET(_xlpm.denom,J$151,_xlpm.calc,IFERROR(ROWS(_xlfn.UNIQUE(_xlfn._xlws.FILTER(ID_Period_End,(Period_End &gt;= J$4) * (Period_End &lt;= J$5) * (IFERROR(SEARCH(J$1, Key_Gps),0)&gt;0) * (shift_hrs &gt; 3.5)))),0),_xlpm.perc,_xlpm.calc/_xlpm.denom,IFERROR(IF(_xlpm.calc&lt;1000,_xlfn.CONCAT(_xlpm.calc," (",TEXT(_xlpm.perc,"0.0%"),")"),_xlfn.CONCAT(TEXT(_xlpm.calc,"0,000")," (",TEXT(_xlpm.perc,"0.0%"),")")),"-"))</f>
        <v>-</v>
      </c>
      <c r="K152" s="65" t="str" cm="1">
        <f t="array" ref="K152">_xlfn.LET(_xlpm.denom,K$151,_xlpm.calc,IFERROR(ROWS(_xlfn.UNIQUE(_xlfn._xlws.FILTER(ID_Period_End,(Period_End &gt;= K$4) * (Period_End &lt;= K$5) * (IFERROR(SEARCH(K$1, Key_Gps),0)&gt;0) * (shift_hrs &gt; 3.5)))),0),_xlpm.perc,_xlpm.calc/_xlpm.denom,IFERROR(IF(_xlpm.calc&lt;1000,_xlfn.CONCAT(_xlpm.calc," (",TEXT(_xlpm.perc,"0.0%"),")"),_xlfn.CONCAT(TEXT(_xlpm.calc,"0,000")," (",TEXT(_xlpm.perc,"0.0%"),")")),"-"))</f>
        <v>-</v>
      </c>
      <c r="L152" s="65" t="str" cm="1">
        <f t="array" ref="L152">_xlfn.LET(_xlpm.denom,L$151,_xlpm.calc,IFERROR(ROWS(_xlfn.UNIQUE(_xlfn._xlws.FILTER(ID_Period_End,(Period_End &gt;= L$4) * (Period_End &lt;= L$5) * (IFERROR(SEARCH(L$1, Key_Gps),0)&gt;0) * (shift_hrs &gt; 3.5)))),0),_xlpm.perc,_xlpm.calc/_xlpm.denom,IFERROR(IF(_xlpm.calc&lt;1000,_xlfn.CONCAT(_xlpm.calc," (",TEXT(_xlpm.perc,"0.0%"),")"),_xlfn.CONCAT(TEXT(_xlpm.calc,"0,000")," (",TEXT(_xlpm.perc,"0.0%"),")")),"-"))</f>
        <v>-</v>
      </c>
      <c r="M152" s="155" t="str" cm="1">
        <f t="array" ref="M152">_xlfn.LET(_xlpm.denom,M$151,_xlpm.calc,IFERROR(ROWS(_xlfn.UNIQUE(_xlfn._xlws.FILTER(ID_Period_End,(Period_End &gt;= M$4) * (Period_End &lt;= M$5) * (IFERROR(SEARCH(M$1, Key_Gps),0)&gt;0) * (shift_hrs &gt; 3.5)))),0),_xlpm.perc,_xlpm.calc/_xlpm.denom,IFERROR(IF(_xlpm.calc&lt;1000,_xlfn.CONCAT(_xlpm.calc," (",TEXT(_xlpm.perc,"0.0%"),")"),_xlfn.CONCAT(TEXT(_xlpm.calc,"0,000")," (",TEXT(_xlpm.perc,"0.0%"),")")),"-"))</f>
        <v>-</v>
      </c>
      <c r="N152" s="53" t="s">
        <v>80</v>
      </c>
      <c r="O152" s="74"/>
      <c r="P152" s="42"/>
      <c r="Q152" s="75" t="str">
        <f t="shared" si="110"/>
        <v/>
      </c>
      <c r="R152" s="76" t="e">
        <f t="shared" si="111"/>
        <v>#VALUE!</v>
      </c>
      <c r="S152" s="64">
        <f t="shared" si="47"/>
        <v>1</v>
      </c>
      <c r="T152" s="42" t="str">
        <f t="shared" ca="1" si="112"/>
        <v>-</v>
      </c>
      <c r="U152" s="42" t="str">
        <f t="shared" si="113"/>
        <v>-</v>
      </c>
      <c r="V152" s="42" t="str">
        <f t="shared" si="114"/>
        <v>-</v>
      </c>
      <c r="W152" s="42" t="str">
        <f t="shared" si="115"/>
        <v>-</v>
      </c>
      <c r="X152" s="42" t="str">
        <f t="shared" si="116"/>
        <v>-</v>
      </c>
      <c r="Y152" s="42" t="str">
        <f t="shared" si="117"/>
        <v>-</v>
      </c>
      <c r="Z152" s="42" t="str">
        <f t="shared" si="118"/>
        <v>-</v>
      </c>
      <c r="AA152" s="42" t="str">
        <f t="shared" si="119"/>
        <v>-</v>
      </c>
      <c r="AB152" s="42" t="str">
        <f t="shared" si="120"/>
        <v>-</v>
      </c>
      <c r="AC152" s="42" t="str">
        <f t="shared" si="121"/>
        <v>-</v>
      </c>
    </row>
    <row r="153" spans="1:29" s="41" customFormat="1" ht="28.8" outlineLevel="1" x14ac:dyDescent="0.25">
      <c r="A153" s="42" t="s">
        <v>13</v>
      </c>
      <c r="B153" s="315"/>
      <c r="C153" s="49" t="s">
        <v>125</v>
      </c>
      <c r="D153" s="195" t="str">
        <f ca="1">_xlfn.LET(_xlpm.denom,D$151,_xlpm.calc,ROUND($Q153*_xlpm.denom,0),_xlpm.perc,_xlpm.calc/_xlpm.denom,IFERROR(IF(_xlpm.calc&lt;1000,_xlfn.CONCAT(_xlpm.calc," (",TEXT(_xlpm.perc,"0.0%"),")"),_xlfn.CONCAT(TEXT(_xlpm.calc,"0,000")," (",TEXT(_xlpm.perc,"0.0%"),")")),"-"))</f>
        <v>-</v>
      </c>
      <c r="E153" s="65" t="str" cm="1">
        <f t="array" ref="E153">_xlfn.LET(_xlpm.denom,E$151,_xlpm.calc,IFERROR(ROWS(_xlfn.UNIQUE(_xlfn._xlws.FILTER(ID_Period_End,(Period_End &gt;= E$4) * (Period_End &lt;= E$5) * (IFERROR(SEARCH(E$1, Key_Gps),0)&gt;0) * (rpv_shift &gt; 0)))),0),_xlpm.perc,_xlpm.calc/_xlpm.denom,IFERROR(IF(_xlpm.calc&lt;1000,_xlfn.CONCAT(_xlpm.calc," (",TEXT(_xlpm.perc,"0.0%"),")"),_xlfn.CONCAT(TEXT(_xlpm.calc,"0,000")," (",TEXT(_xlpm.perc,"0.0%"),")")),"-"))</f>
        <v>-</v>
      </c>
      <c r="F153" s="65" t="str" cm="1">
        <f t="array" ref="F153">_xlfn.LET(_xlpm.denom,F$151,_xlpm.calc,IFERROR(ROWS(_xlfn.UNIQUE(_xlfn._xlws.FILTER(ID_Period_End,(Period_End &gt;= F$4) * (Period_End &lt;= F$5) * (IFERROR(SEARCH(F$1, Key_Gps),0)&gt;0) * (rpv_shift &gt; 0)))),0),_xlpm.perc,_xlpm.calc/_xlpm.denom,IFERROR(IF(_xlpm.calc&lt;1000,_xlfn.CONCAT(_xlpm.calc," (",TEXT(_xlpm.perc,"0.0%"),")"),_xlfn.CONCAT(TEXT(_xlpm.calc,"0,000")," (",TEXT(_xlpm.perc,"0.0%"),")")),"-"))</f>
        <v>-</v>
      </c>
      <c r="G153" s="65" t="str" cm="1">
        <f t="array" ref="G153">_xlfn.LET(_xlpm.denom,G$151,_xlpm.calc,IFERROR(ROWS(_xlfn.UNIQUE(_xlfn._xlws.FILTER(ID_Period_End,(Period_End &gt;= G$4) * (Period_End &lt;= G$5) * (IFERROR(SEARCH(G$1, Key_Gps),0)&gt;0) * (rpv_shift &gt; 0)))),0),_xlpm.perc,_xlpm.calc/_xlpm.denom,IFERROR(IF(_xlpm.calc&lt;1000,_xlfn.CONCAT(_xlpm.calc," (",TEXT(_xlpm.perc,"0.0%"),")"),_xlfn.CONCAT(TEXT(_xlpm.calc,"0,000")," (",TEXT(_xlpm.perc,"0.0%"),")")),"-"))</f>
        <v>-</v>
      </c>
      <c r="H153" s="65" t="str" cm="1">
        <f t="array" ref="H153">_xlfn.LET(_xlpm.denom,H$151,_xlpm.calc,IFERROR(ROWS(_xlfn.UNIQUE(_xlfn._xlws.FILTER(ID_Period_End,(Period_End &gt;= H$4) * (Period_End &lt;= H$5) * (IFERROR(SEARCH(H$1, Key_Gps),0)&gt;0) * (rpv_shift &gt; 0)))),0),_xlpm.perc,_xlpm.calc/_xlpm.denom,IFERROR(IF(_xlpm.calc&lt;1000,_xlfn.CONCAT(_xlpm.calc," (",TEXT(_xlpm.perc,"0.0%"),")"),_xlfn.CONCAT(TEXT(_xlpm.calc,"0,000")," (",TEXT(_xlpm.perc,"0.0%"),")")),"-"))</f>
        <v>-</v>
      </c>
      <c r="I153" s="65" t="str" cm="1">
        <f t="array" ref="I153">_xlfn.LET(_xlpm.denom,I$151,_xlpm.calc,IFERROR(ROWS(_xlfn.UNIQUE(_xlfn._xlws.FILTER(ID_Period_End,(Period_End &gt;= I$4) * (Period_End &lt;= I$5) * (IFERROR(SEARCH(I$1, Key_Gps),0)&gt;0) * (rpv_shift &gt; 0)))),0),_xlpm.perc,_xlpm.calc/_xlpm.denom,IFERROR(IF(_xlpm.calc&lt;1000,_xlfn.CONCAT(_xlpm.calc," (",TEXT(_xlpm.perc,"0.0%"),")"),_xlfn.CONCAT(TEXT(_xlpm.calc,"0,000")," (",TEXT(_xlpm.perc,"0.0%"),")")),"-"))</f>
        <v>-</v>
      </c>
      <c r="J153" s="65" t="str" cm="1">
        <f t="array" ref="J153">_xlfn.LET(_xlpm.denom,J$151,_xlpm.calc,IFERROR(ROWS(_xlfn.UNIQUE(_xlfn._xlws.FILTER(ID_Period_End,(Period_End &gt;= J$4) * (Period_End &lt;= J$5) * (IFERROR(SEARCH(J$1, Key_Gps),0)&gt;0) * (rpv_shift &gt; 0)))),0),_xlpm.perc,_xlpm.calc/_xlpm.denom,IFERROR(IF(_xlpm.calc&lt;1000,_xlfn.CONCAT(_xlpm.calc," (",TEXT(_xlpm.perc,"0.0%"),")"),_xlfn.CONCAT(TEXT(_xlpm.calc,"0,000")," (",TEXT(_xlpm.perc,"0.0%"),")")),"-"))</f>
        <v>-</v>
      </c>
      <c r="K153" s="65" t="str" cm="1">
        <f t="array" ref="K153">_xlfn.LET(_xlpm.denom,K$151,_xlpm.calc,IFERROR(ROWS(_xlfn.UNIQUE(_xlfn._xlws.FILTER(ID_Period_End,(Period_End &gt;= K$4) * (Period_End &lt;= K$5) * (IFERROR(SEARCH(K$1, Key_Gps),0)&gt;0) * (rpv_shift &gt; 0)))),0),_xlpm.perc,_xlpm.calc/_xlpm.denom,IFERROR(IF(_xlpm.calc&lt;1000,_xlfn.CONCAT(_xlpm.calc," (",TEXT(_xlpm.perc,"0.0%"),")"),_xlfn.CONCAT(TEXT(_xlpm.calc,"0,000")," (",TEXT(_xlpm.perc,"0.0%"),")")),"-"))</f>
        <v>-</v>
      </c>
      <c r="L153" s="65" t="str" cm="1">
        <f t="array" ref="L153">_xlfn.LET(_xlpm.denom,L$151,_xlpm.calc,IFERROR(ROWS(_xlfn.UNIQUE(_xlfn._xlws.FILTER(ID_Period_End,(Period_End &gt;= L$4) * (Period_End &lt;= L$5) * (IFERROR(SEARCH(L$1, Key_Gps),0)&gt;0) * (rpv_shift &gt; 0)))),0),_xlpm.perc,_xlpm.calc/_xlpm.denom,IFERROR(IF(_xlpm.calc&lt;1000,_xlfn.CONCAT(_xlpm.calc," (",TEXT(_xlpm.perc,"0.0%"),")"),_xlfn.CONCAT(TEXT(_xlpm.calc,"0,000")," (",TEXT(_xlpm.perc,"0.0%"),")")),"-"))</f>
        <v>-</v>
      </c>
      <c r="M153" s="155" t="str" cm="1">
        <f t="array" ref="M153">_xlfn.LET(_xlpm.denom,M$151,_xlpm.calc,IFERROR(ROWS(_xlfn.UNIQUE(_xlfn._xlws.FILTER(ID_Period_End,(Period_End &gt;= M$4) * (Period_End &lt;= M$5) * (IFERROR(SEARCH(M$1, Key_Gps),0)&gt;0) * (rpv_shift &gt; 0)))),0),_xlpm.perc,_xlpm.calc/_xlpm.denom,IFERROR(IF(_xlpm.calc&lt;1000,_xlfn.CONCAT(_xlpm.calc," (",TEXT(_xlpm.perc,"0.0%"),")"),_xlfn.CONCAT(TEXT(_xlpm.calc,"0,000")," (",TEXT(_xlpm.perc,"0.0%"),")")),"-"))</f>
        <v>-</v>
      </c>
      <c r="N153" s="53" t="s">
        <v>80</v>
      </c>
      <c r="O153" s="278" t="s">
        <v>564</v>
      </c>
      <c r="P153" s="42"/>
      <c r="Q153" s="75" t="str">
        <f t="shared" si="110"/>
        <v/>
      </c>
      <c r="R153" s="76" t="e">
        <f t="shared" si="111"/>
        <v>#VALUE!</v>
      </c>
      <c r="S153" s="64">
        <f t="shared" si="47"/>
        <v>1</v>
      </c>
      <c r="T153" s="42" t="str">
        <f t="shared" ca="1" si="112"/>
        <v>-</v>
      </c>
      <c r="U153" s="42" t="str">
        <f t="shared" si="113"/>
        <v>-</v>
      </c>
      <c r="V153" s="42" t="str">
        <f t="shared" si="114"/>
        <v>-</v>
      </c>
      <c r="W153" s="42" t="str">
        <f t="shared" si="115"/>
        <v>-</v>
      </c>
      <c r="X153" s="42" t="str">
        <f t="shared" si="116"/>
        <v>-</v>
      </c>
      <c r="Y153" s="42" t="str">
        <f t="shared" si="117"/>
        <v>-</v>
      </c>
      <c r="Z153" s="42" t="str">
        <f t="shared" si="118"/>
        <v>-</v>
      </c>
      <c r="AA153" s="42" t="str">
        <f t="shared" si="119"/>
        <v>-</v>
      </c>
      <c r="AB153" s="42" t="str">
        <f t="shared" si="120"/>
        <v>-</v>
      </c>
      <c r="AC153" s="42" t="str">
        <f t="shared" si="121"/>
        <v>-</v>
      </c>
    </row>
    <row r="154" spans="1:29" s="41" customFormat="1" ht="28.8" outlineLevel="1" x14ac:dyDescent="0.25">
      <c r="A154" s="42" t="s">
        <v>13</v>
      </c>
      <c r="B154" s="315"/>
      <c r="C154" s="49" t="s">
        <v>574</v>
      </c>
      <c r="D154" s="195" t="str">
        <f ca="1">_xlfn.LET(_xlpm.denom,D$151,_xlpm.calc,ROUND($Q154*_xlpm.denom,0),_xlpm.perc,_xlpm.calc/_xlpm.denom,IFERROR(IF(_xlpm.calc&lt;1000,_xlfn.CONCAT(_xlpm.calc," (",TEXT(_xlpm.perc,"0.0%"),")"),_xlfn.CONCAT(TEXT(_xlpm.calc,"0,000")," (",TEXT(_xlpm.perc,"0.0%"),")")),"-"))</f>
        <v>-</v>
      </c>
      <c r="E154" s="65" t="str" cm="1">
        <f t="array" ref="E154">_xlfn.LET(_xlpm.denom,E151,_xlpm.calc,IFERROR(ROWS(_xlfn.UNIQUE(_xlfn._xlws.FILTER(ID_Period_End,(Period_End &gt;= E$4) * (Period_End &lt;= E$5) * (IFERROR(SEARCH(E$1, Key_Gps),0)&gt;0) * (rpv_per_pp_less_prems &gt; 0)))),0),_xlpm.perc,_xlpm.calc/_xlpm.denom,IFERROR(IF(_xlpm.calc&lt;1000,_xlfn.CONCAT(_xlpm.calc," (",TEXT(_xlpm.perc,"0.0%"),")"),_xlfn.CONCAT(TEXT(_xlpm.calc,"0,000")," (",TEXT(_xlpm.perc,"0.0%"),")")),"-"))</f>
        <v>-</v>
      </c>
      <c r="F154" s="65" t="str" cm="1">
        <f t="array" ref="F154">_xlfn.LET(_xlpm.denom,F151,_xlpm.calc,IFERROR(ROWS(_xlfn.UNIQUE(_xlfn._xlws.FILTER(ID_Period_End,(Period_End &gt;= F$4) * (Period_End &lt;= F$5) * (IFERROR(SEARCH(F$1, Key_Gps),0)&gt;0) * (rpv_per_pp_less_prems &gt; 0)))),0),_xlpm.perc,_xlpm.calc/_xlpm.denom,IFERROR(IF(_xlpm.calc&lt;1000,_xlfn.CONCAT(_xlpm.calc," (",TEXT(_xlpm.perc,"0.0%"),")"),_xlfn.CONCAT(TEXT(_xlpm.calc,"0,000")," (",TEXT(_xlpm.perc,"0.0%"),")")),"-"))</f>
        <v>-</v>
      </c>
      <c r="G154" s="65" t="str" cm="1">
        <f t="array" ref="G154">_xlfn.LET(_xlpm.denom,G151,_xlpm.calc,IFERROR(ROWS(_xlfn.UNIQUE(_xlfn._xlws.FILTER(ID_Period_End,(Period_End &gt;= G$4) * (Period_End &lt;= G$5) * (IFERROR(SEARCH(G$1, Key_Gps),0)&gt;0) * (rpv_per_pp_less_prems &gt; 0)))),0),_xlpm.perc,_xlpm.calc/_xlpm.denom,IFERROR(IF(_xlpm.calc&lt;1000,_xlfn.CONCAT(_xlpm.calc," (",TEXT(_xlpm.perc,"0.0%"),")"),_xlfn.CONCAT(TEXT(_xlpm.calc,"0,000")," (",TEXT(_xlpm.perc,"0.0%"),")")),"-"))</f>
        <v>-</v>
      </c>
      <c r="H154" s="65" t="str" cm="1">
        <f t="array" ref="H154">_xlfn.LET(_xlpm.denom,H151,_xlpm.calc,IFERROR(ROWS(_xlfn.UNIQUE(_xlfn._xlws.FILTER(ID_Period_End,(Period_End &gt;= H$4) * (Period_End &lt;= H$5) * (IFERROR(SEARCH(H$1, Key_Gps),0)&gt;0) * (rpv_per_pp_less_prems &gt; 0)))),0),_xlpm.perc,_xlpm.calc/_xlpm.denom,IFERROR(IF(_xlpm.calc&lt;1000,_xlfn.CONCAT(_xlpm.calc," (",TEXT(_xlpm.perc,"0.0%"),")"),_xlfn.CONCAT(TEXT(_xlpm.calc,"0,000")," (",TEXT(_xlpm.perc,"0.0%"),")")),"-"))</f>
        <v>-</v>
      </c>
      <c r="I154" s="65" t="str" cm="1">
        <f t="array" ref="I154">_xlfn.LET(_xlpm.denom,I151,_xlpm.calc,IFERROR(ROWS(_xlfn.UNIQUE(_xlfn._xlws.FILTER(ID_Period_End,(Period_End &gt;= I$4) * (Period_End &lt;= I$5) * (IFERROR(SEARCH(I$1, Key_Gps),0)&gt;0) * (rpv_per_pp_less_prems &gt; 0)))),0),_xlpm.perc,_xlpm.calc/_xlpm.denom,IFERROR(IF(_xlpm.calc&lt;1000,_xlfn.CONCAT(_xlpm.calc," (",TEXT(_xlpm.perc,"0.0%"),")"),_xlfn.CONCAT(TEXT(_xlpm.calc,"0,000")," (",TEXT(_xlpm.perc,"0.0%"),")")),"-"))</f>
        <v>-</v>
      </c>
      <c r="J154" s="65" t="str" cm="1">
        <f t="array" ref="J154">_xlfn.LET(_xlpm.denom,J151,_xlpm.calc,IFERROR(ROWS(_xlfn.UNIQUE(_xlfn._xlws.FILTER(ID_Period_End,(Period_End &gt;= J$4) * (Period_End &lt;= J$5) * (IFERROR(SEARCH(J$1, Key_Gps),0)&gt;0) * (rpv_per_pp_less_prems &gt; 0)))),0),_xlpm.perc,_xlpm.calc/_xlpm.denom,IFERROR(IF(_xlpm.calc&lt;1000,_xlfn.CONCAT(_xlpm.calc," (",TEXT(_xlpm.perc,"0.0%"),")"),_xlfn.CONCAT(TEXT(_xlpm.calc,"0,000")," (",TEXT(_xlpm.perc,"0.0%"),")")),"-"))</f>
        <v>-</v>
      </c>
      <c r="K154" s="65" t="str" cm="1">
        <f t="array" ref="K154">_xlfn.LET(_xlpm.denom,K151,_xlpm.calc,IFERROR(ROWS(_xlfn.UNIQUE(_xlfn._xlws.FILTER(ID_Period_End,(Period_End &gt;= K$4) * (Period_End &lt;= K$5) * (IFERROR(SEARCH(K$1, Key_Gps),0)&gt;0) * (rpv_per_pp_less_prems &gt; 0)))),0),_xlpm.perc,_xlpm.calc/_xlpm.denom,IFERROR(IF(_xlpm.calc&lt;1000,_xlfn.CONCAT(_xlpm.calc," (",TEXT(_xlpm.perc,"0.0%"),")"),_xlfn.CONCAT(TEXT(_xlpm.calc,"0,000")," (",TEXT(_xlpm.perc,"0.0%"),")")),"-"))</f>
        <v>-</v>
      </c>
      <c r="L154" s="65" t="str" cm="1">
        <f t="array" ref="L154">_xlfn.LET(_xlpm.denom,L151,_xlpm.calc,IFERROR(ROWS(_xlfn.UNIQUE(_xlfn._xlws.FILTER(ID_Period_End,(Period_End &gt;= L$4) * (Period_End &lt;= L$5) * (IFERROR(SEARCH(L$1, Key_Gps),0)&gt;0) * (rpv_per_pp_less_prems &gt; 0)))),0),_xlpm.perc,_xlpm.calc/_xlpm.denom,IFERROR(IF(_xlpm.calc&lt;1000,_xlfn.CONCAT(_xlpm.calc," (",TEXT(_xlpm.perc,"0.0%"),")"),_xlfn.CONCAT(TEXT(_xlpm.calc,"0,000")," (",TEXT(_xlpm.perc,"0.0%"),")")),"-"))</f>
        <v>-</v>
      </c>
      <c r="M154" s="155" t="str" cm="1">
        <f t="array" ref="M154">_xlfn.LET(_xlpm.denom,M151,_xlpm.calc,IFERROR(ROWS(_xlfn.UNIQUE(_xlfn._xlws.FILTER(ID_Period_End,(Period_End &gt;= M$4) * (Period_End &lt;= M$5) * (IFERROR(SEARCH(M$1, Key_Gps),0)&gt;0) * (rpv_per_pp_less_prems &gt; 0)))),0),_xlpm.perc,_xlpm.calc/_xlpm.denom,IFERROR(IF(_xlpm.calc&lt;1000,_xlfn.CONCAT(_xlpm.calc," (",TEXT(_xlpm.perc,"0.0%"),")"),_xlfn.CONCAT(TEXT(_xlpm.calc,"0,000")," (",TEXT(_xlpm.perc,"0.0%"),")")),"-"))</f>
        <v>-</v>
      </c>
      <c r="N154" s="53" t="s">
        <v>80</v>
      </c>
      <c r="O154" s="278" t="s">
        <v>583</v>
      </c>
      <c r="P154" s="42"/>
      <c r="Q154" s="75" t="str">
        <f t="shared" si="110"/>
        <v/>
      </c>
      <c r="R154" s="76" t="e">
        <f t="shared" si="111"/>
        <v>#VALUE!</v>
      </c>
      <c r="S154" s="64">
        <f t="shared" si="47"/>
        <v>1</v>
      </c>
      <c r="T154" s="42" t="str">
        <f t="shared" ca="1" si="112"/>
        <v>-</v>
      </c>
      <c r="U154" s="42" t="str">
        <f t="shared" si="113"/>
        <v>-</v>
      </c>
      <c r="V154" s="42" t="str">
        <f t="shared" si="114"/>
        <v>-</v>
      </c>
      <c r="W154" s="42" t="str">
        <f t="shared" si="115"/>
        <v>-</v>
      </c>
      <c r="X154" s="42" t="str">
        <f t="shared" si="116"/>
        <v>-</v>
      </c>
      <c r="Y154" s="42" t="str">
        <f t="shared" si="117"/>
        <v>-</v>
      </c>
      <c r="Z154" s="42" t="str">
        <f t="shared" si="118"/>
        <v>-</v>
      </c>
      <c r="AA154" s="42" t="str">
        <f t="shared" si="119"/>
        <v>-</v>
      </c>
      <c r="AB154" s="42" t="str">
        <f t="shared" si="120"/>
        <v>-</v>
      </c>
      <c r="AC154" s="42" t="str">
        <f t="shared" si="121"/>
        <v>-</v>
      </c>
    </row>
    <row r="155" spans="1:29" ht="28.8" outlineLevel="1" x14ac:dyDescent="0.25">
      <c r="A155" s="42" t="s">
        <v>13</v>
      </c>
      <c r="B155" s="315"/>
      <c r="C155" s="49" t="s">
        <v>17</v>
      </c>
      <c r="D155" s="195">
        <f t="shared" ref="D155:K155" si="123">_xlfn.LET(_xlpm.calc,_xlfn.XLOOKUP($C155,$C:$C,D:D),IF(IFERROR(SEARCH(" ",_xlpm.calc),0)&gt;0,IFERROR(VALUE(LEFT(_xlpm.calc,SEARCH(" ",_xlpm.calc))),"-"),IFERROR(_xlpm.calc,"-")))</f>
        <v>0</v>
      </c>
      <c r="E155" s="65">
        <f t="shared" si="123"/>
        <v>0</v>
      </c>
      <c r="F155" s="65">
        <f t="shared" si="123"/>
        <v>0</v>
      </c>
      <c r="G155" s="65">
        <f t="shared" si="123"/>
        <v>0</v>
      </c>
      <c r="H155" s="65">
        <f t="shared" si="123"/>
        <v>0</v>
      </c>
      <c r="I155" s="65">
        <f t="shared" si="123"/>
        <v>0</v>
      </c>
      <c r="J155" s="65">
        <f t="shared" si="123"/>
        <v>0</v>
      </c>
      <c r="K155" s="65">
        <f t="shared" si="123"/>
        <v>0</v>
      </c>
      <c r="L155" s="65">
        <f>_xlfn.LET(_xlpm.calc,_xlfn.XLOOKUP($C155,$C:$C,L:L),IF(IFERROR(SEARCH(" ",_xlpm.calc),0)&gt;0,IFERROR(VALUE(LEFT(_xlpm.calc,SEARCH(" ",_xlpm.calc))),"-"),IFERROR(_xlpm.calc,"-")))</f>
        <v>0</v>
      </c>
      <c r="M155" s="155">
        <f>_xlfn.LET(_xlpm.calc,_xlfn.XLOOKUP($C155,$C:$C,M:M),IF(IFERROR(SEARCH(" ",_xlpm.calc),0)&gt;0,IFERROR(VALUE(LEFT(_xlpm.calc,SEARCH(" ",_xlpm.calc))),"-"),IFERROR(_xlpm.calc,"-")))</f>
        <v>0</v>
      </c>
      <c r="N155" s="53"/>
      <c r="O155" s="74"/>
      <c r="Q155" s="75" t="str">
        <f t="shared" si="110"/>
        <v/>
      </c>
      <c r="R155" s="76" t="str">
        <f t="shared" si="111"/>
        <v/>
      </c>
      <c r="S155" s="64" t="str">
        <f t="shared" si="47"/>
        <v/>
      </c>
      <c r="T155" s="42" t="str">
        <f t="shared" si="112"/>
        <v/>
      </c>
      <c r="U155" s="42" t="str">
        <f t="shared" si="113"/>
        <v/>
      </c>
      <c r="V155" s="42" t="str">
        <f t="shared" si="114"/>
        <v/>
      </c>
      <c r="W155" s="42" t="str">
        <f t="shared" si="115"/>
        <v/>
      </c>
      <c r="X155" s="42" t="str">
        <f t="shared" si="116"/>
        <v/>
      </c>
      <c r="Y155" s="42" t="str">
        <f t="shared" si="117"/>
        <v/>
      </c>
      <c r="Z155" s="42" t="str">
        <f t="shared" si="118"/>
        <v/>
      </c>
      <c r="AA155" s="42" t="str">
        <f t="shared" si="119"/>
        <v/>
      </c>
      <c r="AB155" s="42" t="str">
        <f t="shared" si="120"/>
        <v/>
      </c>
      <c r="AC155" s="42" t="str">
        <f t="shared" si="121"/>
        <v/>
      </c>
    </row>
    <row r="156" spans="1:29" s="41" customFormat="1" ht="28.8" outlineLevel="1" x14ac:dyDescent="0.25">
      <c r="A156" s="42" t="s">
        <v>13</v>
      </c>
      <c r="B156" s="315"/>
      <c r="C156" s="49" t="s">
        <v>181</v>
      </c>
      <c r="D156" s="195" t="str">
        <f>_xlfn.LET(_xlpm.denom,D$155,_xlpm.calc,ROUND($Q156*_xlpm.denom,0),_xlpm.perc,_xlpm.calc/_xlpm.denom,IFERROR(IF(_xlpm.calc&lt;1000,_xlfn.CONCAT(_xlpm.calc," (",TEXT(_xlpm.perc,"0.0%"),")"),_xlfn.CONCAT(TEXT(_xlpm.calc,"0,000")," (",TEXT(_xlpm.perc,"0.0%"),")")),"-"))</f>
        <v>-</v>
      </c>
      <c r="E156" s="65" t="str" cm="1">
        <f t="array" ref="E156">_xlfn.LET(_xlpm.denom,E$155,_xlpm.calc,IFERROR(ROWS(_xlfn.UNIQUE(_xlfn._xlws.FILTER(ID,(Period_End &gt;= E$4) * (Period_End &lt;= E$5) * (IFERROR(SEARCH(E$1, Key_Gps),0)&gt;0) * (shift_hrs &gt; 3.5)))),0),_xlpm.perc,_xlpm.calc/_xlpm.denom,IFERROR(IF(_xlpm.calc&lt;1000,_xlfn.CONCAT(_xlpm.calc," (",TEXT(_xlpm.perc,"0.0%"),")"),_xlfn.CONCAT(TEXT(_xlpm.calc,"0,000")," (",TEXT(_xlpm.perc,"0.0%"),")")),"-"))</f>
        <v>-</v>
      </c>
      <c r="F156" s="65" t="str" cm="1">
        <f t="array" ref="F156">_xlfn.LET(_xlpm.denom,F$155,_xlpm.calc,IFERROR(ROWS(_xlfn.UNIQUE(_xlfn._xlws.FILTER(ID,(Period_End &gt;= F$4) * (Period_End &lt;= F$5) * (IFERROR(SEARCH(F$1, Key_Gps),0)&gt;0) * (shift_hrs &gt; 3.5)))),0),_xlpm.perc,_xlpm.calc/_xlpm.denom,IFERROR(IF(_xlpm.calc&lt;1000,_xlfn.CONCAT(_xlpm.calc," (",TEXT(_xlpm.perc,"0.0%"),")"),_xlfn.CONCAT(TEXT(_xlpm.calc,"0,000")," (",TEXT(_xlpm.perc,"0.0%"),")")),"-"))</f>
        <v>-</v>
      </c>
      <c r="G156" s="65" t="str" cm="1">
        <f t="array" ref="G156">_xlfn.LET(_xlpm.denom,G$155,_xlpm.calc,IFERROR(ROWS(_xlfn.UNIQUE(_xlfn._xlws.FILTER(ID,(Period_End &gt;= G$4) * (Period_End &lt;= G$5) * (IFERROR(SEARCH(G$1, Key_Gps),0)&gt;0) * (shift_hrs &gt; 3.5)))),0),_xlpm.perc,_xlpm.calc/_xlpm.denom,IFERROR(IF(_xlpm.calc&lt;1000,_xlfn.CONCAT(_xlpm.calc," (",TEXT(_xlpm.perc,"0.0%"),")"),_xlfn.CONCAT(TEXT(_xlpm.calc,"0,000")," (",TEXT(_xlpm.perc,"0.0%"),")")),"-"))</f>
        <v>-</v>
      </c>
      <c r="H156" s="65" t="str" cm="1">
        <f t="array" ref="H156">_xlfn.LET(_xlpm.denom,H$155,_xlpm.calc,IFERROR(ROWS(_xlfn.UNIQUE(_xlfn._xlws.FILTER(ID,(Period_End &gt;= H$4) * (Period_End &lt;= H$5) * (IFERROR(SEARCH(H$1, Key_Gps),0)&gt;0) * (shift_hrs &gt; 3.5)))),0),_xlpm.perc,_xlpm.calc/_xlpm.denom,IFERROR(IF(_xlpm.calc&lt;1000,_xlfn.CONCAT(_xlpm.calc," (",TEXT(_xlpm.perc,"0.0%"),")"),_xlfn.CONCAT(TEXT(_xlpm.calc,"0,000")," (",TEXT(_xlpm.perc,"0.0%"),")")),"-"))</f>
        <v>-</v>
      </c>
      <c r="I156" s="65" t="str" cm="1">
        <f t="array" ref="I156">_xlfn.LET(_xlpm.denom,I$155,_xlpm.calc,IFERROR(ROWS(_xlfn.UNIQUE(_xlfn._xlws.FILTER(ID,(Period_End &gt;= I$4) * (Period_End &lt;= I$5) * (IFERROR(SEARCH(I$1, Key_Gps),0)&gt;0) * (shift_hrs &gt; 3.5)))),0),_xlpm.perc,_xlpm.calc/_xlpm.denom,IFERROR(IF(_xlpm.calc&lt;1000,_xlfn.CONCAT(_xlpm.calc," (",TEXT(_xlpm.perc,"0.0%"),")"),_xlfn.CONCAT(TEXT(_xlpm.calc,"0,000")," (",TEXT(_xlpm.perc,"0.0%"),")")),"-"))</f>
        <v>-</v>
      </c>
      <c r="J156" s="65" t="str" cm="1">
        <f t="array" ref="J156">_xlfn.LET(_xlpm.denom,J$155,_xlpm.calc,IFERROR(ROWS(_xlfn.UNIQUE(_xlfn._xlws.FILTER(ID,(Period_End &gt;= J$4) * (Period_End &lt;= J$5) * (IFERROR(SEARCH(J$1, Key_Gps),0)&gt;0) * (shift_hrs &gt; 3.5)))),0),_xlpm.perc,_xlpm.calc/_xlpm.denom,IFERROR(IF(_xlpm.calc&lt;1000,_xlfn.CONCAT(_xlpm.calc," (",TEXT(_xlpm.perc,"0.0%"),")"),_xlfn.CONCAT(TEXT(_xlpm.calc,"0,000")," (",TEXT(_xlpm.perc,"0.0%"),")")),"-"))</f>
        <v>-</v>
      </c>
      <c r="K156" s="65" t="str" cm="1">
        <f t="array" ref="K156">_xlfn.LET(_xlpm.denom,K$155,_xlpm.calc,IFERROR(ROWS(_xlfn.UNIQUE(_xlfn._xlws.FILTER(ID,(Period_End &gt;= K$4) * (Period_End &lt;= K$5) * (IFERROR(SEARCH(K$1, Key_Gps),0)&gt;0) * (shift_hrs &gt; 3.5)))),0),_xlpm.perc,_xlpm.calc/_xlpm.denom,IFERROR(IF(_xlpm.calc&lt;1000,_xlfn.CONCAT(_xlpm.calc," (",TEXT(_xlpm.perc,"0.0%"),")"),_xlfn.CONCAT(TEXT(_xlpm.calc,"0,000")," (",TEXT(_xlpm.perc,"0.0%"),")")),"-"))</f>
        <v>-</v>
      </c>
      <c r="L156" s="65" t="str" cm="1">
        <f t="array" ref="L156">_xlfn.LET(_xlpm.denom,L$155,_xlpm.calc,IFERROR(ROWS(_xlfn.UNIQUE(_xlfn._xlws.FILTER(ID,(Period_End &gt;= L$4) * (Period_End &lt;= L$5) * (IFERROR(SEARCH(L$1, Key_Gps),0)&gt;0) * (shift_hrs &gt; 3.5)))),0),_xlpm.perc,_xlpm.calc/_xlpm.denom,IFERROR(IF(_xlpm.calc&lt;1000,_xlfn.CONCAT(_xlpm.calc," (",TEXT(_xlpm.perc,"0.0%"),")"),_xlfn.CONCAT(TEXT(_xlpm.calc,"0,000")," (",TEXT(_xlpm.perc,"0.0%"),")")),"-"))</f>
        <v>-</v>
      </c>
      <c r="M156" s="155" t="str" cm="1">
        <f t="array" ref="M156">_xlfn.LET(_xlpm.denom,M$155,_xlpm.calc,IFERROR(ROWS(_xlfn.UNIQUE(_xlfn._xlws.FILTER(ID,(Period_End &gt;= M$4) * (Period_End &lt;= M$5) * (IFERROR(SEARCH(M$1, Key_Gps),0)&gt;0) * (shift_hrs &gt; 3.5)))),0),_xlpm.perc,_xlpm.calc/_xlpm.denom,IFERROR(IF(_xlpm.calc&lt;1000,_xlfn.CONCAT(_xlpm.calc," (",TEXT(_xlpm.perc,"0.0%"),")"),_xlfn.CONCAT(TEXT(_xlpm.calc,"0,000")," (",TEXT(_xlpm.perc,"0.0%"),")")),"-"))</f>
        <v>-</v>
      </c>
      <c r="N156" s="53" t="s">
        <v>128</v>
      </c>
      <c r="O156" s="74"/>
      <c r="P156" s="42"/>
      <c r="Q156" s="75" t="str">
        <f t="shared" si="110"/>
        <v/>
      </c>
      <c r="R156" s="76" t="str">
        <f t="shared" si="111"/>
        <v/>
      </c>
      <c r="S156" s="64" t="str">
        <f t="shared" si="47"/>
        <v/>
      </c>
      <c r="T156" s="42" t="str">
        <f t="shared" si="112"/>
        <v/>
      </c>
      <c r="U156" s="42" t="str">
        <f t="shared" si="113"/>
        <v/>
      </c>
      <c r="V156" s="42" t="str">
        <f t="shared" si="114"/>
        <v/>
      </c>
      <c r="W156" s="42" t="str">
        <f t="shared" si="115"/>
        <v/>
      </c>
      <c r="X156" s="42" t="str">
        <f t="shared" si="116"/>
        <v/>
      </c>
      <c r="Y156" s="42" t="str">
        <f t="shared" si="117"/>
        <v/>
      </c>
      <c r="Z156" s="42" t="str">
        <f t="shared" si="118"/>
        <v/>
      </c>
      <c r="AA156" s="42" t="str">
        <f t="shared" si="119"/>
        <v/>
      </c>
      <c r="AB156" s="42" t="str">
        <f t="shared" si="120"/>
        <v/>
      </c>
      <c r="AC156" s="42" t="str">
        <f t="shared" si="121"/>
        <v/>
      </c>
    </row>
    <row r="157" spans="1:29" s="41" customFormat="1" ht="28.8" outlineLevel="1" x14ac:dyDescent="0.25">
      <c r="A157" s="42" t="s">
        <v>13</v>
      </c>
      <c r="B157" s="315"/>
      <c r="C157" s="49" t="s">
        <v>563</v>
      </c>
      <c r="D157" s="195" t="str">
        <f>_xlfn.LET(_xlpm.denom,D$155,_xlpm.calc,ROUND($Q157*_xlpm.denom,0),_xlpm.perc,_xlpm.calc/_xlpm.denom,IFERROR(IF(_xlpm.calc&lt;1000,_xlfn.CONCAT(_xlpm.calc," (",TEXT(_xlpm.perc,"0.0%"),")"),_xlfn.CONCAT(TEXT(_xlpm.calc,"0,000")," (",TEXT(_xlpm.perc,"0.0%"),")")),"-"))</f>
        <v>-</v>
      </c>
      <c r="E157" s="65" t="str" cm="1">
        <f t="array" ref="E157">_xlfn.LET(_xlpm.denom,E$155,_xlpm.calc,IFERROR(ROWS(_xlfn.UNIQUE(_xlfn._xlws.FILTER(ID,(Period_End &gt;= E$4) * (Period_End &lt;= E$5) * (IFERROR(SEARCH(E$1, Key_Gps),0)&gt;0) * (rpv_shift &gt; 0)))),0),_xlpm.perc,_xlpm.calc/_xlpm.denom,IFERROR(IF(_xlpm.calc&lt;1000,_xlfn.CONCAT(_xlpm.calc," (",TEXT(_xlpm.perc,"0.0%"),")"),_xlfn.CONCAT(TEXT(_xlpm.calc,"0,000")," (",TEXT(_xlpm.perc,"0.0%"),")")),"-"))</f>
        <v>-</v>
      </c>
      <c r="F157" s="65" t="str" cm="1">
        <f t="array" ref="F157">_xlfn.LET(_xlpm.denom,F$155,_xlpm.calc,IFERROR(ROWS(_xlfn.UNIQUE(_xlfn._xlws.FILTER(ID,(Period_End &gt;= F$4) * (Period_End &lt;= F$5) * (IFERROR(SEARCH(F$1, Key_Gps),0)&gt;0) * (rpv_shift &gt; 0)))),0),_xlpm.perc,_xlpm.calc/_xlpm.denom,IFERROR(IF(_xlpm.calc&lt;1000,_xlfn.CONCAT(_xlpm.calc," (",TEXT(_xlpm.perc,"0.0%"),")"),_xlfn.CONCAT(TEXT(_xlpm.calc,"0,000")," (",TEXT(_xlpm.perc,"0.0%"),")")),"-"))</f>
        <v>-</v>
      </c>
      <c r="G157" s="65" t="str" cm="1">
        <f t="array" ref="G157">_xlfn.LET(_xlpm.denom,G$155,_xlpm.calc,IFERROR(ROWS(_xlfn.UNIQUE(_xlfn._xlws.FILTER(ID,(Period_End &gt;= G$4) * (Period_End &lt;= G$5) * (IFERROR(SEARCH(G$1, Key_Gps),0)&gt;0) * (rpv_shift &gt; 0)))),0),_xlpm.perc,_xlpm.calc/_xlpm.denom,IFERROR(IF(_xlpm.calc&lt;1000,_xlfn.CONCAT(_xlpm.calc," (",TEXT(_xlpm.perc,"0.0%"),")"),_xlfn.CONCAT(TEXT(_xlpm.calc,"0,000")," (",TEXT(_xlpm.perc,"0.0%"),")")),"-"))</f>
        <v>-</v>
      </c>
      <c r="H157" s="65" t="str" cm="1">
        <f t="array" ref="H157">_xlfn.LET(_xlpm.denom,H$155,_xlpm.calc,IFERROR(ROWS(_xlfn.UNIQUE(_xlfn._xlws.FILTER(ID,(Period_End &gt;= H$4) * (Period_End &lt;= H$5) * (IFERROR(SEARCH(H$1, Key_Gps),0)&gt;0) * (rpv_shift &gt; 0)))),0),_xlpm.perc,_xlpm.calc/_xlpm.denom,IFERROR(IF(_xlpm.calc&lt;1000,_xlfn.CONCAT(_xlpm.calc," (",TEXT(_xlpm.perc,"0.0%"),")"),_xlfn.CONCAT(TEXT(_xlpm.calc,"0,000")," (",TEXT(_xlpm.perc,"0.0%"),")")),"-"))</f>
        <v>-</v>
      </c>
      <c r="I157" s="65" t="str" cm="1">
        <f t="array" ref="I157">_xlfn.LET(_xlpm.denom,I$155,_xlpm.calc,IFERROR(ROWS(_xlfn.UNIQUE(_xlfn._xlws.FILTER(ID,(Period_End &gt;= I$4) * (Period_End &lt;= I$5) * (IFERROR(SEARCH(I$1, Key_Gps),0)&gt;0) * (rpv_shift &gt; 0)))),0),_xlpm.perc,_xlpm.calc/_xlpm.denom,IFERROR(IF(_xlpm.calc&lt;1000,_xlfn.CONCAT(_xlpm.calc," (",TEXT(_xlpm.perc,"0.0%"),")"),_xlfn.CONCAT(TEXT(_xlpm.calc,"0,000")," (",TEXT(_xlpm.perc,"0.0%"),")")),"-"))</f>
        <v>-</v>
      </c>
      <c r="J157" s="65" t="str" cm="1">
        <f t="array" ref="J157">_xlfn.LET(_xlpm.denom,J$155,_xlpm.calc,IFERROR(ROWS(_xlfn.UNIQUE(_xlfn._xlws.FILTER(ID,(Period_End &gt;= J$4) * (Period_End &lt;= J$5) * (IFERROR(SEARCH(J$1, Key_Gps),0)&gt;0) * (rpv_shift &gt; 0)))),0),_xlpm.perc,_xlpm.calc/_xlpm.denom,IFERROR(IF(_xlpm.calc&lt;1000,_xlfn.CONCAT(_xlpm.calc," (",TEXT(_xlpm.perc,"0.0%"),")"),_xlfn.CONCAT(TEXT(_xlpm.calc,"0,000")," (",TEXT(_xlpm.perc,"0.0%"),")")),"-"))</f>
        <v>-</v>
      </c>
      <c r="K157" s="65" t="str" cm="1">
        <f t="array" ref="K157">_xlfn.LET(_xlpm.denom,K$155,_xlpm.calc,IFERROR(ROWS(_xlfn.UNIQUE(_xlfn._xlws.FILTER(ID,(Period_End &gt;= K$4) * (Period_End &lt;= K$5) * (IFERROR(SEARCH(K$1, Key_Gps),0)&gt;0) * (rpv_shift &gt; 0)))),0),_xlpm.perc,_xlpm.calc/_xlpm.denom,IFERROR(IF(_xlpm.calc&lt;1000,_xlfn.CONCAT(_xlpm.calc," (",TEXT(_xlpm.perc,"0.0%"),")"),_xlfn.CONCAT(TEXT(_xlpm.calc,"0,000")," (",TEXT(_xlpm.perc,"0.0%"),")")),"-"))</f>
        <v>-</v>
      </c>
      <c r="L157" s="65" t="str" cm="1">
        <f t="array" ref="L157">_xlfn.LET(_xlpm.denom,L$155,_xlpm.calc,IFERROR(ROWS(_xlfn.UNIQUE(_xlfn._xlws.FILTER(ID,(Period_End &gt;= L$4) * (Period_End &lt;= L$5) * (IFERROR(SEARCH(L$1, Key_Gps),0)&gt;0) * (rpv_shift &gt; 0)))),0),_xlpm.perc,_xlpm.calc/_xlpm.denom,IFERROR(IF(_xlpm.calc&lt;1000,_xlfn.CONCAT(_xlpm.calc," (",TEXT(_xlpm.perc,"0.0%"),")"),_xlfn.CONCAT(TEXT(_xlpm.calc,"0,000")," (",TEXT(_xlpm.perc,"0.0%"),")")),"-"))</f>
        <v>-</v>
      </c>
      <c r="M157" s="155" t="str" cm="1">
        <f t="array" ref="M157">_xlfn.LET(_xlpm.denom,M$155,_xlpm.calc,IFERROR(ROWS(_xlfn.UNIQUE(_xlfn._xlws.FILTER(ID,(Period_End &gt;= M$4) * (Period_End &lt;= M$5) * (IFERROR(SEARCH(M$1, Key_Gps),0)&gt;0) * (rpv_shift &gt; 0)))),0),_xlpm.perc,_xlpm.calc/_xlpm.denom,IFERROR(IF(_xlpm.calc&lt;1000,_xlfn.CONCAT(_xlpm.calc," (",TEXT(_xlpm.perc,"0.0%"),")"),_xlfn.CONCAT(TEXT(_xlpm.calc,"0,000")," (",TEXT(_xlpm.perc,"0.0%"),")")),"-"))</f>
        <v>-</v>
      </c>
      <c r="N157" s="53" t="s">
        <v>128</v>
      </c>
      <c r="O157" s="74"/>
      <c r="P157" s="42"/>
      <c r="Q157" s="75" t="str">
        <f t="shared" si="110"/>
        <v/>
      </c>
      <c r="R157" s="76" t="str">
        <f t="shared" si="111"/>
        <v/>
      </c>
      <c r="S157" s="64" t="str">
        <f t="shared" si="47"/>
        <v/>
      </c>
      <c r="T157" s="42" t="str">
        <f t="shared" si="112"/>
        <v/>
      </c>
      <c r="U157" s="42" t="str">
        <f t="shared" si="113"/>
        <v/>
      </c>
      <c r="V157" s="42" t="str">
        <f t="shared" si="114"/>
        <v/>
      </c>
      <c r="W157" s="42" t="str">
        <f t="shared" si="115"/>
        <v/>
      </c>
      <c r="X157" s="42" t="str">
        <f t="shared" si="116"/>
        <v/>
      </c>
      <c r="Y157" s="42" t="str">
        <f t="shared" si="117"/>
        <v/>
      </c>
      <c r="Z157" s="42" t="str">
        <f t="shared" si="118"/>
        <v/>
      </c>
      <c r="AA157" s="42" t="str">
        <f t="shared" si="119"/>
        <v/>
      </c>
      <c r="AB157" s="42" t="str">
        <f t="shared" si="120"/>
        <v/>
      </c>
      <c r="AC157" s="42" t="str">
        <f t="shared" si="121"/>
        <v/>
      </c>
    </row>
    <row r="158" spans="1:29" s="41" customFormat="1" x14ac:dyDescent="0.25">
      <c r="A158" s="42">
        <v>1</v>
      </c>
      <c r="B158" s="179"/>
      <c r="C158" s="58"/>
      <c r="D158" s="202"/>
      <c r="E158" s="58"/>
      <c r="F158" s="58"/>
      <c r="G158" s="58"/>
      <c r="H158" s="58"/>
      <c r="I158" s="58"/>
      <c r="J158" s="58"/>
      <c r="K158" s="58"/>
      <c r="L158" s="58"/>
      <c r="M158" s="169"/>
      <c r="N158" s="58"/>
      <c r="O158" s="74"/>
      <c r="P158" s="42"/>
      <c r="Q158" s="75" t="str">
        <f t="shared" si="110"/>
        <v/>
      </c>
      <c r="R158" s="76" t="str">
        <f t="shared" si="111"/>
        <v/>
      </c>
      <c r="S158" s="64" t="str">
        <f t="shared" si="47"/>
        <v/>
      </c>
      <c r="T158" s="42" t="str">
        <f t="shared" si="112"/>
        <v/>
      </c>
      <c r="U158" s="42" t="str">
        <f t="shared" si="113"/>
        <v/>
      </c>
      <c r="V158" s="42" t="str">
        <f t="shared" si="114"/>
        <v/>
      </c>
      <c r="W158" s="42" t="str">
        <f t="shared" si="115"/>
        <v/>
      </c>
      <c r="X158" s="42" t="str">
        <f t="shared" si="116"/>
        <v/>
      </c>
      <c r="Y158" s="42" t="str">
        <f t="shared" si="117"/>
        <v/>
      </c>
      <c r="Z158" s="42" t="str">
        <f t="shared" si="118"/>
        <v/>
      </c>
      <c r="AA158" s="42" t="str">
        <f t="shared" si="119"/>
        <v/>
      </c>
      <c r="AB158" s="42" t="str">
        <f t="shared" si="120"/>
        <v/>
      </c>
      <c r="AC158" s="42" t="str">
        <f t="shared" si="121"/>
        <v/>
      </c>
    </row>
    <row r="159" spans="1:29" s="41" customFormat="1" ht="28.8" outlineLevel="1" x14ac:dyDescent="0.25">
      <c r="A159" s="42" t="s">
        <v>13</v>
      </c>
      <c r="B159" s="314" t="s">
        <v>126</v>
      </c>
      <c r="C159" s="51" t="s">
        <v>15</v>
      </c>
      <c r="D159" s="193">
        <f t="shared" ref="D159:K161" si="124">_xlfn.LET(_xlpm.calc,_xlfn.XLOOKUP($C159,$C:$C,D:D),IF(IFERROR(SEARCH(" ",_xlpm.calc),0)&gt;0,IFERROR(VALUE(LEFT(_xlpm.calc,SEARCH(" ",_xlpm.calc))),"-"),IFERROR(_xlpm.calc,"-")))</f>
        <v>43466</v>
      </c>
      <c r="E159" s="52" t="str">
        <f t="shared" si="124"/>
        <v>-</v>
      </c>
      <c r="F159" s="52" t="str">
        <f t="shared" si="124"/>
        <v>-</v>
      </c>
      <c r="G159" s="52" t="str">
        <f t="shared" si="124"/>
        <v>-</v>
      </c>
      <c r="H159" s="52" t="str">
        <f t="shared" si="124"/>
        <v>-</v>
      </c>
      <c r="I159" s="52" t="str">
        <f t="shared" si="124"/>
        <v>-</v>
      </c>
      <c r="J159" s="52" t="str">
        <f t="shared" si="124"/>
        <v>-</v>
      </c>
      <c r="K159" s="52" t="str">
        <f t="shared" si="124"/>
        <v>-</v>
      </c>
      <c r="L159" s="52" t="str">
        <f t="shared" ref="L159:M161" si="125">_xlfn.LET(_xlpm.calc,_xlfn.XLOOKUP($C159,$C:$C,L:L),IF(IFERROR(SEARCH(" ",_xlpm.calc),0)&gt;0,IFERROR(VALUE(LEFT(_xlpm.calc,SEARCH(" ",_xlpm.calc))),"-"),IFERROR(_xlpm.calc,"-")))</f>
        <v>-</v>
      </c>
      <c r="M159" s="154" t="str">
        <f t="shared" si="125"/>
        <v>-</v>
      </c>
      <c r="N159" s="53"/>
      <c r="O159" s="74"/>
      <c r="P159" s="42"/>
      <c r="Q159" s="75" t="str">
        <f t="shared" si="110"/>
        <v/>
      </c>
      <c r="R159" s="76" t="str">
        <f t="shared" si="111"/>
        <v/>
      </c>
      <c r="S159" s="64" t="str">
        <f t="shared" ref="S159:S267" si="126">IF($C159="","",IF(OR(IFERROR(SEARCH("min wage",LOWER($C159)),0)&gt;0, IFERROR(SEARCH(" per ",LOWER($C159)),0)&gt;0, IFERROR(SEARCH("penalt",LOWER($C159)),0)&gt;0,IFERROR(SEARCH("total",LOWER($C159)),0)&gt;0,IFERROR(SEARCH("interest",LOWER($C159)),0)&gt;0,IFERROR(SEARCH("date",LOWER($C159)),0)&gt;0,IFERROR(SEARCH("employee",LOWER($C159)),0)&gt;0,IFERROR(SEARCH("average",LOWER($C159)),0)&gt;0,IFERROR(SEARCH("median",LOWER($C159)),0)&gt;0),"",1))</f>
        <v/>
      </c>
      <c r="T159" s="42" t="str">
        <f t="shared" si="112"/>
        <v/>
      </c>
      <c r="U159" s="42" t="str">
        <f t="shared" si="113"/>
        <v/>
      </c>
      <c r="V159" s="42" t="str">
        <f t="shared" si="114"/>
        <v/>
      </c>
      <c r="W159" s="42" t="str">
        <f t="shared" si="115"/>
        <v/>
      </c>
      <c r="X159" s="42" t="str">
        <f t="shared" si="116"/>
        <v/>
      </c>
      <c r="Y159" s="42" t="str">
        <f t="shared" si="117"/>
        <v/>
      </c>
      <c r="Z159" s="42" t="str">
        <f t="shared" si="118"/>
        <v/>
      </c>
      <c r="AA159" s="42" t="str">
        <f t="shared" si="119"/>
        <v/>
      </c>
      <c r="AB159" s="42" t="str">
        <f t="shared" si="120"/>
        <v/>
      </c>
      <c r="AC159" s="42" t="str">
        <f t="shared" si="121"/>
        <v/>
      </c>
    </row>
    <row r="160" spans="1:29" s="41" customFormat="1" ht="28.8" outlineLevel="1" x14ac:dyDescent="0.25">
      <c r="A160" s="42" t="s">
        <v>13</v>
      </c>
      <c r="B160" s="314"/>
      <c r="C160" s="51" t="s">
        <v>16</v>
      </c>
      <c r="D160" s="193">
        <f t="shared" ca="1" si="124"/>
        <v>46083</v>
      </c>
      <c r="E160" s="52" t="str">
        <f t="shared" si="124"/>
        <v>-</v>
      </c>
      <c r="F160" s="52" t="str">
        <f t="shared" si="124"/>
        <v>-</v>
      </c>
      <c r="G160" s="52" t="str">
        <f t="shared" si="124"/>
        <v>-</v>
      </c>
      <c r="H160" s="52" t="str">
        <f t="shared" si="124"/>
        <v>-</v>
      </c>
      <c r="I160" s="52" t="str">
        <f t="shared" si="124"/>
        <v>-</v>
      </c>
      <c r="J160" s="52" t="str">
        <f t="shared" si="124"/>
        <v>-</v>
      </c>
      <c r="K160" s="52" t="str">
        <f t="shared" si="124"/>
        <v>-</v>
      </c>
      <c r="L160" s="52" t="str">
        <f t="shared" si="125"/>
        <v>-</v>
      </c>
      <c r="M160" s="154" t="str">
        <f t="shared" si="125"/>
        <v>-</v>
      </c>
      <c r="N160" s="53"/>
      <c r="O160" s="74"/>
      <c r="P160" s="42"/>
      <c r="Q160" s="75" t="str">
        <f t="shared" si="110"/>
        <v/>
      </c>
      <c r="R160" s="76" t="str">
        <f t="shared" si="111"/>
        <v/>
      </c>
      <c r="S160" s="64" t="str">
        <f t="shared" si="126"/>
        <v/>
      </c>
      <c r="T160" s="42" t="str">
        <f t="shared" si="112"/>
        <v/>
      </c>
      <c r="U160" s="42" t="str">
        <f t="shared" si="113"/>
        <v/>
      </c>
      <c r="V160" s="42" t="str">
        <f t="shared" si="114"/>
        <v/>
      </c>
      <c r="W160" s="42" t="str">
        <f t="shared" si="115"/>
        <v/>
      </c>
      <c r="X160" s="42" t="str">
        <f t="shared" si="116"/>
        <v/>
      </c>
      <c r="Y160" s="42" t="str">
        <f t="shared" si="117"/>
        <v/>
      </c>
      <c r="Z160" s="42" t="str">
        <f t="shared" si="118"/>
        <v/>
      </c>
      <c r="AA160" s="42" t="str">
        <f t="shared" si="119"/>
        <v/>
      </c>
      <c r="AB160" s="42" t="str">
        <f t="shared" si="120"/>
        <v/>
      </c>
      <c r="AC160" s="42" t="str">
        <f t="shared" si="121"/>
        <v/>
      </c>
    </row>
    <row r="161" spans="1:29" s="41" customFormat="1" ht="28.8" outlineLevel="1" x14ac:dyDescent="0.25">
      <c r="A161" s="42" t="s">
        <v>13</v>
      </c>
      <c r="B161" s="314"/>
      <c r="C161" s="49" t="s">
        <v>17</v>
      </c>
      <c r="D161" s="195">
        <f t="shared" si="124"/>
        <v>0</v>
      </c>
      <c r="E161" s="65">
        <f t="shared" si="124"/>
        <v>0</v>
      </c>
      <c r="F161" s="65">
        <f t="shared" si="124"/>
        <v>0</v>
      </c>
      <c r="G161" s="65">
        <f t="shared" si="124"/>
        <v>0</v>
      </c>
      <c r="H161" s="65">
        <f t="shared" si="124"/>
        <v>0</v>
      </c>
      <c r="I161" s="65">
        <f t="shared" si="124"/>
        <v>0</v>
      </c>
      <c r="J161" s="65">
        <f t="shared" si="124"/>
        <v>0</v>
      </c>
      <c r="K161" s="65">
        <f t="shared" si="124"/>
        <v>0</v>
      </c>
      <c r="L161" s="65">
        <f t="shared" si="125"/>
        <v>0</v>
      </c>
      <c r="M161" s="155">
        <f t="shared" si="125"/>
        <v>0</v>
      </c>
      <c r="N161" s="95"/>
      <c r="O161" s="74"/>
      <c r="P161" s="42"/>
      <c r="Q161" s="75" t="str">
        <f t="shared" si="110"/>
        <v/>
      </c>
      <c r="R161" s="76" t="str">
        <f t="shared" si="111"/>
        <v/>
      </c>
      <c r="S161" s="64" t="str">
        <f t="shared" si="126"/>
        <v/>
      </c>
      <c r="T161" s="42" t="str">
        <f t="shared" si="112"/>
        <v/>
      </c>
      <c r="U161" s="42" t="str">
        <f t="shared" si="113"/>
        <v/>
      </c>
      <c r="V161" s="42" t="str">
        <f t="shared" si="114"/>
        <v/>
      </c>
      <c r="W161" s="42" t="str">
        <f t="shared" si="115"/>
        <v/>
      </c>
      <c r="X161" s="42" t="str">
        <f t="shared" si="116"/>
        <v/>
      </c>
      <c r="Y161" s="42" t="str">
        <f t="shared" si="117"/>
        <v/>
      </c>
      <c r="Z161" s="42" t="str">
        <f t="shared" si="118"/>
        <v/>
      </c>
      <c r="AA161" s="42" t="str">
        <f t="shared" si="119"/>
        <v/>
      </c>
      <c r="AB161" s="42" t="str">
        <f t="shared" si="120"/>
        <v/>
      </c>
      <c r="AC161" s="42" t="str">
        <f t="shared" si="121"/>
        <v/>
      </c>
    </row>
    <row r="162" spans="1:29" s="41" customFormat="1" ht="28.8" outlineLevel="1" x14ac:dyDescent="0.25">
      <c r="A162" s="42" t="s">
        <v>13</v>
      </c>
      <c r="B162" s="314"/>
      <c r="C162" s="49" t="s">
        <v>127</v>
      </c>
      <c r="D162" s="195" t="str">
        <f>_xlfn.LET(_xlpm.denom,D$161,_xlpm.calc,ROUND($Q162*_xlpm.denom,0),_xlpm.perc,_xlpm.calc/_xlpm.denom,IFERROR(IF(_xlpm.calc&lt;1000,_xlfn.CONCAT(_xlpm.calc," (",TEXT(_xlpm.perc,"0.0%"),")"),_xlfn.CONCAT(TEXT(_xlpm.calc,"0,000")," (",TEXT(_xlpm.perc,"0.0%"),")")),"-"))</f>
        <v>-</v>
      </c>
      <c r="E162" s="65" t="str" cm="1">
        <f t="array" ref="E162">_xlfn.LET(_xlpm.denom,E$161,_xlpm.calc,IFERROR(ROWS(_xlfn.UNIQUE(_xlfn._xlws.FILTER(ID,(Date &gt;= E$4) * (Date &lt;= E$5) * (IFERROR(SEARCH(E$1, Key_Gps),0)&gt;0) * (diff &lt; 0) ))),0),_xlpm.perc,_xlpm.calc/_xlpm.denom,IFERROR(IF(_xlpm.calc&lt;1000,_xlfn.CONCAT(_xlpm.calc," (",TEXT(_xlpm.perc,"0.0%"),")"),_xlfn.CONCAT(TEXT(_xlpm.calc,"0,000")," (",TEXT(_xlpm.perc,"0.0%"),")")),"-"))</f>
        <v>-</v>
      </c>
      <c r="F162" s="65" t="str" cm="1">
        <f t="array" ref="F162">_xlfn.LET(_xlpm.denom,F$161,_xlpm.calc,IFERROR(ROWS(_xlfn.UNIQUE(_xlfn._xlws.FILTER(ID,(Date &gt;= F$4) * (Date &lt;= F$5) * (IFERROR(SEARCH(F$1, Key_Gps),0)&gt;0) * (diff &lt; 0) ))),0),_xlpm.perc,_xlpm.calc/_xlpm.denom,IFERROR(IF(_xlpm.calc&lt;1000,_xlfn.CONCAT(_xlpm.calc," (",TEXT(_xlpm.perc,"0.0%"),")"),_xlfn.CONCAT(TEXT(_xlpm.calc,"0,000")," (",TEXT(_xlpm.perc,"0.0%"),")")),"-"))</f>
        <v>-</v>
      </c>
      <c r="G162" s="65" t="str" cm="1">
        <f t="array" ref="G162">_xlfn.LET(_xlpm.denom,G$161,_xlpm.calc,IFERROR(ROWS(_xlfn.UNIQUE(_xlfn._xlws.FILTER(ID,(Date &gt;= G$4) * (Date &lt;= G$5) * (IFERROR(SEARCH(G$1, Key_Gps),0)&gt;0) * (diff &lt; 0) ))),0),_xlpm.perc,_xlpm.calc/_xlpm.denom,IFERROR(IF(_xlpm.calc&lt;1000,_xlfn.CONCAT(_xlpm.calc," (",TEXT(_xlpm.perc,"0.0%"),")"),_xlfn.CONCAT(TEXT(_xlpm.calc,"0,000")," (",TEXT(_xlpm.perc,"0.0%"),")")),"-"))</f>
        <v>-</v>
      </c>
      <c r="H162" s="65" t="str" cm="1">
        <f t="array" ref="H162">_xlfn.LET(_xlpm.denom,H$161,_xlpm.calc,IFERROR(ROWS(_xlfn.UNIQUE(_xlfn._xlws.FILTER(ID,(Date &gt;= H$4) * (Date &lt;= H$5) * (IFERROR(SEARCH(H$1, Key_Gps),0)&gt;0) * (diff &lt; 0) ))),0),_xlpm.perc,_xlpm.calc/_xlpm.denom,IFERROR(IF(_xlpm.calc&lt;1000,_xlfn.CONCAT(_xlpm.calc," (",TEXT(_xlpm.perc,"0.0%"),")"),_xlfn.CONCAT(TEXT(_xlpm.calc,"0,000")," (",TEXT(_xlpm.perc,"0.0%"),")")),"-"))</f>
        <v>-</v>
      </c>
      <c r="I162" s="65" t="str" cm="1">
        <f t="array" ref="I162">_xlfn.LET(_xlpm.denom,I$161,_xlpm.calc,IFERROR(ROWS(_xlfn.UNIQUE(_xlfn._xlws.FILTER(ID,(Date &gt;= I$4) * (Date &lt;= I$5) * (IFERROR(SEARCH(I$1, Key_Gps),0)&gt;0) * (diff &lt; 0) ))),0),_xlpm.perc,_xlpm.calc/_xlpm.denom,IFERROR(IF(_xlpm.calc&lt;1000,_xlfn.CONCAT(_xlpm.calc," (",TEXT(_xlpm.perc,"0.0%"),")"),_xlfn.CONCAT(TEXT(_xlpm.calc,"0,000")," (",TEXT(_xlpm.perc,"0.0%"),")")),"-"))</f>
        <v>-</v>
      </c>
      <c r="J162" s="65" t="str" cm="1">
        <f t="array" ref="J162">_xlfn.LET(_xlpm.denom,J$161,_xlpm.calc,IFERROR(ROWS(_xlfn.UNIQUE(_xlfn._xlws.FILTER(ID,(Date &gt;= J$4) * (Date &lt;= J$5) * (IFERROR(SEARCH(J$1, Key_Gps),0)&gt;0) * (diff &lt; 0) ))),0),_xlpm.perc,_xlpm.calc/_xlpm.denom,IFERROR(IF(_xlpm.calc&lt;1000,_xlfn.CONCAT(_xlpm.calc," (",TEXT(_xlpm.perc,"0.0%"),")"),_xlfn.CONCAT(TEXT(_xlpm.calc,"0,000")," (",TEXT(_xlpm.perc,"0.0%"),")")),"-"))</f>
        <v>-</v>
      </c>
      <c r="K162" s="65" t="str" cm="1">
        <f t="array" ref="K162">_xlfn.LET(_xlpm.denom,K$161,_xlpm.calc,IFERROR(ROWS(_xlfn.UNIQUE(_xlfn._xlws.FILTER(ID,(Date &gt;= K$4) * (Date &lt;= K$5) * (IFERROR(SEARCH(K$1, Key_Gps),0)&gt;0) * (diff &lt; 0) ))),0),_xlpm.perc,_xlpm.calc/_xlpm.denom,IFERROR(IF(_xlpm.calc&lt;1000,_xlfn.CONCAT(_xlpm.calc," (",TEXT(_xlpm.perc,"0.0%"),")"),_xlfn.CONCAT(TEXT(_xlpm.calc,"0,000")," (",TEXT(_xlpm.perc,"0.0%"),")")),"-"))</f>
        <v>-</v>
      </c>
      <c r="L162" s="65" t="str" cm="1">
        <f t="array" ref="L162">_xlfn.LET(_xlpm.denom,L$161,_xlpm.calc,IFERROR(ROWS(_xlfn.UNIQUE(_xlfn._xlws.FILTER(ID,(Date &gt;= L$4) * (Date &lt;= L$5) * (IFERROR(SEARCH(L$1, Key_Gps),0)&gt;0) * (diff &lt; 0) ))),0),_xlpm.perc,_xlpm.calc/_xlpm.denom,IFERROR(IF(_xlpm.calc&lt;1000,_xlfn.CONCAT(_xlpm.calc," (",TEXT(_xlpm.perc,"0.0%"),")"),_xlfn.CONCAT(TEXT(_xlpm.calc,"0,000")," (",TEXT(_xlpm.perc,"0.0%"),")")),"-"))</f>
        <v>-</v>
      </c>
      <c r="M162" s="155" t="str" cm="1">
        <f t="array" ref="M162">_xlfn.LET(_xlpm.denom,M$161,_xlpm.calc,IFERROR(ROWS(_xlfn.UNIQUE(_xlfn._xlws.FILTER(ID,(Date &gt;= M$4) * (Date &lt;= M$5) * (IFERROR(SEARCH(M$1, Key_Gps),0)&gt;0) * (diff &lt; 0) ))),0),_xlpm.perc,_xlpm.calc/_xlpm.denom,IFERROR(IF(_xlpm.calc&lt;1000,_xlfn.CONCAT(_xlpm.calc," (",TEXT(_xlpm.perc,"0.0%"),")"),_xlfn.CONCAT(TEXT(_xlpm.calc,"0,000")," (",TEXT(_xlpm.perc,"0.0%"),")")),"-"))</f>
        <v>-</v>
      </c>
      <c r="N162" s="96" t="s">
        <v>128</v>
      </c>
      <c r="O162" s="74"/>
      <c r="P162" s="42"/>
      <c r="Q162" s="75" t="str">
        <f t="shared" si="110"/>
        <v/>
      </c>
      <c r="R162" s="76" t="str">
        <f t="shared" si="111"/>
        <v/>
      </c>
      <c r="S162" s="64" t="str">
        <f t="shared" si="126"/>
        <v/>
      </c>
      <c r="T162" s="42" t="str">
        <f t="shared" si="112"/>
        <v/>
      </c>
      <c r="U162" s="42" t="str">
        <f t="shared" si="113"/>
        <v/>
      </c>
      <c r="V162" s="42" t="str">
        <f t="shared" si="114"/>
        <v/>
      </c>
      <c r="W162" s="42" t="str">
        <f t="shared" si="115"/>
        <v/>
      </c>
      <c r="X162" s="42" t="str">
        <f t="shared" si="116"/>
        <v/>
      </c>
      <c r="Y162" s="42" t="str">
        <f t="shared" si="117"/>
        <v/>
      </c>
      <c r="Z162" s="42" t="str">
        <f t="shared" si="118"/>
        <v/>
      </c>
      <c r="AA162" s="42" t="str">
        <f t="shared" si="119"/>
        <v/>
      </c>
      <c r="AB162" s="42" t="str">
        <f t="shared" si="120"/>
        <v/>
      </c>
      <c r="AC162" s="42" t="str">
        <f t="shared" si="121"/>
        <v/>
      </c>
    </row>
    <row r="163" spans="1:29" s="41" customFormat="1" ht="28.8" outlineLevel="1" x14ac:dyDescent="0.25">
      <c r="A163" s="42" t="s">
        <v>13</v>
      </c>
      <c r="B163" s="314"/>
      <c r="C163" s="49" t="s">
        <v>129</v>
      </c>
      <c r="D163" s="195" t="str">
        <f>_xlfn.LET(_xlpm.denom,D$161,_xlpm.calc,ROUND($Q163*_xlpm.denom,0),_xlpm.perc,_xlpm.calc/_xlpm.denom,IFERROR(IF(_xlpm.calc&lt;1000,_xlfn.CONCAT(_xlpm.calc," (",TEXT(_xlpm.perc,"0.0%"),")"),_xlfn.CONCAT(TEXT(_xlpm.calc,"0,000")," (",TEXT(_xlpm.perc,"0.0%"),")")),"-"))</f>
        <v>-</v>
      </c>
      <c r="E163" s="65" t="str" cm="1">
        <f t="array" ref="E163">_xlfn.LET(_xlpm.denom,E$161,_xlpm.calc,IFERROR(ROWS(_xlfn.UNIQUE(_xlfn._xlws.FILTER(ID,(Date &gt;= E$4) * (Date &lt;= E$5) * (IFERROR(SEARCH(E$1, Key_Gps),0)&gt;0) * (diff &gt; 0) ))),0),_xlpm.perc,_xlpm.calc/_xlpm.denom,IFERROR(IF(_xlpm.calc&lt;1000,_xlfn.CONCAT(_xlpm.calc," (",TEXT(_xlpm.perc,"0.0%"),")"),_xlfn.CONCAT(TEXT(_xlpm.calc,"0,000")," (",TEXT(_xlpm.perc,"0.0%"),")")),"-"))</f>
        <v>-</v>
      </c>
      <c r="F163" s="65" t="str" cm="1">
        <f t="array" ref="F163">_xlfn.LET(_xlpm.denom,F$161,_xlpm.calc,IFERROR(ROWS(_xlfn.UNIQUE(_xlfn._xlws.FILTER(ID,(Date &gt;= F$4) * (Date &lt;= F$5) * (IFERROR(SEARCH(F$1, Key_Gps),0)&gt;0) * (diff &gt; 0) ))),0),_xlpm.perc,_xlpm.calc/_xlpm.denom,IFERROR(IF(_xlpm.calc&lt;1000,_xlfn.CONCAT(_xlpm.calc," (",TEXT(_xlpm.perc,"0.0%"),")"),_xlfn.CONCAT(TEXT(_xlpm.calc,"0,000")," (",TEXT(_xlpm.perc,"0.0%"),")")),"-"))</f>
        <v>-</v>
      </c>
      <c r="G163" s="65" t="str" cm="1">
        <f t="array" ref="G163">_xlfn.LET(_xlpm.denom,G$161,_xlpm.calc,IFERROR(ROWS(_xlfn.UNIQUE(_xlfn._xlws.FILTER(ID,(Date &gt;= G$4) * (Date &lt;= G$5) * (IFERROR(SEARCH(G$1, Key_Gps),0)&gt;0) * (diff &gt; 0) ))),0),_xlpm.perc,_xlpm.calc/_xlpm.denom,IFERROR(IF(_xlpm.calc&lt;1000,_xlfn.CONCAT(_xlpm.calc," (",TEXT(_xlpm.perc,"0.0%"),")"),_xlfn.CONCAT(TEXT(_xlpm.calc,"0,000")," (",TEXT(_xlpm.perc,"0.0%"),")")),"-"))</f>
        <v>-</v>
      </c>
      <c r="H163" s="65" t="str" cm="1">
        <f t="array" ref="H163">_xlfn.LET(_xlpm.denom,H$161,_xlpm.calc,IFERROR(ROWS(_xlfn.UNIQUE(_xlfn._xlws.FILTER(ID,(Date &gt;= H$4) * (Date &lt;= H$5) * (IFERROR(SEARCH(H$1, Key_Gps),0)&gt;0) * (diff &gt; 0) ))),0),_xlpm.perc,_xlpm.calc/_xlpm.denom,IFERROR(IF(_xlpm.calc&lt;1000,_xlfn.CONCAT(_xlpm.calc," (",TEXT(_xlpm.perc,"0.0%"),")"),_xlfn.CONCAT(TEXT(_xlpm.calc,"0,000")," (",TEXT(_xlpm.perc,"0.0%"),")")),"-"))</f>
        <v>-</v>
      </c>
      <c r="I163" s="65" t="str" cm="1">
        <f t="array" ref="I163">_xlfn.LET(_xlpm.denom,I$161,_xlpm.calc,IFERROR(ROWS(_xlfn.UNIQUE(_xlfn._xlws.FILTER(ID,(Date &gt;= I$4) * (Date &lt;= I$5) * (IFERROR(SEARCH(I$1, Key_Gps),0)&gt;0) * (diff &gt; 0) ))),0),_xlpm.perc,_xlpm.calc/_xlpm.denom,IFERROR(IF(_xlpm.calc&lt;1000,_xlfn.CONCAT(_xlpm.calc," (",TEXT(_xlpm.perc,"0.0%"),")"),_xlfn.CONCAT(TEXT(_xlpm.calc,"0,000")," (",TEXT(_xlpm.perc,"0.0%"),")")),"-"))</f>
        <v>-</v>
      </c>
      <c r="J163" s="65" t="str" cm="1">
        <f t="array" ref="J163">_xlfn.LET(_xlpm.denom,J$161,_xlpm.calc,IFERROR(ROWS(_xlfn.UNIQUE(_xlfn._xlws.FILTER(ID,(Date &gt;= J$4) * (Date &lt;= J$5) * (IFERROR(SEARCH(J$1, Key_Gps),0)&gt;0) * (diff &gt; 0) ))),0),_xlpm.perc,_xlpm.calc/_xlpm.denom,IFERROR(IF(_xlpm.calc&lt;1000,_xlfn.CONCAT(_xlpm.calc," (",TEXT(_xlpm.perc,"0.0%"),")"),_xlfn.CONCAT(TEXT(_xlpm.calc,"0,000")," (",TEXT(_xlpm.perc,"0.0%"),")")),"-"))</f>
        <v>-</v>
      </c>
      <c r="K163" s="65" t="str" cm="1">
        <f t="array" ref="K163">_xlfn.LET(_xlpm.denom,K$161,_xlpm.calc,IFERROR(ROWS(_xlfn.UNIQUE(_xlfn._xlws.FILTER(ID,(Date &gt;= K$4) * (Date &lt;= K$5) * (IFERROR(SEARCH(K$1, Key_Gps),0)&gt;0) * (diff &gt; 0) ))),0),_xlpm.perc,_xlpm.calc/_xlpm.denom,IFERROR(IF(_xlpm.calc&lt;1000,_xlfn.CONCAT(_xlpm.calc," (",TEXT(_xlpm.perc,"0.0%"),")"),_xlfn.CONCAT(TEXT(_xlpm.calc,"0,000")," (",TEXT(_xlpm.perc,"0.0%"),")")),"-"))</f>
        <v>-</v>
      </c>
      <c r="L163" s="65" t="str" cm="1">
        <f t="array" ref="L163">_xlfn.LET(_xlpm.denom,L$161,_xlpm.calc,IFERROR(ROWS(_xlfn.UNIQUE(_xlfn._xlws.FILTER(ID,(Date &gt;= L$4) * (Date &lt;= L$5) * (IFERROR(SEARCH(L$1, Key_Gps),0)&gt;0) * (diff &gt; 0) ))),0),_xlpm.perc,_xlpm.calc/_xlpm.denom,IFERROR(IF(_xlpm.calc&lt;1000,_xlfn.CONCAT(_xlpm.calc," (",TEXT(_xlpm.perc,"0.0%"),")"),_xlfn.CONCAT(TEXT(_xlpm.calc,"0,000")," (",TEXT(_xlpm.perc,"0.0%"),")")),"-"))</f>
        <v>-</v>
      </c>
      <c r="M163" s="155" t="str" cm="1">
        <f t="array" ref="M163">_xlfn.LET(_xlpm.denom,M$161,_xlpm.calc,IFERROR(ROWS(_xlfn.UNIQUE(_xlfn._xlws.FILTER(ID,(Date &gt;= M$4) * (Date &lt;= M$5) * (IFERROR(SEARCH(M$1, Key_Gps),0)&gt;0) * (diff &gt; 0) ))),0),_xlpm.perc,_xlpm.calc/_xlpm.denom,IFERROR(IF(_xlpm.calc&lt;1000,_xlfn.CONCAT(_xlpm.calc," (",TEXT(_xlpm.perc,"0.0%"),")"),_xlfn.CONCAT(TEXT(_xlpm.calc,"0,000")," (",TEXT(_xlpm.perc,"0.0%"),")")),"-"))</f>
        <v>-</v>
      </c>
      <c r="N163" s="96" t="s">
        <v>128</v>
      </c>
      <c r="O163" s="74"/>
      <c r="P163" s="42"/>
      <c r="Q163" s="75" t="str">
        <f t="shared" si="110"/>
        <v/>
      </c>
      <c r="R163" s="76" t="str">
        <f t="shared" si="111"/>
        <v/>
      </c>
      <c r="S163" s="64" t="str">
        <f t="shared" si="126"/>
        <v/>
      </c>
      <c r="T163" s="42" t="str">
        <f t="shared" si="112"/>
        <v/>
      </c>
      <c r="U163" s="42" t="str">
        <f t="shared" si="113"/>
        <v/>
      </c>
      <c r="V163" s="42" t="str">
        <f t="shared" si="114"/>
        <v/>
      </c>
      <c r="W163" s="42" t="str">
        <f t="shared" si="115"/>
        <v/>
      </c>
      <c r="X163" s="42" t="str">
        <f t="shared" si="116"/>
        <v/>
      </c>
      <c r="Y163" s="42" t="str">
        <f t="shared" si="117"/>
        <v/>
      </c>
      <c r="Z163" s="42" t="str">
        <f t="shared" si="118"/>
        <v/>
      </c>
      <c r="AA163" s="42" t="str">
        <f t="shared" si="119"/>
        <v/>
      </c>
      <c r="AB163" s="42" t="str">
        <f t="shared" si="120"/>
        <v/>
      </c>
      <c r="AC163" s="42" t="str">
        <f t="shared" si="121"/>
        <v/>
      </c>
    </row>
    <row r="164" spans="1:29" s="41" customFormat="1" ht="28.8" outlineLevel="1" x14ac:dyDescent="0.25">
      <c r="A164" s="42" t="s">
        <v>13</v>
      </c>
      <c r="B164" s="314"/>
      <c r="C164" s="49" t="s">
        <v>61</v>
      </c>
      <c r="D164" s="195" t="str">
        <f t="shared" ref="D164:K164" ca="1" si="127">_xlfn.LET(_xlpm.calc,_xlfn.XLOOKUP($C164,$C:$C,D:D),IF(IFERROR(SEARCH(" ",_xlpm.calc),0)&gt;0,IFERROR(VALUE(LEFT(_xlpm.calc,SEARCH(" ",_xlpm.calc))),"-"),IFERROR(_xlpm.calc,"-")))</f>
        <v>-</v>
      </c>
      <c r="E164" s="65" t="str">
        <f t="shared" si="127"/>
        <v>-</v>
      </c>
      <c r="F164" s="65" t="str">
        <f t="shared" si="127"/>
        <v>-</v>
      </c>
      <c r="G164" s="65" t="str">
        <f t="shared" si="127"/>
        <v>-</v>
      </c>
      <c r="H164" s="65" t="str">
        <f t="shared" si="127"/>
        <v>-</v>
      </c>
      <c r="I164" s="65" t="str">
        <f t="shared" si="127"/>
        <v>-</v>
      </c>
      <c r="J164" s="65" t="str">
        <f t="shared" si="127"/>
        <v>-</v>
      </c>
      <c r="K164" s="65" t="str">
        <f t="shared" si="127"/>
        <v>-</v>
      </c>
      <c r="L164" s="65" t="str">
        <f>_xlfn.LET(_xlpm.calc,_xlfn.XLOOKUP($C164,$C:$C,L:L),IF(IFERROR(SEARCH(" ",_xlpm.calc),0)&gt;0,IFERROR(VALUE(LEFT(_xlpm.calc,SEARCH(" ",_xlpm.calc))),"-"),IFERROR(_xlpm.calc,"-")))</f>
        <v>-</v>
      </c>
      <c r="M164" s="155" t="str">
        <f>_xlfn.LET(_xlpm.calc,_xlfn.XLOOKUP($C164,$C:$C,M:M),IF(IFERROR(SEARCH(" ",_xlpm.calc),0)&gt;0,IFERROR(VALUE(LEFT(_xlpm.calc,SEARCH(" ",_xlpm.calc))),"-"),IFERROR(_xlpm.calc,"-")))</f>
        <v>-</v>
      </c>
      <c r="N164" s="96"/>
      <c r="O164" s="74"/>
      <c r="P164" s="42"/>
      <c r="Q164" s="75" t="str">
        <f t="shared" si="110"/>
        <v/>
      </c>
      <c r="R164" s="76" t="e">
        <f t="shared" si="111"/>
        <v>#VALUE!</v>
      </c>
      <c r="S164" s="64">
        <f t="shared" si="126"/>
        <v>1</v>
      </c>
      <c r="T164" s="42" t="str">
        <f t="shared" ca="1" si="112"/>
        <v>-</v>
      </c>
      <c r="U164" s="42" t="str">
        <f t="shared" si="113"/>
        <v>-</v>
      </c>
      <c r="V164" s="42" t="str">
        <f t="shared" si="114"/>
        <v>-</v>
      </c>
      <c r="W164" s="42" t="str">
        <f t="shared" si="115"/>
        <v>-</v>
      </c>
      <c r="X164" s="42" t="str">
        <f t="shared" si="116"/>
        <v>-</v>
      </c>
      <c r="Y164" s="42" t="str">
        <f t="shared" si="117"/>
        <v>-</v>
      </c>
      <c r="Z164" s="42" t="str">
        <f t="shared" si="118"/>
        <v>-</v>
      </c>
      <c r="AA164" s="42" t="str">
        <f t="shared" si="119"/>
        <v>-</v>
      </c>
      <c r="AB164" s="42" t="str">
        <f t="shared" si="120"/>
        <v>-</v>
      </c>
      <c r="AC164" s="42" t="str">
        <f t="shared" si="121"/>
        <v>-</v>
      </c>
    </row>
    <row r="165" spans="1:29" s="41" customFormat="1" ht="28.8" outlineLevel="1" x14ac:dyDescent="0.25">
      <c r="A165" s="42" t="s">
        <v>13</v>
      </c>
      <c r="B165" s="314"/>
      <c r="C165" s="49" t="s">
        <v>130</v>
      </c>
      <c r="D165" s="195" t="str">
        <f ca="1">_xlfn.LET(_xlpm.denom,D$164,_xlpm.calc,ROUND($Q165*_xlpm.denom,0),_xlpm.perc,_xlpm.calc/_xlpm.denom,IFERROR(IF(_xlpm.calc&lt;1000,_xlfn.CONCAT(_xlpm.calc," (",TEXT(_xlpm.perc,"0.0%"),")"),_xlfn.CONCAT(TEXT(_xlpm.calc,"0,000")," (",TEXT(_xlpm.perc,"0.0%"),")")),"-"))</f>
        <v>-</v>
      </c>
      <c r="E165" s="65" t="str" cm="1">
        <f t="array" ref="E165">_xlfn.LET(_xlpm.denom,E$164,_xlpm.calc,COUNTIFS(Date,"&gt;="&amp;E$4,Date,"&lt;="&amp;E$5,Key_Gps,"*"&amp;E$1&amp;"*",qtr_hr,1),_xlpm.perc,_xlpm.calc/_xlpm.denom,IFERROR(IF(_xlpm.calc&lt;1000,_xlfn.CONCAT(_xlpm.calc," (",TEXT(_xlpm.perc,"0.0%"),")"),_xlfn.CONCAT(TEXT(_xlpm.calc,"0,000")," (",TEXT(_xlpm.perc,"0.0%"),")")),"-"))</f>
        <v>-</v>
      </c>
      <c r="F165" s="65" t="str" cm="1">
        <f t="array" ref="F165">_xlfn.LET(_xlpm.denom,F$164,_xlpm.calc,COUNTIFS(Date,"&gt;="&amp;F$4,Date,"&lt;="&amp;F$5,Key_Gps,"*"&amp;F$1&amp;"*",qtr_hr,1),_xlpm.perc,_xlpm.calc/_xlpm.denom,IFERROR(IF(_xlpm.calc&lt;1000,_xlfn.CONCAT(_xlpm.calc," (",TEXT(_xlpm.perc,"0.0%"),")"),_xlfn.CONCAT(TEXT(_xlpm.calc,"0,000")," (",TEXT(_xlpm.perc,"0.0%"),")")),"-"))</f>
        <v>-</v>
      </c>
      <c r="G165" s="65" t="str" cm="1">
        <f t="array" ref="G165">_xlfn.LET(_xlpm.denom,G$164,_xlpm.calc,COUNTIFS(Date,"&gt;="&amp;G$4,Date,"&lt;="&amp;G$5,Key_Gps,"*"&amp;G$1&amp;"*",qtr_hr,1),_xlpm.perc,_xlpm.calc/_xlpm.denom,IFERROR(IF(_xlpm.calc&lt;1000,_xlfn.CONCAT(_xlpm.calc," (",TEXT(_xlpm.perc,"0.0%"),")"),_xlfn.CONCAT(TEXT(_xlpm.calc,"0,000")," (",TEXT(_xlpm.perc,"0.0%"),")")),"-"))</f>
        <v>-</v>
      </c>
      <c r="H165" s="65" t="str" cm="1">
        <f t="array" ref="H165">_xlfn.LET(_xlpm.denom,H$164,_xlpm.calc,COUNTIFS(Date,"&gt;="&amp;H$4,Date,"&lt;="&amp;H$5,Key_Gps,"*"&amp;H$1&amp;"*",qtr_hr,1),_xlpm.perc,_xlpm.calc/_xlpm.denom,IFERROR(IF(_xlpm.calc&lt;1000,_xlfn.CONCAT(_xlpm.calc," (",TEXT(_xlpm.perc,"0.0%"),")"),_xlfn.CONCAT(TEXT(_xlpm.calc,"0,000")," (",TEXT(_xlpm.perc,"0.0%"),")")),"-"))</f>
        <v>-</v>
      </c>
      <c r="I165" s="65" t="str" cm="1">
        <f t="array" ref="I165">_xlfn.LET(_xlpm.denom,I$164,_xlpm.calc,COUNTIFS(Date,"&gt;="&amp;I$4,Date,"&lt;="&amp;I$5,Key_Gps,"*"&amp;I$1&amp;"*",qtr_hr,1),_xlpm.perc,_xlpm.calc/_xlpm.denom,IFERROR(IF(_xlpm.calc&lt;1000,_xlfn.CONCAT(_xlpm.calc," (",TEXT(_xlpm.perc,"0.0%"),")"),_xlfn.CONCAT(TEXT(_xlpm.calc,"0,000")," (",TEXT(_xlpm.perc,"0.0%"),")")),"-"))</f>
        <v>-</v>
      </c>
      <c r="J165" s="65" t="str" cm="1">
        <f t="array" ref="J165">_xlfn.LET(_xlpm.denom,J$164,_xlpm.calc,COUNTIFS(Date,"&gt;="&amp;J$4,Date,"&lt;="&amp;J$5,Key_Gps,"*"&amp;J$1&amp;"*",qtr_hr,1),_xlpm.perc,_xlpm.calc/_xlpm.denom,IFERROR(IF(_xlpm.calc&lt;1000,_xlfn.CONCAT(_xlpm.calc," (",TEXT(_xlpm.perc,"0.0%"),")"),_xlfn.CONCAT(TEXT(_xlpm.calc,"0,000")," (",TEXT(_xlpm.perc,"0.0%"),")")),"-"))</f>
        <v>-</v>
      </c>
      <c r="K165" s="65" t="str" cm="1">
        <f t="array" ref="K165">_xlfn.LET(_xlpm.denom,K$164,_xlpm.calc,COUNTIFS(Date,"&gt;="&amp;K$4,Date,"&lt;="&amp;K$5,Key_Gps,"*"&amp;K$1&amp;"*",qtr_hr,1),_xlpm.perc,_xlpm.calc/_xlpm.denom,IFERROR(IF(_xlpm.calc&lt;1000,_xlfn.CONCAT(_xlpm.calc," (",TEXT(_xlpm.perc,"0.0%"),")"),_xlfn.CONCAT(TEXT(_xlpm.calc,"0,000")," (",TEXT(_xlpm.perc,"0.0%"),")")),"-"))</f>
        <v>-</v>
      </c>
      <c r="L165" s="65" t="str" cm="1">
        <f t="array" ref="L165">_xlfn.LET(_xlpm.denom,L$164,_xlpm.calc,COUNTIFS(Date,"&gt;="&amp;L$4,Date,"&lt;="&amp;L$5,Key_Gps,"*"&amp;L$1&amp;"*",qtr_hr,1),_xlpm.perc,_xlpm.calc/_xlpm.denom,IFERROR(IF(_xlpm.calc&lt;1000,_xlfn.CONCAT(_xlpm.calc," (",TEXT(_xlpm.perc,"0.0%"),")"),_xlfn.CONCAT(TEXT(_xlpm.calc,"0,000")," (",TEXT(_xlpm.perc,"0.0%"),")")),"-"))</f>
        <v>-</v>
      </c>
      <c r="M165" s="155" t="str" cm="1">
        <f t="array" ref="M165">_xlfn.LET(_xlpm.denom,M$164,_xlpm.calc,COUNTIFS(Date,"&gt;="&amp;M$4,Date,"&lt;="&amp;M$5,Key_Gps,"*"&amp;M$1&amp;"*",qtr_hr,1),_xlpm.perc,_xlpm.calc/_xlpm.denom,IFERROR(IF(_xlpm.calc&lt;1000,_xlfn.CONCAT(_xlpm.calc," (",TEXT(_xlpm.perc,"0.0%"),")"),_xlfn.CONCAT(TEXT(_xlpm.calc,"0,000")," (",TEXT(_xlpm.perc,"0.0%"),")")),"-"))</f>
        <v>-</v>
      </c>
      <c r="N165" s="96" t="s">
        <v>64</v>
      </c>
      <c r="O165" s="74"/>
      <c r="P165" s="42"/>
      <c r="Q165" s="75" t="str">
        <f t="shared" si="110"/>
        <v/>
      </c>
      <c r="R165" s="76" t="e">
        <f t="shared" si="111"/>
        <v>#VALUE!</v>
      </c>
      <c r="S165" s="64">
        <f t="shared" si="126"/>
        <v>1</v>
      </c>
      <c r="T165" s="42" t="str">
        <f t="shared" ca="1" si="112"/>
        <v>-</v>
      </c>
      <c r="U165" s="42" t="str">
        <f t="shared" si="113"/>
        <v>-</v>
      </c>
      <c r="V165" s="42" t="str">
        <f t="shared" si="114"/>
        <v>-</v>
      </c>
      <c r="W165" s="42" t="str">
        <f t="shared" si="115"/>
        <v>-</v>
      </c>
      <c r="X165" s="42" t="str">
        <f t="shared" si="116"/>
        <v>-</v>
      </c>
      <c r="Y165" s="42" t="str">
        <f t="shared" si="117"/>
        <v>-</v>
      </c>
      <c r="Z165" s="42" t="str">
        <f t="shared" si="118"/>
        <v>-</v>
      </c>
      <c r="AA165" s="42" t="str">
        <f t="shared" si="119"/>
        <v>-</v>
      </c>
      <c r="AB165" s="42" t="str">
        <f t="shared" si="120"/>
        <v>-</v>
      </c>
      <c r="AC165" s="42" t="str">
        <f t="shared" si="121"/>
        <v>-</v>
      </c>
    </row>
    <row r="166" spans="1:29" s="41" customFormat="1" ht="28.8" outlineLevel="1" x14ac:dyDescent="0.25">
      <c r="A166" s="42" t="s">
        <v>13</v>
      </c>
      <c r="B166" s="314"/>
      <c r="C166" s="49" t="s">
        <v>593</v>
      </c>
      <c r="D166" s="195" t="str">
        <f ca="1">_xlfn.LET(_xlpm.denom,D$164,_xlpm.calc,ROUND($Q166*_xlpm.denom,0),_xlpm.perc,_xlpm.calc/_xlpm.denom,IFERROR(IF(_xlpm.calc&lt;1000,_xlfn.CONCAT(_xlpm.calc," (",TEXT(_xlpm.perc,"0.0%"),")"),_xlfn.CONCAT(TEXT(_xlpm.calc,"0,000")," (",TEXT(_xlpm.perc,"0.0%"),")")),"-"))</f>
        <v>-</v>
      </c>
      <c r="E166" s="65" t="str" cm="1">
        <f t="array" ref="E166">_xlfn.LET(_xlpm.denom,E$164,_xlpm.calc,COUNTIFS(Date,"&gt;="&amp;E$4,Date,"&lt;="&amp;E$5,Key_Gps,"*"&amp;E$1&amp;"*",diff,"&lt;0")+COUNTIFS(Date,"&gt;="&amp;E$4,Date,"&lt;="&amp;E$5,Key_Gps,"*"&amp;E$1&amp;"*",diff,"&gt;=0"),_xlpm.perc,_xlpm.calc/_xlpm.denom,IFERROR(IF(_xlpm.calc&lt;1000,_xlfn.CONCAT(_xlpm.calc," (",TEXT(_xlpm.perc,"0.0%"),")"),_xlfn.CONCAT(TEXT(_xlpm.calc,"0,000")," (",TEXT(_xlpm.perc,"0.0%"),")")),"-"))</f>
        <v>-</v>
      </c>
      <c r="F166" s="65" t="str" cm="1">
        <f t="array" ref="F166">_xlfn.LET(_xlpm.denom,F$164,_xlpm.calc,COUNTIFS(Date,"&gt;="&amp;F$4,Date,"&lt;="&amp;F$5,Key_Gps,"*"&amp;F$1&amp;"*",diff,"&lt;0")+COUNTIFS(Date,"&gt;="&amp;F$4,Date,"&lt;="&amp;F$5,Key_Gps,"*"&amp;F$1&amp;"*",diff,"&gt;=0"),_xlpm.perc,_xlpm.calc/_xlpm.denom,IFERROR(IF(_xlpm.calc&lt;1000,_xlfn.CONCAT(_xlpm.calc," (",TEXT(_xlpm.perc,"0.0%"),")"),_xlfn.CONCAT(TEXT(_xlpm.calc,"0,000")," (",TEXT(_xlpm.perc,"0.0%"),")")),"-"))</f>
        <v>-</v>
      </c>
      <c r="G166" s="65" t="str" cm="1">
        <f t="array" ref="G166">_xlfn.LET(_xlpm.denom,G$164,_xlpm.calc,COUNTIFS(Date,"&gt;="&amp;G$4,Date,"&lt;="&amp;G$5,Key_Gps,"*"&amp;G$1&amp;"*",diff,"&lt;0")+COUNTIFS(Date,"&gt;="&amp;G$4,Date,"&lt;="&amp;G$5,Key_Gps,"*"&amp;G$1&amp;"*",diff,"&gt;=0"),_xlpm.perc,_xlpm.calc/_xlpm.denom,IFERROR(IF(_xlpm.calc&lt;1000,_xlfn.CONCAT(_xlpm.calc," (",TEXT(_xlpm.perc,"0.0%"),")"),_xlfn.CONCAT(TEXT(_xlpm.calc,"0,000")," (",TEXT(_xlpm.perc,"0.0%"),")")),"-"))</f>
        <v>-</v>
      </c>
      <c r="H166" s="65" t="str" cm="1">
        <f t="array" ref="H166">_xlfn.LET(_xlpm.denom,H$164,_xlpm.calc,COUNTIFS(Date,"&gt;="&amp;H$4,Date,"&lt;="&amp;H$5,Key_Gps,"*"&amp;H$1&amp;"*",diff,"&lt;0")+COUNTIFS(Date,"&gt;="&amp;H$4,Date,"&lt;="&amp;H$5,Key_Gps,"*"&amp;H$1&amp;"*",diff,"&gt;=0"),_xlpm.perc,_xlpm.calc/_xlpm.denom,IFERROR(IF(_xlpm.calc&lt;1000,_xlfn.CONCAT(_xlpm.calc," (",TEXT(_xlpm.perc,"0.0%"),")"),_xlfn.CONCAT(TEXT(_xlpm.calc,"0,000")," (",TEXT(_xlpm.perc,"0.0%"),")")),"-"))</f>
        <v>-</v>
      </c>
      <c r="I166" s="65" t="str" cm="1">
        <f t="array" ref="I166">_xlfn.LET(_xlpm.denom,I$164,_xlpm.calc,COUNTIFS(Date,"&gt;="&amp;I$4,Date,"&lt;="&amp;I$5,Key_Gps,"*"&amp;I$1&amp;"*",diff,"&lt;0")+COUNTIFS(Date,"&gt;="&amp;I$4,Date,"&lt;="&amp;I$5,Key_Gps,"*"&amp;I$1&amp;"*",diff,"&gt;=0"),_xlpm.perc,_xlpm.calc/_xlpm.denom,IFERROR(IF(_xlpm.calc&lt;1000,_xlfn.CONCAT(_xlpm.calc," (",TEXT(_xlpm.perc,"0.0%"),")"),_xlfn.CONCAT(TEXT(_xlpm.calc,"0,000")," (",TEXT(_xlpm.perc,"0.0%"),")")),"-"))</f>
        <v>-</v>
      </c>
      <c r="J166" s="65" t="str" cm="1">
        <f t="array" ref="J166">_xlfn.LET(_xlpm.denom,J$164,_xlpm.calc,COUNTIFS(Date,"&gt;="&amp;J$4,Date,"&lt;="&amp;J$5,Key_Gps,"*"&amp;J$1&amp;"*",diff,"&lt;0")+COUNTIFS(Date,"&gt;="&amp;J$4,Date,"&lt;="&amp;J$5,Key_Gps,"*"&amp;J$1&amp;"*",diff,"&gt;=0"),_xlpm.perc,_xlpm.calc/_xlpm.denom,IFERROR(IF(_xlpm.calc&lt;1000,_xlfn.CONCAT(_xlpm.calc," (",TEXT(_xlpm.perc,"0.0%"),")"),_xlfn.CONCAT(TEXT(_xlpm.calc,"0,000")," (",TEXT(_xlpm.perc,"0.0%"),")")),"-"))</f>
        <v>-</v>
      </c>
      <c r="K166" s="65" t="str" cm="1">
        <f t="array" ref="K166">_xlfn.LET(_xlpm.denom,K$164,_xlpm.calc,COUNTIFS(Date,"&gt;="&amp;K$4,Date,"&lt;="&amp;K$5,Key_Gps,"*"&amp;K$1&amp;"*",diff,"&lt;0")+COUNTIFS(Date,"&gt;="&amp;K$4,Date,"&lt;="&amp;K$5,Key_Gps,"*"&amp;K$1&amp;"*",diff,"&gt;=0"),_xlpm.perc,_xlpm.calc/_xlpm.denom,IFERROR(IF(_xlpm.calc&lt;1000,_xlfn.CONCAT(_xlpm.calc," (",TEXT(_xlpm.perc,"0.0%"),")"),_xlfn.CONCAT(TEXT(_xlpm.calc,"0,000")," (",TEXT(_xlpm.perc,"0.0%"),")")),"-"))</f>
        <v>-</v>
      </c>
      <c r="L166" s="65" t="str" cm="1">
        <f t="array" ref="L166">_xlfn.LET(_xlpm.denom,L$164,_xlpm.calc,COUNTIFS(Date,"&gt;="&amp;L$4,Date,"&lt;="&amp;L$5,Key_Gps,"*"&amp;L$1&amp;"*",diff,"&lt;0")+COUNTIFS(Date,"&gt;="&amp;L$4,Date,"&lt;="&amp;L$5,Key_Gps,"*"&amp;L$1&amp;"*",diff,"&gt;=0"),_xlpm.perc,_xlpm.calc/_xlpm.denom,IFERROR(IF(_xlpm.calc&lt;1000,_xlfn.CONCAT(_xlpm.calc," (",TEXT(_xlpm.perc,"0.0%"),")"),_xlfn.CONCAT(TEXT(_xlpm.calc,"0,000")," (",TEXT(_xlpm.perc,"0.0%"),")")),"-"))</f>
        <v>-</v>
      </c>
      <c r="M166" s="155" t="str" cm="1">
        <f t="array" ref="M166">_xlfn.LET(_xlpm.denom,M$164,_xlpm.calc,COUNTIFS(Date,"&gt;="&amp;M$4,Date,"&lt;="&amp;M$5,Key_Gps,"*"&amp;M$1&amp;"*",diff,"&lt;0")+COUNTIFS(Date,"&gt;="&amp;M$4,Date,"&lt;="&amp;M$5,Key_Gps,"*"&amp;M$1&amp;"*",diff,"&gt;=0"),_xlpm.perc,_xlpm.calc/_xlpm.denom,IFERROR(IF(_xlpm.calc&lt;1000,_xlfn.CONCAT(_xlpm.calc," (",TEXT(_xlpm.perc,"0.0%"),")"),_xlfn.CONCAT(TEXT(_xlpm.calc,"0,000")," (",TEXT(_xlpm.perc,"0.0%"),")")),"-"))</f>
        <v>-</v>
      </c>
      <c r="N166" s="96" t="s">
        <v>64</v>
      </c>
      <c r="O166" s="74"/>
      <c r="P166" s="42"/>
      <c r="Q166" s="75" t="str">
        <f t="shared" si="110"/>
        <v/>
      </c>
      <c r="R166" s="76" t="e">
        <f t="shared" si="111"/>
        <v>#VALUE!</v>
      </c>
      <c r="S166" s="64">
        <f t="shared" si="126"/>
        <v>1</v>
      </c>
      <c r="T166" s="42" t="str">
        <f t="shared" ca="1" si="112"/>
        <v>-</v>
      </c>
      <c r="U166" s="42" t="str">
        <f t="shared" si="113"/>
        <v>-</v>
      </c>
      <c r="V166" s="42" t="str">
        <f t="shared" si="114"/>
        <v>-</v>
      </c>
      <c r="W166" s="42" t="str">
        <f t="shared" si="115"/>
        <v>-</v>
      </c>
      <c r="X166" s="42" t="str">
        <f t="shared" si="116"/>
        <v>-</v>
      </c>
      <c r="Y166" s="42" t="str">
        <f t="shared" si="117"/>
        <v>-</v>
      </c>
      <c r="Z166" s="42" t="str">
        <f t="shared" si="118"/>
        <v>-</v>
      </c>
      <c r="AA166" s="42" t="str">
        <f t="shared" si="119"/>
        <v>-</v>
      </c>
      <c r="AB166" s="42" t="str">
        <f t="shared" si="120"/>
        <v>-</v>
      </c>
      <c r="AC166" s="42" t="str">
        <f t="shared" si="121"/>
        <v>-</v>
      </c>
    </row>
    <row r="167" spans="1:29" s="41" customFormat="1" ht="28.8" outlineLevel="1" x14ac:dyDescent="0.25">
      <c r="A167" s="42" t="s">
        <v>13</v>
      </c>
      <c r="B167" s="314"/>
      <c r="C167" s="49" t="s">
        <v>131</v>
      </c>
      <c r="D167" s="195" t="str">
        <f ca="1">_xlfn.LET(_xlpm.denom,VALUE(LEFT(D$166,SEARCH(" ",D$166))),_xlpm.calc,ROUND($Q167*_xlpm.denom,0),_xlpm.perc,_xlpm.calc/_xlpm.denom,IFERROR(IF(_xlpm.calc&lt;1000,_xlfn.CONCAT(_xlpm.calc," (",TEXT(_xlpm.perc,"0.0%"),")"),_xlfn.CONCAT(TEXT(_xlpm.calc,"0,000")," (",TEXT(_xlpm.perc,"0.0%"),")")),"-"))</f>
        <v>-</v>
      </c>
      <c r="E167" s="65" t="str" cm="1">
        <f t="array" ref="E167">_xlfn.LET(_xlpm.denom,VALUE(LEFT(E$166,SEARCH(" ",E$166))),_xlpm.calc,COUNTIFS(Date,"&gt;="&amp;E$4,Date,"&lt;="&amp;E$5,Key_Gps,"*"&amp;E$1&amp;"*",diff,"&lt;0"),_xlpm.perc,_xlpm.calc/_xlpm.denom,IFERROR(IF(_xlpm.calc&lt;1000,_xlfn.CONCAT(_xlpm.calc," (",TEXT(_xlpm.perc,"0.0%"),")"),_xlfn.CONCAT(TEXT(_xlpm.calc,"0,000")," (",TEXT(_xlpm.perc,"0.0%"),")")),"-"))</f>
        <v>-</v>
      </c>
      <c r="F167" s="65" t="str" cm="1">
        <f t="array" ref="F167">_xlfn.LET(_xlpm.denom,VALUE(LEFT(F$166,SEARCH(" ",F$166))),_xlpm.calc,COUNTIFS(Date,"&gt;="&amp;F$4,Date,"&lt;="&amp;F$5,Key_Gps,"*"&amp;F$1&amp;"*",diff,"&lt;0"),_xlpm.perc,_xlpm.calc/_xlpm.denom,IFERROR(IF(_xlpm.calc&lt;1000,_xlfn.CONCAT(_xlpm.calc," (",TEXT(_xlpm.perc,"0.0%"),")"),_xlfn.CONCAT(TEXT(_xlpm.calc,"0,000")," (",TEXT(_xlpm.perc,"0.0%"),")")),"-"))</f>
        <v>-</v>
      </c>
      <c r="G167" s="65" t="str" cm="1">
        <f t="array" ref="G167">_xlfn.LET(_xlpm.denom,VALUE(LEFT(G$166,SEARCH(" ",G$166))),_xlpm.calc,COUNTIFS(Date,"&gt;="&amp;G$4,Date,"&lt;="&amp;G$5,Key_Gps,"*"&amp;G$1&amp;"*",diff,"&lt;0"),_xlpm.perc,_xlpm.calc/_xlpm.denom,IFERROR(IF(_xlpm.calc&lt;1000,_xlfn.CONCAT(_xlpm.calc," (",TEXT(_xlpm.perc,"0.0%"),")"),_xlfn.CONCAT(TEXT(_xlpm.calc,"0,000")," (",TEXT(_xlpm.perc,"0.0%"),")")),"-"))</f>
        <v>-</v>
      </c>
      <c r="H167" s="65" t="str" cm="1">
        <f t="array" ref="H167">_xlfn.LET(_xlpm.denom,VALUE(LEFT(H$166,SEARCH(" ",H$166))),_xlpm.calc,COUNTIFS(Date,"&gt;="&amp;H$4,Date,"&lt;="&amp;H$5,Key_Gps,"*"&amp;H$1&amp;"*",diff,"&lt;0"),_xlpm.perc,_xlpm.calc/_xlpm.denom,IFERROR(IF(_xlpm.calc&lt;1000,_xlfn.CONCAT(_xlpm.calc," (",TEXT(_xlpm.perc,"0.0%"),")"),_xlfn.CONCAT(TEXT(_xlpm.calc,"0,000")," (",TEXT(_xlpm.perc,"0.0%"),")")),"-"))</f>
        <v>-</v>
      </c>
      <c r="I167" s="65" t="str" cm="1">
        <f t="array" ref="I167">_xlfn.LET(_xlpm.denom,VALUE(LEFT(I$166,SEARCH(" ",I$166))),_xlpm.calc,COUNTIFS(Date,"&gt;="&amp;I$4,Date,"&lt;="&amp;I$5,Key_Gps,"*"&amp;I$1&amp;"*",diff,"&lt;0"),_xlpm.perc,_xlpm.calc/_xlpm.denom,IFERROR(IF(_xlpm.calc&lt;1000,_xlfn.CONCAT(_xlpm.calc," (",TEXT(_xlpm.perc,"0.0%"),")"),_xlfn.CONCAT(TEXT(_xlpm.calc,"0,000")," (",TEXT(_xlpm.perc,"0.0%"),")")),"-"))</f>
        <v>-</v>
      </c>
      <c r="J167" s="65" t="str" cm="1">
        <f t="array" ref="J167">_xlfn.LET(_xlpm.denom,VALUE(LEFT(J$166,SEARCH(" ",J$166))),_xlpm.calc,COUNTIFS(Date,"&gt;="&amp;J$4,Date,"&lt;="&amp;J$5,Key_Gps,"*"&amp;J$1&amp;"*",diff,"&lt;0"),_xlpm.perc,_xlpm.calc/_xlpm.denom,IFERROR(IF(_xlpm.calc&lt;1000,_xlfn.CONCAT(_xlpm.calc," (",TEXT(_xlpm.perc,"0.0%"),")"),_xlfn.CONCAT(TEXT(_xlpm.calc,"0,000")," (",TEXT(_xlpm.perc,"0.0%"),")")),"-"))</f>
        <v>-</v>
      </c>
      <c r="K167" s="65" t="str" cm="1">
        <f t="array" ref="K167">_xlfn.LET(_xlpm.denom,VALUE(LEFT(K$166,SEARCH(" ",K$166))),_xlpm.calc,COUNTIFS(Date,"&gt;="&amp;K$4,Date,"&lt;="&amp;K$5,Key_Gps,"*"&amp;K$1&amp;"*",diff,"&lt;0"),_xlpm.perc,_xlpm.calc/_xlpm.denom,IFERROR(IF(_xlpm.calc&lt;1000,_xlfn.CONCAT(_xlpm.calc," (",TEXT(_xlpm.perc,"0.0%"),")"),_xlfn.CONCAT(TEXT(_xlpm.calc,"0,000")," (",TEXT(_xlpm.perc,"0.0%"),")")),"-"))</f>
        <v>-</v>
      </c>
      <c r="L167" s="65" t="str" cm="1">
        <f t="array" ref="L167">_xlfn.LET(_xlpm.denom,VALUE(LEFT(L$166,SEARCH(" ",L$166))),_xlpm.calc,COUNTIFS(Date,"&gt;="&amp;L$4,Date,"&lt;="&amp;L$5,Key_Gps,"*"&amp;L$1&amp;"*",diff,"&lt;0"),_xlpm.perc,_xlpm.calc/_xlpm.denom,IFERROR(IF(_xlpm.calc&lt;1000,_xlfn.CONCAT(_xlpm.calc," (",TEXT(_xlpm.perc,"0.0%"),")"),_xlfn.CONCAT(TEXT(_xlpm.calc,"0,000")," (",TEXT(_xlpm.perc,"0.0%"),")")),"-"))</f>
        <v>-</v>
      </c>
      <c r="M167" s="155" t="str" cm="1">
        <f t="array" ref="M167">_xlfn.LET(_xlpm.denom,VALUE(LEFT(M$166,SEARCH(" ",M$166))),_xlpm.calc,COUNTIFS(Date,"&gt;="&amp;M$4,Date,"&lt;="&amp;M$5,Key_Gps,"*"&amp;M$1&amp;"*",diff,"&lt;0"),_xlpm.perc,_xlpm.calc/_xlpm.denom,IFERROR(IF(_xlpm.calc&lt;1000,_xlfn.CONCAT(_xlpm.calc," (",TEXT(_xlpm.perc,"0.0%"),")"),_xlfn.CONCAT(TEXT(_xlpm.calc,"0,000")," (",TEXT(_xlpm.perc,"0.0%"),")")),"-"))</f>
        <v>-</v>
      </c>
      <c r="N167" s="96" t="s">
        <v>592</v>
      </c>
      <c r="O167" s="74"/>
      <c r="P167" s="42"/>
      <c r="Q167" s="75" t="str">
        <f t="shared" si="110"/>
        <v/>
      </c>
      <c r="R167" s="76" t="e">
        <f t="shared" si="111"/>
        <v>#VALUE!</v>
      </c>
      <c r="S167" s="64">
        <f t="shared" si="126"/>
        <v>1</v>
      </c>
      <c r="T167" s="42" t="str">
        <f t="shared" ca="1" si="112"/>
        <v>-</v>
      </c>
      <c r="U167" s="42" t="str">
        <f t="shared" si="113"/>
        <v>-</v>
      </c>
      <c r="V167" s="42" t="str">
        <f t="shared" si="114"/>
        <v>-</v>
      </c>
      <c r="W167" s="42" t="str">
        <f t="shared" si="115"/>
        <v>-</v>
      </c>
      <c r="X167" s="42" t="str">
        <f t="shared" si="116"/>
        <v>-</v>
      </c>
      <c r="Y167" s="42" t="str">
        <f t="shared" si="117"/>
        <v>-</v>
      </c>
      <c r="Z167" s="42" t="str">
        <f t="shared" si="118"/>
        <v>-</v>
      </c>
      <c r="AA167" s="42" t="str">
        <f t="shared" si="119"/>
        <v>-</v>
      </c>
      <c r="AB167" s="42" t="str">
        <f t="shared" si="120"/>
        <v>-</v>
      </c>
      <c r="AC167" s="42" t="str">
        <f t="shared" si="121"/>
        <v>-</v>
      </c>
    </row>
    <row r="168" spans="1:29" s="41" customFormat="1" ht="28.8" outlineLevel="1" x14ac:dyDescent="0.25">
      <c r="A168" s="42" t="s">
        <v>13</v>
      </c>
      <c r="B168" s="314"/>
      <c r="C168" s="49" t="s">
        <v>132</v>
      </c>
      <c r="D168" s="195" t="str">
        <f ca="1">_xlfn.LET(_xlpm.denom,VALUE(LEFT(D$166,SEARCH(" ",D$166))),_xlpm.calc,ROUND($Q168*_xlpm.denom,0),_xlpm.perc,_xlpm.calc/_xlpm.denom,IFERROR(IF(_xlpm.calc&lt;1000,_xlfn.CONCAT(_xlpm.calc," (",TEXT(_xlpm.perc,"0.0%"),")"),_xlfn.CONCAT(TEXT(_xlpm.calc,"0,000")," (",TEXT(_xlpm.perc,"0.0%"),")")),"-"))</f>
        <v>-</v>
      </c>
      <c r="E168" s="65" t="str" cm="1">
        <f t="array" ref="E168">_xlfn.LET(_xlpm.denom,VALUE(LEFT(E$166,SEARCH(" ",E$166))),_xlpm.calc,COUNTIFS(Date,"&gt;="&amp;E$4,Date,"&lt;="&amp;E$5,Key_Gps,"*"&amp;E$1&amp;"*",diff,"&gt;0"),_xlpm.perc,_xlpm.calc/_xlpm.denom,IFERROR(IF(_xlpm.calc&lt;1000,_xlfn.CONCAT(_xlpm.calc," (",TEXT(_xlpm.perc,"0.0%"),")"),_xlfn.CONCAT(TEXT(_xlpm.calc,"0,000")," (",TEXT(_xlpm.perc,"0.0%"),")")),"-"))</f>
        <v>-</v>
      </c>
      <c r="F168" s="65" t="str" cm="1">
        <f t="array" ref="F168">_xlfn.LET(_xlpm.denom,VALUE(LEFT(F$166,SEARCH(" ",F$166))),_xlpm.calc,COUNTIFS(Date,"&gt;="&amp;F$4,Date,"&lt;="&amp;F$5,Key_Gps,"*"&amp;F$1&amp;"*",diff,"&gt;0"),_xlpm.perc,_xlpm.calc/_xlpm.denom,IFERROR(IF(_xlpm.calc&lt;1000,_xlfn.CONCAT(_xlpm.calc," (",TEXT(_xlpm.perc,"0.0%"),")"),_xlfn.CONCAT(TEXT(_xlpm.calc,"0,000")," (",TEXT(_xlpm.perc,"0.0%"),")")),"-"))</f>
        <v>-</v>
      </c>
      <c r="G168" s="65" t="str" cm="1">
        <f t="array" ref="G168">_xlfn.LET(_xlpm.denom,VALUE(LEFT(G$166,SEARCH(" ",G$166))),_xlpm.calc,COUNTIFS(Date,"&gt;="&amp;G$4,Date,"&lt;="&amp;G$5,Key_Gps,"*"&amp;G$1&amp;"*",diff,"&gt;0"),_xlpm.perc,_xlpm.calc/_xlpm.denom,IFERROR(IF(_xlpm.calc&lt;1000,_xlfn.CONCAT(_xlpm.calc," (",TEXT(_xlpm.perc,"0.0%"),")"),_xlfn.CONCAT(TEXT(_xlpm.calc,"0,000")," (",TEXT(_xlpm.perc,"0.0%"),")")),"-"))</f>
        <v>-</v>
      </c>
      <c r="H168" s="65" t="str" cm="1">
        <f t="array" ref="H168">_xlfn.LET(_xlpm.denom,VALUE(LEFT(H$166,SEARCH(" ",H$166))),_xlpm.calc,COUNTIFS(Date,"&gt;="&amp;H$4,Date,"&lt;="&amp;H$5,Key_Gps,"*"&amp;H$1&amp;"*",diff,"&gt;0"),_xlpm.perc,_xlpm.calc/_xlpm.denom,IFERROR(IF(_xlpm.calc&lt;1000,_xlfn.CONCAT(_xlpm.calc," (",TEXT(_xlpm.perc,"0.0%"),")"),_xlfn.CONCAT(TEXT(_xlpm.calc,"0,000")," (",TEXT(_xlpm.perc,"0.0%"),")")),"-"))</f>
        <v>-</v>
      </c>
      <c r="I168" s="65" t="str" cm="1">
        <f t="array" ref="I168">_xlfn.LET(_xlpm.denom,VALUE(LEFT(I$166,SEARCH(" ",I$166))),_xlpm.calc,COUNTIFS(Date,"&gt;="&amp;I$4,Date,"&lt;="&amp;I$5,Key_Gps,"*"&amp;I$1&amp;"*",diff,"&gt;0"),_xlpm.perc,_xlpm.calc/_xlpm.denom,IFERROR(IF(_xlpm.calc&lt;1000,_xlfn.CONCAT(_xlpm.calc," (",TEXT(_xlpm.perc,"0.0%"),")"),_xlfn.CONCAT(TEXT(_xlpm.calc,"0,000")," (",TEXT(_xlpm.perc,"0.0%"),")")),"-"))</f>
        <v>-</v>
      </c>
      <c r="J168" s="65" t="str" cm="1">
        <f t="array" ref="J168">_xlfn.LET(_xlpm.denom,VALUE(LEFT(J$166,SEARCH(" ",J$166))),_xlpm.calc,COUNTIFS(Date,"&gt;="&amp;J$4,Date,"&lt;="&amp;J$5,Key_Gps,"*"&amp;J$1&amp;"*",diff,"&gt;0"),_xlpm.perc,_xlpm.calc/_xlpm.denom,IFERROR(IF(_xlpm.calc&lt;1000,_xlfn.CONCAT(_xlpm.calc," (",TEXT(_xlpm.perc,"0.0%"),")"),_xlfn.CONCAT(TEXT(_xlpm.calc,"0,000")," (",TEXT(_xlpm.perc,"0.0%"),")")),"-"))</f>
        <v>-</v>
      </c>
      <c r="K168" s="65" t="str" cm="1">
        <f t="array" ref="K168">_xlfn.LET(_xlpm.denom,VALUE(LEFT(K$166,SEARCH(" ",K$166))),_xlpm.calc,COUNTIFS(Date,"&gt;="&amp;K$4,Date,"&lt;="&amp;K$5,Key_Gps,"*"&amp;K$1&amp;"*",diff,"&gt;0"),_xlpm.perc,_xlpm.calc/_xlpm.denom,IFERROR(IF(_xlpm.calc&lt;1000,_xlfn.CONCAT(_xlpm.calc," (",TEXT(_xlpm.perc,"0.0%"),")"),_xlfn.CONCAT(TEXT(_xlpm.calc,"0,000")," (",TEXT(_xlpm.perc,"0.0%"),")")),"-"))</f>
        <v>-</v>
      </c>
      <c r="L168" s="65" t="str" cm="1">
        <f t="array" ref="L168">_xlfn.LET(_xlpm.denom,VALUE(LEFT(L$166,SEARCH(" ",L$166))),_xlpm.calc,COUNTIFS(Date,"&gt;="&amp;L$4,Date,"&lt;="&amp;L$5,Key_Gps,"*"&amp;L$1&amp;"*",diff,"&gt;0"),_xlpm.perc,_xlpm.calc/_xlpm.denom,IFERROR(IF(_xlpm.calc&lt;1000,_xlfn.CONCAT(_xlpm.calc," (",TEXT(_xlpm.perc,"0.0%"),")"),_xlfn.CONCAT(TEXT(_xlpm.calc,"0,000")," (",TEXT(_xlpm.perc,"0.0%"),")")),"-"))</f>
        <v>-</v>
      </c>
      <c r="M168" s="155" t="str" cm="1">
        <f t="array" ref="M168">_xlfn.LET(_xlpm.denom,VALUE(LEFT(M$166,SEARCH(" ",M$166))),_xlpm.calc,COUNTIFS(Date,"&gt;="&amp;M$4,Date,"&lt;="&amp;M$5,Key_Gps,"*"&amp;M$1&amp;"*",diff,"&gt;0"),_xlpm.perc,_xlpm.calc/_xlpm.denom,IFERROR(IF(_xlpm.calc&lt;1000,_xlfn.CONCAT(_xlpm.calc," (",TEXT(_xlpm.perc,"0.0%"),")"),_xlfn.CONCAT(TEXT(_xlpm.calc,"0,000")," (",TEXT(_xlpm.perc,"0.0%"),")")),"-"))</f>
        <v>-</v>
      </c>
      <c r="N168" s="96" t="s">
        <v>592</v>
      </c>
      <c r="O168" s="74"/>
      <c r="P168" s="42"/>
      <c r="Q168" s="75" t="str">
        <f t="shared" si="110"/>
        <v/>
      </c>
      <c r="R168" s="76" t="e">
        <f t="shared" si="111"/>
        <v>#VALUE!</v>
      </c>
      <c r="S168" s="64">
        <f t="shared" si="126"/>
        <v>1</v>
      </c>
      <c r="T168" s="42" t="str">
        <f t="shared" ca="1" si="112"/>
        <v>-</v>
      </c>
      <c r="U168" s="42" t="str">
        <f t="shared" si="113"/>
        <v>-</v>
      </c>
      <c r="V168" s="42" t="str">
        <f t="shared" si="114"/>
        <v>-</v>
      </c>
      <c r="W168" s="42" t="str">
        <f t="shared" si="115"/>
        <v>-</v>
      </c>
      <c r="X168" s="42" t="str">
        <f t="shared" si="116"/>
        <v>-</v>
      </c>
      <c r="Y168" s="42" t="str">
        <f t="shared" si="117"/>
        <v>-</v>
      </c>
      <c r="Z168" s="42" t="str">
        <f t="shared" si="118"/>
        <v>-</v>
      </c>
      <c r="AA168" s="42" t="str">
        <f t="shared" si="119"/>
        <v>-</v>
      </c>
      <c r="AB168" s="42" t="str">
        <f t="shared" si="120"/>
        <v>-</v>
      </c>
      <c r="AC168" s="42" t="str">
        <f t="shared" si="121"/>
        <v>-</v>
      </c>
    </row>
    <row r="169" spans="1:29" s="41" customFormat="1" ht="28.8" outlineLevel="1" x14ac:dyDescent="0.25">
      <c r="A169" s="42" t="s">
        <v>13</v>
      </c>
      <c r="B169" s="314"/>
      <c r="C169" s="49" t="s">
        <v>133</v>
      </c>
      <c r="D169" s="195" t="str">
        <f ca="1">_xlfn.LET(_xlpm.denom,VALUE(LEFT(D$166,SEARCH(" ",D$166))),_xlpm.calc,ROUND($Q169*_xlpm.denom,0),_xlpm.perc,_xlpm.calc/_xlpm.denom,IFERROR(IF(_xlpm.calc&lt;1000,_xlfn.CONCAT(_xlpm.calc," (",TEXT(_xlpm.perc,"0.0%"),")"),_xlfn.CONCAT(TEXT(_xlpm.calc,"0,000")," (",TEXT(_xlpm.perc,"0.0%"),")")),"-"))</f>
        <v>-</v>
      </c>
      <c r="E169" s="65" t="str" cm="1">
        <f t="array" ref="E169">_xlfn.LET(_xlpm.denom,VALUE(LEFT(E$166,SEARCH(" ",E$166))),_xlpm.calc,COUNTIFS(Date,"&gt;="&amp;E$4,Date,"&lt;="&amp;E$5,Key_Gps,"*"&amp;E$1&amp;"*",diff,0),_xlpm.perc,_xlpm.calc/_xlpm.denom,IFERROR(IF(_xlpm.calc&lt;1000,_xlfn.CONCAT(_xlpm.calc," (",TEXT(_xlpm.perc,"0.0%"),")"),_xlfn.CONCAT(TEXT(_xlpm.calc,"0,000")," (",TEXT(_xlpm.perc,"0.0%"),")")),"-"))</f>
        <v>-</v>
      </c>
      <c r="F169" s="65" t="str" cm="1">
        <f t="array" ref="F169">_xlfn.LET(_xlpm.denom,VALUE(LEFT(F$166,SEARCH(" ",F$166))),_xlpm.calc,COUNTIFS(Date,"&gt;="&amp;F$4,Date,"&lt;="&amp;F$5,Key_Gps,"*"&amp;F$1&amp;"*",diff,0),_xlpm.perc,_xlpm.calc/_xlpm.denom,IFERROR(IF(_xlpm.calc&lt;1000,_xlfn.CONCAT(_xlpm.calc," (",TEXT(_xlpm.perc,"0.0%"),")"),_xlfn.CONCAT(TEXT(_xlpm.calc,"0,000")," (",TEXT(_xlpm.perc,"0.0%"),")")),"-"))</f>
        <v>-</v>
      </c>
      <c r="G169" s="65" t="str" cm="1">
        <f t="array" ref="G169">_xlfn.LET(_xlpm.denom,VALUE(LEFT(G$166,SEARCH(" ",G$166))),_xlpm.calc,COUNTIFS(Date,"&gt;="&amp;G$4,Date,"&lt;="&amp;G$5,Key_Gps,"*"&amp;G$1&amp;"*",diff,0),_xlpm.perc,_xlpm.calc/_xlpm.denom,IFERROR(IF(_xlpm.calc&lt;1000,_xlfn.CONCAT(_xlpm.calc," (",TEXT(_xlpm.perc,"0.0%"),")"),_xlfn.CONCAT(TEXT(_xlpm.calc,"0,000")," (",TEXT(_xlpm.perc,"0.0%"),")")),"-"))</f>
        <v>-</v>
      </c>
      <c r="H169" s="65" t="str" cm="1">
        <f t="array" ref="H169">_xlfn.LET(_xlpm.denom,VALUE(LEFT(H$166,SEARCH(" ",H$166))),_xlpm.calc,COUNTIFS(Date,"&gt;="&amp;H$4,Date,"&lt;="&amp;H$5,Key_Gps,"*"&amp;H$1&amp;"*",diff,0),_xlpm.perc,_xlpm.calc/_xlpm.denom,IFERROR(IF(_xlpm.calc&lt;1000,_xlfn.CONCAT(_xlpm.calc," (",TEXT(_xlpm.perc,"0.0%"),")"),_xlfn.CONCAT(TEXT(_xlpm.calc,"0,000")," (",TEXT(_xlpm.perc,"0.0%"),")")),"-"))</f>
        <v>-</v>
      </c>
      <c r="I169" s="65" t="str" cm="1">
        <f t="array" ref="I169">_xlfn.LET(_xlpm.denom,VALUE(LEFT(I$166,SEARCH(" ",I$166))),_xlpm.calc,COUNTIFS(Date,"&gt;="&amp;I$4,Date,"&lt;="&amp;I$5,Key_Gps,"*"&amp;I$1&amp;"*",diff,0),_xlpm.perc,_xlpm.calc/_xlpm.denom,IFERROR(IF(_xlpm.calc&lt;1000,_xlfn.CONCAT(_xlpm.calc," (",TEXT(_xlpm.perc,"0.0%"),")"),_xlfn.CONCAT(TEXT(_xlpm.calc,"0,000")," (",TEXT(_xlpm.perc,"0.0%"),")")),"-"))</f>
        <v>-</v>
      </c>
      <c r="J169" s="65" t="str" cm="1">
        <f t="array" ref="J169">_xlfn.LET(_xlpm.denom,VALUE(LEFT(J$166,SEARCH(" ",J$166))),_xlpm.calc,COUNTIFS(Date,"&gt;="&amp;J$4,Date,"&lt;="&amp;J$5,Key_Gps,"*"&amp;J$1&amp;"*",diff,0),_xlpm.perc,_xlpm.calc/_xlpm.denom,IFERROR(IF(_xlpm.calc&lt;1000,_xlfn.CONCAT(_xlpm.calc," (",TEXT(_xlpm.perc,"0.0%"),")"),_xlfn.CONCAT(TEXT(_xlpm.calc,"0,000")," (",TEXT(_xlpm.perc,"0.0%"),")")),"-"))</f>
        <v>-</v>
      </c>
      <c r="K169" s="65" t="str" cm="1">
        <f t="array" ref="K169">_xlfn.LET(_xlpm.denom,VALUE(LEFT(K$166,SEARCH(" ",K$166))),_xlpm.calc,COUNTIFS(Date,"&gt;="&amp;K$4,Date,"&lt;="&amp;K$5,Key_Gps,"*"&amp;K$1&amp;"*",diff,0),_xlpm.perc,_xlpm.calc/_xlpm.denom,IFERROR(IF(_xlpm.calc&lt;1000,_xlfn.CONCAT(_xlpm.calc," (",TEXT(_xlpm.perc,"0.0%"),")"),_xlfn.CONCAT(TEXT(_xlpm.calc,"0,000")," (",TEXT(_xlpm.perc,"0.0%"),")")),"-"))</f>
        <v>-</v>
      </c>
      <c r="L169" s="65" t="str" cm="1">
        <f t="array" ref="L169">_xlfn.LET(_xlpm.denom,VALUE(LEFT(L$166,SEARCH(" ",L$166))),_xlpm.calc,COUNTIFS(Date,"&gt;="&amp;L$4,Date,"&lt;="&amp;L$5,Key_Gps,"*"&amp;L$1&amp;"*",diff,0),_xlpm.perc,_xlpm.calc/_xlpm.denom,IFERROR(IF(_xlpm.calc&lt;1000,_xlfn.CONCAT(_xlpm.calc," (",TEXT(_xlpm.perc,"0.0%"),")"),_xlfn.CONCAT(TEXT(_xlpm.calc,"0,000")," (",TEXT(_xlpm.perc,"0.0%"),")")),"-"))</f>
        <v>-</v>
      </c>
      <c r="M169" s="155" t="str" cm="1">
        <f t="array" ref="M169">_xlfn.LET(_xlpm.denom,VALUE(LEFT(M$166,SEARCH(" ",M$166))),_xlpm.calc,COUNTIFS(Date,"&gt;="&amp;M$4,Date,"&lt;="&amp;M$5,Key_Gps,"*"&amp;M$1&amp;"*",diff,0),_xlpm.perc,_xlpm.calc/_xlpm.denom,IFERROR(IF(_xlpm.calc&lt;1000,_xlfn.CONCAT(_xlpm.calc," (",TEXT(_xlpm.perc,"0.0%"),")"),_xlfn.CONCAT(TEXT(_xlpm.calc,"0,000")," (",TEXT(_xlpm.perc,"0.0%"),")")),"-"))</f>
        <v>-</v>
      </c>
      <c r="N169" s="96" t="s">
        <v>592</v>
      </c>
      <c r="O169" s="74"/>
      <c r="P169" s="42"/>
      <c r="Q169" s="75" t="str">
        <f t="shared" si="110"/>
        <v/>
      </c>
      <c r="R169" s="76" t="e">
        <f t="shared" si="111"/>
        <v>#VALUE!</v>
      </c>
      <c r="S169" s="64">
        <f t="shared" si="126"/>
        <v>1</v>
      </c>
      <c r="T169" s="42" t="str">
        <f t="shared" ca="1" si="112"/>
        <v>-</v>
      </c>
      <c r="U169" s="42" t="str">
        <f t="shared" si="113"/>
        <v>-</v>
      </c>
      <c r="V169" s="42" t="str">
        <f t="shared" si="114"/>
        <v>-</v>
      </c>
      <c r="W169" s="42" t="str">
        <f t="shared" si="115"/>
        <v>-</v>
      </c>
      <c r="X169" s="42" t="str">
        <f t="shared" si="116"/>
        <v>-</v>
      </c>
      <c r="Y169" s="42" t="str">
        <f t="shared" si="117"/>
        <v>-</v>
      </c>
      <c r="Z169" s="42" t="str">
        <f t="shared" si="118"/>
        <v>-</v>
      </c>
      <c r="AA169" s="42" t="str">
        <f t="shared" si="119"/>
        <v>-</v>
      </c>
      <c r="AB169" s="42" t="str">
        <f t="shared" si="120"/>
        <v>-</v>
      </c>
      <c r="AC169" s="42" t="str">
        <f t="shared" si="121"/>
        <v>-</v>
      </c>
    </row>
    <row r="170" spans="1:29" s="41" customFormat="1" ht="28.8" outlineLevel="1" x14ac:dyDescent="0.25">
      <c r="A170" s="42" t="s">
        <v>13</v>
      </c>
      <c r="B170" s="314"/>
      <c r="C170" s="49" t="s">
        <v>21</v>
      </c>
      <c r="D170" s="195" t="str">
        <f t="shared" ref="D170:K170" ca="1" si="128">_xlfn.LET(_xlpm.calc,_xlfn.XLOOKUP($C170,$C:$C,D:D),IF(IFERROR(SEARCH(" ",_xlpm.calc),0)&gt;0,IFERROR(VALUE(LEFT(_xlpm.calc,SEARCH(" ",_xlpm.calc))),"-"),IFERROR(_xlpm.calc,"-")))</f>
        <v>-</v>
      </c>
      <c r="E170" s="65">
        <f t="shared" si="128"/>
        <v>0</v>
      </c>
      <c r="F170" s="65">
        <f t="shared" si="128"/>
        <v>0</v>
      </c>
      <c r="G170" s="65">
        <f t="shared" si="128"/>
        <v>0</v>
      </c>
      <c r="H170" s="65">
        <f t="shared" si="128"/>
        <v>0</v>
      </c>
      <c r="I170" s="65">
        <f t="shared" si="128"/>
        <v>0</v>
      </c>
      <c r="J170" s="65">
        <f t="shared" si="128"/>
        <v>0</v>
      </c>
      <c r="K170" s="65">
        <f t="shared" si="128"/>
        <v>0</v>
      </c>
      <c r="L170" s="65">
        <f>_xlfn.LET(_xlpm.calc,_xlfn.XLOOKUP($C170,$C:$C,L:L),IF(IFERROR(SEARCH(" ",_xlpm.calc),0)&gt;0,IFERROR(VALUE(LEFT(_xlpm.calc,SEARCH(" ",_xlpm.calc))),"-"),IFERROR(_xlpm.calc,"-")))</f>
        <v>0</v>
      </c>
      <c r="M170" s="155">
        <f>_xlfn.LET(_xlpm.calc,_xlfn.XLOOKUP($C170,$C:$C,M:M),IF(IFERROR(SEARCH(" ",_xlpm.calc),0)&gt;0,IFERROR(VALUE(LEFT(_xlpm.calc,SEARCH(" ",_xlpm.calc))),"-"),IFERROR(_xlpm.calc,"-")))</f>
        <v>0</v>
      </c>
      <c r="N170" s="96"/>
      <c r="O170" s="74"/>
      <c r="P170" s="42"/>
      <c r="Q170" s="75" t="str">
        <f t="shared" si="110"/>
        <v/>
      </c>
      <c r="R170" s="76">
        <f t="shared" si="111"/>
        <v>0</v>
      </c>
      <c r="S170" s="64">
        <f t="shared" si="126"/>
        <v>1</v>
      </c>
      <c r="T170" s="42" t="str">
        <f t="shared" ca="1" si="112"/>
        <v>-</v>
      </c>
      <c r="U170" s="42">
        <f t="shared" si="113"/>
        <v>0</v>
      </c>
      <c r="V170" s="42">
        <f t="shared" si="114"/>
        <v>0</v>
      </c>
      <c r="W170" s="42">
        <f t="shared" si="115"/>
        <v>0</v>
      </c>
      <c r="X170" s="42">
        <f t="shared" si="116"/>
        <v>0</v>
      </c>
      <c r="Y170" s="42">
        <f t="shared" si="117"/>
        <v>0</v>
      </c>
      <c r="Z170" s="42">
        <f t="shared" si="118"/>
        <v>0</v>
      </c>
      <c r="AA170" s="42">
        <f t="shared" si="119"/>
        <v>0</v>
      </c>
      <c r="AB170" s="42">
        <f t="shared" si="120"/>
        <v>0</v>
      </c>
      <c r="AC170" s="42">
        <f t="shared" si="121"/>
        <v>0</v>
      </c>
    </row>
    <row r="171" spans="1:29" s="41" customFormat="1" ht="28.8" outlineLevel="1" x14ac:dyDescent="0.25">
      <c r="A171" s="42" t="s">
        <v>13</v>
      </c>
      <c r="B171" s="314"/>
      <c r="C171" s="49" t="s">
        <v>134</v>
      </c>
      <c r="D171" s="195" t="str">
        <f ca="1">_xlfn.LET(_xlpm.denom,D$170,_xlpm.calc,ROUND($Q171*_xlpm.denom,0),_xlpm.perc,_xlpm.calc/_xlpm.denom,IFERROR(IF(_xlpm.calc&lt;1000,_xlfn.CONCAT(_xlpm.calc," (",TEXT(_xlpm.perc,"0.0%"),")"),_xlfn.CONCAT(TEXT(_xlpm.calc,"0,000")," (",TEXT(_xlpm.perc,"0.0%"),")")),"-"))</f>
        <v>-</v>
      </c>
      <c r="E171" s="65" t="str" cm="1">
        <f t="array" ref="E171">_xlfn.LET(_xlpm.denom,E$170,_xlpm.calc,IFERROR(ROWS(_xlfn.UNIQUE(_xlfn._xlws.FILTER(ID_Period_End,(Period_End &gt;= E$4) * (Period_End &lt;= E$5) * (IFERROR(SEARCH(E$1, Key_Gps),0)&gt;0) * (diff &lt; 0) * (diff &gt; -1)))),0),_xlpm.perc,_xlpm.calc/_xlpm.denom,IFERROR(IF(_xlpm.calc&lt;1000,_xlfn.CONCAT(_xlpm.calc," (",TEXT(_xlpm.perc,"0.0%"),")"),_xlfn.CONCAT(TEXT(_xlpm.calc,"0,000")," (",TEXT(_xlpm.perc,"0.0%"),")")),"-"))</f>
        <v>-</v>
      </c>
      <c r="F171" s="65" t="str" cm="1">
        <f t="array" ref="F171">_xlfn.LET(_xlpm.denom,F$170,_xlpm.calc,IFERROR(ROWS(_xlfn.UNIQUE(_xlfn._xlws.FILTER(ID_Period_End,(Period_End &gt;= F$4) * (Period_End &lt;= F$5) * (IFERROR(SEARCH(F$1, Key_Gps),0)&gt;0) * (diff &lt; 0) * (diff &gt; -1)))),0),_xlpm.perc,_xlpm.calc/_xlpm.denom,IFERROR(IF(_xlpm.calc&lt;1000,_xlfn.CONCAT(_xlpm.calc," (",TEXT(_xlpm.perc,"0.0%"),")"),_xlfn.CONCAT(TEXT(_xlpm.calc,"0,000")," (",TEXT(_xlpm.perc,"0.0%"),")")),"-"))</f>
        <v>-</v>
      </c>
      <c r="G171" s="65" t="str" cm="1">
        <f t="array" ref="G171">_xlfn.LET(_xlpm.denom,G$170,_xlpm.calc,IFERROR(ROWS(_xlfn.UNIQUE(_xlfn._xlws.FILTER(ID_Period_End,(Period_End &gt;= G$4) * (Period_End &lt;= G$5) * (IFERROR(SEARCH(G$1, Key_Gps),0)&gt;0) * (diff &lt; 0) * (diff &gt; -1)))),0),_xlpm.perc,_xlpm.calc/_xlpm.denom,IFERROR(IF(_xlpm.calc&lt;1000,_xlfn.CONCAT(_xlpm.calc," (",TEXT(_xlpm.perc,"0.0%"),")"),_xlfn.CONCAT(TEXT(_xlpm.calc,"0,000")," (",TEXT(_xlpm.perc,"0.0%"),")")),"-"))</f>
        <v>-</v>
      </c>
      <c r="H171" s="65" t="str" cm="1">
        <f t="array" ref="H171">_xlfn.LET(_xlpm.denom,H$170,_xlpm.calc,IFERROR(ROWS(_xlfn.UNIQUE(_xlfn._xlws.FILTER(ID_Period_End,(Period_End &gt;= H$4) * (Period_End &lt;= H$5) * (IFERROR(SEARCH(H$1, Key_Gps),0)&gt;0) * (diff &lt; 0) * (diff &gt; -1)))),0),_xlpm.perc,_xlpm.calc/_xlpm.denom,IFERROR(IF(_xlpm.calc&lt;1000,_xlfn.CONCAT(_xlpm.calc," (",TEXT(_xlpm.perc,"0.0%"),")"),_xlfn.CONCAT(TEXT(_xlpm.calc,"0,000")," (",TEXT(_xlpm.perc,"0.0%"),")")),"-"))</f>
        <v>-</v>
      </c>
      <c r="I171" s="65" t="str" cm="1">
        <f t="array" ref="I171">_xlfn.LET(_xlpm.denom,I$170,_xlpm.calc,IFERROR(ROWS(_xlfn.UNIQUE(_xlfn._xlws.FILTER(ID_Period_End,(Period_End &gt;= I$4) * (Period_End &lt;= I$5) * (IFERROR(SEARCH(I$1, Key_Gps),0)&gt;0) * (diff &lt; 0) * (diff &gt; -1)))),0),_xlpm.perc,_xlpm.calc/_xlpm.denom,IFERROR(IF(_xlpm.calc&lt;1000,_xlfn.CONCAT(_xlpm.calc," (",TEXT(_xlpm.perc,"0.0%"),")"),_xlfn.CONCAT(TEXT(_xlpm.calc,"0,000")," (",TEXT(_xlpm.perc,"0.0%"),")")),"-"))</f>
        <v>-</v>
      </c>
      <c r="J171" s="65" t="str" cm="1">
        <f t="array" ref="J171">_xlfn.LET(_xlpm.denom,J$170,_xlpm.calc,IFERROR(ROWS(_xlfn.UNIQUE(_xlfn._xlws.FILTER(ID_Period_End,(Period_End &gt;= J$4) * (Period_End &lt;= J$5) * (IFERROR(SEARCH(J$1, Key_Gps),0)&gt;0) * (diff &lt; 0) * (diff &gt; -1)))),0),_xlpm.perc,_xlpm.calc/_xlpm.denom,IFERROR(IF(_xlpm.calc&lt;1000,_xlfn.CONCAT(_xlpm.calc," (",TEXT(_xlpm.perc,"0.0%"),")"),_xlfn.CONCAT(TEXT(_xlpm.calc,"0,000")," (",TEXT(_xlpm.perc,"0.0%"),")")),"-"))</f>
        <v>-</v>
      </c>
      <c r="K171" s="65" t="str" cm="1">
        <f t="array" ref="K171">_xlfn.LET(_xlpm.denom,K$170,_xlpm.calc,IFERROR(ROWS(_xlfn.UNIQUE(_xlfn._xlws.FILTER(ID_Period_End,(Period_End &gt;= K$4) * (Period_End &lt;= K$5) * (IFERROR(SEARCH(K$1, Key_Gps),0)&gt;0) * (diff &lt; 0) * (diff &gt; -1)))),0),_xlpm.perc,_xlpm.calc/_xlpm.denom,IFERROR(IF(_xlpm.calc&lt;1000,_xlfn.CONCAT(_xlpm.calc," (",TEXT(_xlpm.perc,"0.0%"),")"),_xlfn.CONCAT(TEXT(_xlpm.calc,"0,000")," (",TEXT(_xlpm.perc,"0.0%"),")")),"-"))</f>
        <v>-</v>
      </c>
      <c r="L171" s="65" t="str" cm="1">
        <f t="array" ref="L171">_xlfn.LET(_xlpm.denom,L$170,_xlpm.calc,IFERROR(ROWS(_xlfn.UNIQUE(_xlfn._xlws.FILTER(ID_Period_End,(Period_End &gt;= L$4) * (Period_End &lt;= L$5) * (IFERROR(SEARCH(L$1, Key_Gps),0)&gt;0) * (diff &lt; 0) * (diff &gt; -1)))),0),_xlpm.perc,_xlpm.calc/_xlpm.denom,IFERROR(IF(_xlpm.calc&lt;1000,_xlfn.CONCAT(_xlpm.calc," (",TEXT(_xlpm.perc,"0.0%"),")"),_xlfn.CONCAT(TEXT(_xlpm.calc,"0,000")," (",TEXT(_xlpm.perc,"0.0%"),")")),"-"))</f>
        <v>-</v>
      </c>
      <c r="M171" s="155" t="str" cm="1">
        <f t="array" ref="M171">_xlfn.LET(_xlpm.denom,M$170,_xlpm.calc,IFERROR(ROWS(_xlfn.UNIQUE(_xlfn._xlws.FILTER(ID_Period_End,(Period_End &gt;= M$4) * (Period_End &lt;= M$5) * (IFERROR(SEARCH(M$1, Key_Gps),0)&gt;0) * (diff &lt; 0) * (diff &gt; -1)))),0),_xlpm.perc,_xlpm.calc/_xlpm.denom,IFERROR(IF(_xlpm.calc&lt;1000,_xlfn.CONCAT(_xlpm.calc," (",TEXT(_xlpm.perc,"0.0%"),")"),_xlfn.CONCAT(TEXT(_xlpm.calc,"0,000")," (",TEXT(_xlpm.perc,"0.0%"),")")),"-"))</f>
        <v>-</v>
      </c>
      <c r="N171" s="96" t="s">
        <v>80</v>
      </c>
      <c r="O171" s="74"/>
      <c r="P171" s="42"/>
      <c r="Q171" s="75" t="str">
        <f t="shared" si="110"/>
        <v/>
      </c>
      <c r="R171" s="76" t="e">
        <f t="shared" si="111"/>
        <v>#VALUE!</v>
      </c>
      <c r="S171" s="64">
        <f t="shared" si="126"/>
        <v>1</v>
      </c>
      <c r="T171" s="42" t="str">
        <f t="shared" ca="1" si="112"/>
        <v>-</v>
      </c>
      <c r="U171" s="42" t="str">
        <f t="shared" si="113"/>
        <v>-</v>
      </c>
      <c r="V171" s="42" t="str">
        <f t="shared" si="114"/>
        <v>-</v>
      </c>
      <c r="W171" s="42" t="str">
        <f t="shared" si="115"/>
        <v>-</v>
      </c>
      <c r="X171" s="42" t="str">
        <f t="shared" si="116"/>
        <v>-</v>
      </c>
      <c r="Y171" s="42" t="str">
        <f t="shared" si="117"/>
        <v>-</v>
      </c>
      <c r="Z171" s="42" t="str">
        <f t="shared" si="118"/>
        <v>-</v>
      </c>
      <c r="AA171" s="42" t="str">
        <f t="shared" si="119"/>
        <v>-</v>
      </c>
      <c r="AB171" s="42" t="str">
        <f t="shared" si="120"/>
        <v>-</v>
      </c>
      <c r="AC171" s="42" t="str">
        <f t="shared" si="121"/>
        <v>-</v>
      </c>
    </row>
    <row r="172" spans="1:29" s="41" customFormat="1" ht="28.8" outlineLevel="1" x14ac:dyDescent="0.25">
      <c r="A172" s="42" t="s">
        <v>13</v>
      </c>
      <c r="B172" s="315"/>
      <c r="C172" s="49" t="s">
        <v>135</v>
      </c>
      <c r="D172" s="195" t="str">
        <f ca="1">_xlfn.LET(_xlpm.denom,D$170,_xlpm.calc,ROUND($Q172*_xlpm.denom,0),_xlpm.perc,_xlpm.calc/_xlpm.denom,IFERROR(IF(_xlpm.calc&lt;1000,_xlfn.CONCAT(_xlpm.calc," (",TEXT(_xlpm.perc,"0.0%"),")"),_xlfn.CONCAT(TEXT(_xlpm.calc,"0,000")," (",TEXT(_xlpm.perc,"0.0%"),")")),"-"))</f>
        <v>-</v>
      </c>
      <c r="E172" s="65" t="str" cm="1">
        <f t="array" ref="E172">_xlfn.LET(_xlpm.denom,E$170,_xlpm.calc,IFERROR(ROWS(_xlfn.UNIQUE(_xlfn._xlws.FILTER(ID_Period_End,(Period_End &gt;= E$4) * (Period_End &lt;= E$5) * (IFERROR(SEARCH(E$1, Key_Gps),0)&gt;0) * (diff &gt; 0) * (diff &lt; 1)))),0),_xlpm.perc,_xlpm.calc/_xlpm.denom,IFERROR(IF(_xlpm.calc&lt;1000,_xlfn.CONCAT(_xlpm.calc," (",TEXT(_xlpm.perc,"0.0%"),")"),_xlfn.CONCAT(TEXT(_xlpm.calc,"0,000")," (",TEXT(_xlpm.perc,"0.0%"),")")),"-"))</f>
        <v>-</v>
      </c>
      <c r="F172" s="65" t="str" cm="1">
        <f t="array" ref="F172">_xlfn.LET(_xlpm.denom,F$170,_xlpm.calc,IFERROR(ROWS(_xlfn.UNIQUE(_xlfn._xlws.FILTER(ID_Period_End,(Period_End &gt;= F$4) * (Period_End &lt;= F$5) * (IFERROR(SEARCH(F$1, Key_Gps),0)&gt;0) * (diff &gt; 0) * (diff &lt; 1)))),0),_xlpm.perc,_xlpm.calc/_xlpm.denom,IFERROR(IF(_xlpm.calc&lt;1000,_xlfn.CONCAT(_xlpm.calc," (",TEXT(_xlpm.perc,"0.0%"),")"),_xlfn.CONCAT(TEXT(_xlpm.calc,"0,000")," (",TEXT(_xlpm.perc,"0.0%"),")")),"-"))</f>
        <v>-</v>
      </c>
      <c r="G172" s="65" t="str" cm="1">
        <f t="array" ref="G172">_xlfn.LET(_xlpm.denom,G$170,_xlpm.calc,IFERROR(ROWS(_xlfn.UNIQUE(_xlfn._xlws.FILTER(ID_Period_End,(Period_End &gt;= G$4) * (Period_End &lt;= G$5) * (IFERROR(SEARCH(G$1, Key_Gps),0)&gt;0) * (diff &gt; 0) * (diff &lt; 1)))),0),_xlpm.perc,_xlpm.calc/_xlpm.denom,IFERROR(IF(_xlpm.calc&lt;1000,_xlfn.CONCAT(_xlpm.calc," (",TEXT(_xlpm.perc,"0.0%"),")"),_xlfn.CONCAT(TEXT(_xlpm.calc,"0,000")," (",TEXT(_xlpm.perc,"0.0%"),")")),"-"))</f>
        <v>-</v>
      </c>
      <c r="H172" s="65" t="str" cm="1">
        <f t="array" ref="H172">_xlfn.LET(_xlpm.denom,H$170,_xlpm.calc,IFERROR(ROWS(_xlfn.UNIQUE(_xlfn._xlws.FILTER(ID_Period_End,(Period_End &gt;= H$4) * (Period_End &lt;= H$5) * (IFERROR(SEARCH(H$1, Key_Gps),0)&gt;0) * (diff &gt; 0) * (diff &lt; 1)))),0),_xlpm.perc,_xlpm.calc/_xlpm.denom,IFERROR(IF(_xlpm.calc&lt;1000,_xlfn.CONCAT(_xlpm.calc," (",TEXT(_xlpm.perc,"0.0%"),")"),_xlfn.CONCAT(TEXT(_xlpm.calc,"0,000")," (",TEXT(_xlpm.perc,"0.0%"),")")),"-"))</f>
        <v>-</v>
      </c>
      <c r="I172" s="65" t="str" cm="1">
        <f t="array" ref="I172">_xlfn.LET(_xlpm.denom,I$170,_xlpm.calc,IFERROR(ROWS(_xlfn.UNIQUE(_xlfn._xlws.FILTER(ID_Period_End,(Period_End &gt;= I$4) * (Period_End &lt;= I$5) * (IFERROR(SEARCH(I$1, Key_Gps),0)&gt;0) * (diff &gt; 0) * (diff &lt; 1)))),0),_xlpm.perc,_xlpm.calc/_xlpm.denom,IFERROR(IF(_xlpm.calc&lt;1000,_xlfn.CONCAT(_xlpm.calc," (",TEXT(_xlpm.perc,"0.0%"),")"),_xlfn.CONCAT(TEXT(_xlpm.calc,"0,000")," (",TEXT(_xlpm.perc,"0.0%"),")")),"-"))</f>
        <v>-</v>
      </c>
      <c r="J172" s="65" t="str" cm="1">
        <f t="array" ref="J172">_xlfn.LET(_xlpm.denom,J$170,_xlpm.calc,IFERROR(ROWS(_xlfn.UNIQUE(_xlfn._xlws.FILTER(ID_Period_End,(Period_End &gt;= J$4) * (Period_End &lt;= J$5) * (IFERROR(SEARCH(J$1, Key_Gps),0)&gt;0) * (diff &gt; 0) * (diff &lt; 1)))),0),_xlpm.perc,_xlpm.calc/_xlpm.denom,IFERROR(IF(_xlpm.calc&lt;1000,_xlfn.CONCAT(_xlpm.calc," (",TEXT(_xlpm.perc,"0.0%"),")"),_xlfn.CONCAT(TEXT(_xlpm.calc,"0,000")," (",TEXT(_xlpm.perc,"0.0%"),")")),"-"))</f>
        <v>-</v>
      </c>
      <c r="K172" s="65" t="str" cm="1">
        <f t="array" ref="K172">_xlfn.LET(_xlpm.denom,K$170,_xlpm.calc,IFERROR(ROWS(_xlfn.UNIQUE(_xlfn._xlws.FILTER(ID_Period_End,(Period_End &gt;= K$4) * (Period_End &lt;= K$5) * (IFERROR(SEARCH(K$1, Key_Gps),0)&gt;0) * (diff &gt; 0) * (diff &lt; 1)))),0),_xlpm.perc,_xlpm.calc/_xlpm.denom,IFERROR(IF(_xlpm.calc&lt;1000,_xlfn.CONCAT(_xlpm.calc," (",TEXT(_xlpm.perc,"0.0%"),")"),_xlfn.CONCAT(TEXT(_xlpm.calc,"0,000")," (",TEXT(_xlpm.perc,"0.0%"),")")),"-"))</f>
        <v>-</v>
      </c>
      <c r="L172" s="65" t="str" cm="1">
        <f t="array" ref="L172">_xlfn.LET(_xlpm.denom,L$170,_xlpm.calc,IFERROR(ROWS(_xlfn.UNIQUE(_xlfn._xlws.FILTER(ID_Period_End,(Period_End &gt;= L$4) * (Period_End &lt;= L$5) * (IFERROR(SEARCH(L$1, Key_Gps),0)&gt;0) * (diff &gt; 0) * (diff &lt; 1)))),0),_xlpm.perc,_xlpm.calc/_xlpm.denom,IFERROR(IF(_xlpm.calc&lt;1000,_xlfn.CONCAT(_xlpm.calc," (",TEXT(_xlpm.perc,"0.0%"),")"),_xlfn.CONCAT(TEXT(_xlpm.calc,"0,000")," (",TEXT(_xlpm.perc,"0.0%"),")")),"-"))</f>
        <v>-</v>
      </c>
      <c r="M172" s="155" t="str" cm="1">
        <f t="array" ref="M172">_xlfn.LET(_xlpm.denom,M$170,_xlpm.calc,IFERROR(ROWS(_xlfn.UNIQUE(_xlfn._xlws.FILTER(ID_Period_End,(Period_End &gt;= M$4) * (Period_End &lt;= M$5) * (IFERROR(SEARCH(M$1, Key_Gps),0)&gt;0) * (diff &gt; 0) * (diff &lt; 1)))),0),_xlpm.perc,_xlpm.calc/_xlpm.denom,IFERROR(IF(_xlpm.calc&lt;1000,_xlfn.CONCAT(_xlpm.calc," (",TEXT(_xlpm.perc,"0.0%"),")"),_xlfn.CONCAT(TEXT(_xlpm.calc,"0,000")," (",TEXT(_xlpm.perc,"0.0%"),")")),"-"))</f>
        <v>-</v>
      </c>
      <c r="N172" s="96" t="s">
        <v>80</v>
      </c>
      <c r="O172" s="74"/>
      <c r="P172" s="42"/>
      <c r="Q172" s="75" t="str">
        <f t="shared" si="110"/>
        <v/>
      </c>
      <c r="R172" s="76" t="e">
        <f t="shared" si="111"/>
        <v>#VALUE!</v>
      </c>
      <c r="S172" s="64">
        <f t="shared" si="126"/>
        <v>1</v>
      </c>
      <c r="T172" s="42" t="str">
        <f t="shared" ca="1" si="112"/>
        <v>-</v>
      </c>
      <c r="U172" s="42" t="str">
        <f t="shared" si="113"/>
        <v>-</v>
      </c>
      <c r="V172" s="42" t="str">
        <f t="shared" si="114"/>
        <v>-</v>
      </c>
      <c r="W172" s="42" t="str">
        <f t="shared" si="115"/>
        <v>-</v>
      </c>
      <c r="X172" s="42" t="str">
        <f t="shared" si="116"/>
        <v>-</v>
      </c>
      <c r="Y172" s="42" t="str">
        <f t="shared" si="117"/>
        <v>-</v>
      </c>
      <c r="Z172" s="42" t="str">
        <f t="shared" si="118"/>
        <v>-</v>
      </c>
      <c r="AA172" s="42" t="str">
        <f t="shared" si="119"/>
        <v>-</v>
      </c>
      <c r="AB172" s="42" t="str">
        <f t="shared" si="120"/>
        <v>-</v>
      </c>
      <c r="AC172" s="42" t="str">
        <f t="shared" si="121"/>
        <v>-</v>
      </c>
    </row>
    <row r="173" spans="1:29" s="41" customFormat="1" ht="28.8" outlineLevel="1" x14ac:dyDescent="0.25">
      <c r="A173" s="42" t="s">
        <v>13</v>
      </c>
      <c r="B173" s="315"/>
      <c r="C173" s="49" t="s">
        <v>136</v>
      </c>
      <c r="D173" s="195" t="str">
        <f ca="1">_xlfn.LET(_xlpm.denom,D$170,_xlpm.calc,ROUND($Q173*_xlpm.denom,0),_xlpm.perc,_xlpm.calc/_xlpm.denom,IFERROR(IF(_xlpm.calc&lt;1000,_xlfn.CONCAT(_xlpm.calc," (",TEXT(_xlpm.perc,"0.0%"),")"),_xlfn.CONCAT(TEXT(_xlpm.calc,"0,000")," (",TEXT(_xlpm.perc,"0.0%"),")")),"-"))</f>
        <v>-</v>
      </c>
      <c r="E173" s="65" t="str" cm="1">
        <f t="array" ref="E173">_xlfn.LET(_xlpm.denom,E$170,_xlpm.calc,IFERROR(ROWS(_xlfn.UNIQUE(_xlfn._xlws.FILTER(ID_Period_End,(Period_End &gt;= E$4) * (Period_End &lt;= E$5) * (IFERROR(SEARCH(E$1, Key_Gps),0)&gt;0) * (pp_diff &lt; 0)))),0),_xlpm.perc,_xlpm.calc/_xlpm.denom,IFERROR(IF(_xlpm.calc&lt;1000,_xlfn.CONCAT(_xlpm.calc," (",TEXT(_xlpm.perc,"0.0%"),")"),_xlfn.CONCAT(TEXT(_xlpm.calc,"0,000")," (",TEXT(_xlpm.perc,"0.0%"),")")),"-"))</f>
        <v>-</v>
      </c>
      <c r="F173" s="65" t="str" cm="1">
        <f t="array" ref="F173">_xlfn.LET(_xlpm.denom,F$170,_xlpm.calc,IFERROR(ROWS(_xlfn.UNIQUE(_xlfn._xlws.FILTER(ID_Period_End,(Period_End &gt;= F$4) * (Period_End &lt;= F$5) * (IFERROR(SEARCH(F$1, Key_Gps),0)&gt;0) * (pp_diff &lt; 0)))),0),_xlpm.perc,_xlpm.calc/_xlpm.denom,IFERROR(IF(_xlpm.calc&lt;1000,_xlfn.CONCAT(_xlpm.calc," (",TEXT(_xlpm.perc,"0.0%"),")"),_xlfn.CONCAT(TEXT(_xlpm.calc,"0,000")," (",TEXT(_xlpm.perc,"0.0%"),")")),"-"))</f>
        <v>-</v>
      </c>
      <c r="G173" s="65" t="str" cm="1">
        <f t="array" ref="G173">_xlfn.LET(_xlpm.denom,G$170,_xlpm.calc,IFERROR(ROWS(_xlfn.UNIQUE(_xlfn._xlws.FILTER(ID_Period_End,(Period_End &gt;= G$4) * (Period_End &lt;= G$5) * (IFERROR(SEARCH(G$1, Key_Gps),0)&gt;0) * (pp_diff &lt; 0)))),0),_xlpm.perc,_xlpm.calc/_xlpm.denom,IFERROR(IF(_xlpm.calc&lt;1000,_xlfn.CONCAT(_xlpm.calc," (",TEXT(_xlpm.perc,"0.0%"),")"),_xlfn.CONCAT(TEXT(_xlpm.calc,"0,000")," (",TEXT(_xlpm.perc,"0.0%"),")")),"-"))</f>
        <v>-</v>
      </c>
      <c r="H173" s="65" t="str" cm="1">
        <f t="array" ref="H173">_xlfn.LET(_xlpm.denom,H$170,_xlpm.calc,IFERROR(ROWS(_xlfn.UNIQUE(_xlfn._xlws.FILTER(ID_Period_End,(Period_End &gt;= H$4) * (Period_End &lt;= H$5) * (IFERROR(SEARCH(H$1, Key_Gps),0)&gt;0) * (pp_diff &lt; 0)))),0),_xlpm.perc,_xlpm.calc/_xlpm.denom,IFERROR(IF(_xlpm.calc&lt;1000,_xlfn.CONCAT(_xlpm.calc," (",TEXT(_xlpm.perc,"0.0%"),")"),_xlfn.CONCAT(TEXT(_xlpm.calc,"0,000")," (",TEXT(_xlpm.perc,"0.0%"),")")),"-"))</f>
        <v>-</v>
      </c>
      <c r="I173" s="65" t="str" cm="1">
        <f t="array" ref="I173">_xlfn.LET(_xlpm.denom,I$170,_xlpm.calc,IFERROR(ROWS(_xlfn.UNIQUE(_xlfn._xlws.FILTER(ID_Period_End,(Period_End &gt;= I$4) * (Period_End &lt;= I$5) * (IFERROR(SEARCH(I$1, Key_Gps),0)&gt;0) * (pp_diff &lt; 0)))),0),_xlpm.perc,_xlpm.calc/_xlpm.denom,IFERROR(IF(_xlpm.calc&lt;1000,_xlfn.CONCAT(_xlpm.calc," (",TEXT(_xlpm.perc,"0.0%"),")"),_xlfn.CONCAT(TEXT(_xlpm.calc,"0,000")," (",TEXT(_xlpm.perc,"0.0%"),")")),"-"))</f>
        <v>-</v>
      </c>
      <c r="J173" s="65" t="str" cm="1">
        <f t="array" ref="J173">_xlfn.LET(_xlpm.denom,J$170,_xlpm.calc,IFERROR(ROWS(_xlfn.UNIQUE(_xlfn._xlws.FILTER(ID_Period_End,(Period_End &gt;= J$4) * (Period_End &lt;= J$5) * (IFERROR(SEARCH(J$1, Key_Gps),0)&gt;0) * (pp_diff &lt; 0)))),0),_xlpm.perc,_xlpm.calc/_xlpm.denom,IFERROR(IF(_xlpm.calc&lt;1000,_xlfn.CONCAT(_xlpm.calc," (",TEXT(_xlpm.perc,"0.0%"),")"),_xlfn.CONCAT(TEXT(_xlpm.calc,"0,000")," (",TEXT(_xlpm.perc,"0.0%"),")")),"-"))</f>
        <v>-</v>
      </c>
      <c r="K173" s="65" t="str" cm="1">
        <f t="array" ref="K173">_xlfn.LET(_xlpm.denom,K$170,_xlpm.calc,IFERROR(ROWS(_xlfn.UNIQUE(_xlfn._xlws.FILTER(ID_Period_End,(Period_End &gt;= K$4) * (Period_End &lt;= K$5) * (IFERROR(SEARCH(K$1, Key_Gps),0)&gt;0) * (pp_diff &lt; 0)))),0),_xlpm.perc,_xlpm.calc/_xlpm.denom,IFERROR(IF(_xlpm.calc&lt;1000,_xlfn.CONCAT(_xlpm.calc," (",TEXT(_xlpm.perc,"0.0%"),")"),_xlfn.CONCAT(TEXT(_xlpm.calc,"0,000")," (",TEXT(_xlpm.perc,"0.0%"),")")),"-"))</f>
        <v>-</v>
      </c>
      <c r="L173" s="65" t="str" cm="1">
        <f t="array" ref="L173">_xlfn.LET(_xlpm.denom,L$170,_xlpm.calc,IFERROR(ROWS(_xlfn.UNIQUE(_xlfn._xlws.FILTER(ID_Period_End,(Period_End &gt;= L$4) * (Period_End &lt;= L$5) * (IFERROR(SEARCH(L$1, Key_Gps),0)&gt;0) * (pp_diff &lt; 0)))),0),_xlpm.perc,_xlpm.calc/_xlpm.denom,IFERROR(IF(_xlpm.calc&lt;1000,_xlfn.CONCAT(_xlpm.calc," (",TEXT(_xlpm.perc,"0.0%"),")"),_xlfn.CONCAT(TEXT(_xlpm.calc,"0,000")," (",TEXT(_xlpm.perc,"0.0%"),")")),"-"))</f>
        <v>-</v>
      </c>
      <c r="M173" s="155" t="str" cm="1">
        <f t="array" ref="M173">_xlfn.LET(_xlpm.denom,M$170,_xlpm.calc,IFERROR(ROWS(_xlfn.UNIQUE(_xlfn._xlws.FILTER(ID_Period_End,(Period_End &gt;= M$4) * (Period_End &lt;= M$5) * (IFERROR(SEARCH(M$1, Key_Gps),0)&gt;0) * (pp_diff &lt; 0)))),0),_xlpm.perc,_xlpm.calc/_xlpm.denom,IFERROR(IF(_xlpm.calc&lt;1000,_xlfn.CONCAT(_xlpm.calc," (",TEXT(_xlpm.perc,"0.0%"),")"),_xlfn.CONCAT(TEXT(_xlpm.calc,"0,000")," (",TEXT(_xlpm.perc,"0.0%"),")")),"-"))</f>
        <v>-</v>
      </c>
      <c r="N173" s="96" t="s">
        <v>80</v>
      </c>
      <c r="O173" s="74"/>
      <c r="P173" s="42"/>
      <c r="Q173" s="75" t="str">
        <f t="shared" si="110"/>
        <v/>
      </c>
      <c r="R173" s="76" t="e">
        <f t="shared" si="111"/>
        <v>#VALUE!</v>
      </c>
      <c r="S173" s="64">
        <f t="shared" si="126"/>
        <v>1</v>
      </c>
      <c r="T173" s="42" t="str">
        <f t="shared" ca="1" si="112"/>
        <v>-</v>
      </c>
      <c r="U173" s="42" t="str">
        <f t="shared" si="113"/>
        <v>-</v>
      </c>
      <c r="V173" s="42" t="str">
        <f t="shared" si="114"/>
        <v>-</v>
      </c>
      <c r="W173" s="42" t="str">
        <f t="shared" si="115"/>
        <v>-</v>
      </c>
      <c r="X173" s="42" t="str">
        <f t="shared" si="116"/>
        <v>-</v>
      </c>
      <c r="Y173" s="42" t="str">
        <f t="shared" si="117"/>
        <v>-</v>
      </c>
      <c r="Z173" s="42" t="str">
        <f t="shared" si="118"/>
        <v>-</v>
      </c>
      <c r="AA173" s="42" t="str">
        <f t="shared" si="119"/>
        <v>-</v>
      </c>
      <c r="AB173" s="42" t="str">
        <f t="shared" si="120"/>
        <v>-</v>
      </c>
      <c r="AC173" s="42" t="str">
        <f t="shared" si="121"/>
        <v>-</v>
      </c>
    </row>
    <row r="174" spans="1:29" s="41" customFormat="1" ht="28.8" outlineLevel="1" x14ac:dyDescent="0.25">
      <c r="A174" s="42" t="s">
        <v>13</v>
      </c>
      <c r="B174" s="315"/>
      <c r="C174" s="49" t="s">
        <v>137</v>
      </c>
      <c r="D174" s="195" t="str">
        <f ca="1">_xlfn.LET(_xlpm.denom,D$170,_xlpm.calc,ROUND($Q174*_xlpm.denom,0),_xlpm.perc,_xlpm.calc/_xlpm.denom,IFERROR(IF(_xlpm.calc&lt;1000,_xlfn.CONCAT(_xlpm.calc," (",TEXT(_xlpm.perc,"0.0%"),")"),_xlfn.CONCAT(TEXT(_xlpm.calc,"0,000")," (",TEXT(_xlpm.perc,"0.0%"),")")),"-"))</f>
        <v>-</v>
      </c>
      <c r="E174" s="65" t="str" cm="1">
        <f t="array" ref="E174">_xlfn.LET(_xlpm.denom,E$170,_xlpm.calc,IFERROR(ROWS(_xlfn.UNIQUE(_xlfn._xlws.FILTER(ID_Period_End,(Period_End &gt;= E$4) * (Period_End &lt;= E$5) * (IFERROR(SEARCH(E$1, Key_Gps),0)&gt;0) * (pp_diff &gt; 0)))),0),_xlpm.perc,_xlpm.calc/_xlpm.denom,IFERROR(IF(_xlpm.calc&lt;1000,_xlfn.CONCAT(_xlpm.calc," (",TEXT(_xlpm.perc,"0.0%"),")"),_xlfn.CONCAT(TEXT(_xlpm.calc,"0,000")," (",TEXT(_xlpm.perc,"0.0%"),")")),"-"))</f>
        <v>-</v>
      </c>
      <c r="F174" s="65" t="str" cm="1">
        <f t="array" ref="F174">_xlfn.LET(_xlpm.denom,F$170,_xlpm.calc,IFERROR(ROWS(_xlfn.UNIQUE(_xlfn._xlws.FILTER(ID_Period_End,(Period_End &gt;= F$4) * (Period_End &lt;= F$5) * (IFERROR(SEARCH(F$1, Key_Gps),0)&gt;0) * (pp_diff &gt; 0)))),0),_xlpm.perc,_xlpm.calc/_xlpm.denom,IFERROR(IF(_xlpm.calc&lt;1000,_xlfn.CONCAT(_xlpm.calc," (",TEXT(_xlpm.perc,"0.0%"),")"),_xlfn.CONCAT(TEXT(_xlpm.calc,"0,000")," (",TEXT(_xlpm.perc,"0.0%"),")")),"-"))</f>
        <v>-</v>
      </c>
      <c r="G174" s="65" t="str" cm="1">
        <f t="array" ref="G174">_xlfn.LET(_xlpm.denom,G$170,_xlpm.calc,IFERROR(ROWS(_xlfn.UNIQUE(_xlfn._xlws.FILTER(ID_Period_End,(Period_End &gt;= G$4) * (Period_End &lt;= G$5) * (IFERROR(SEARCH(G$1, Key_Gps),0)&gt;0) * (pp_diff &gt; 0)))),0),_xlpm.perc,_xlpm.calc/_xlpm.denom,IFERROR(IF(_xlpm.calc&lt;1000,_xlfn.CONCAT(_xlpm.calc," (",TEXT(_xlpm.perc,"0.0%"),")"),_xlfn.CONCAT(TEXT(_xlpm.calc,"0,000")," (",TEXT(_xlpm.perc,"0.0%"),")")),"-"))</f>
        <v>-</v>
      </c>
      <c r="H174" s="65" t="str" cm="1">
        <f t="array" ref="H174">_xlfn.LET(_xlpm.denom,H$170,_xlpm.calc,IFERROR(ROWS(_xlfn.UNIQUE(_xlfn._xlws.FILTER(ID_Period_End,(Period_End &gt;= H$4) * (Period_End &lt;= H$5) * (IFERROR(SEARCH(H$1, Key_Gps),0)&gt;0) * (pp_diff &gt; 0)))),0),_xlpm.perc,_xlpm.calc/_xlpm.denom,IFERROR(IF(_xlpm.calc&lt;1000,_xlfn.CONCAT(_xlpm.calc," (",TEXT(_xlpm.perc,"0.0%"),")"),_xlfn.CONCAT(TEXT(_xlpm.calc,"0,000")," (",TEXT(_xlpm.perc,"0.0%"),")")),"-"))</f>
        <v>-</v>
      </c>
      <c r="I174" s="65" t="str" cm="1">
        <f t="array" ref="I174">_xlfn.LET(_xlpm.denom,I$170,_xlpm.calc,IFERROR(ROWS(_xlfn.UNIQUE(_xlfn._xlws.FILTER(ID_Period_End,(Period_End &gt;= I$4) * (Period_End &lt;= I$5) * (IFERROR(SEARCH(I$1, Key_Gps),0)&gt;0) * (pp_diff &gt; 0)))),0),_xlpm.perc,_xlpm.calc/_xlpm.denom,IFERROR(IF(_xlpm.calc&lt;1000,_xlfn.CONCAT(_xlpm.calc," (",TEXT(_xlpm.perc,"0.0%"),")"),_xlfn.CONCAT(TEXT(_xlpm.calc,"0,000")," (",TEXT(_xlpm.perc,"0.0%"),")")),"-"))</f>
        <v>-</v>
      </c>
      <c r="J174" s="65" t="str" cm="1">
        <f t="array" ref="J174">_xlfn.LET(_xlpm.denom,J$170,_xlpm.calc,IFERROR(ROWS(_xlfn.UNIQUE(_xlfn._xlws.FILTER(ID_Period_End,(Period_End &gt;= J$4) * (Period_End &lt;= J$5) * (IFERROR(SEARCH(J$1, Key_Gps),0)&gt;0) * (pp_diff &gt; 0)))),0),_xlpm.perc,_xlpm.calc/_xlpm.denom,IFERROR(IF(_xlpm.calc&lt;1000,_xlfn.CONCAT(_xlpm.calc," (",TEXT(_xlpm.perc,"0.0%"),")"),_xlfn.CONCAT(TEXT(_xlpm.calc,"0,000")," (",TEXT(_xlpm.perc,"0.0%"),")")),"-"))</f>
        <v>-</v>
      </c>
      <c r="K174" s="65" t="str" cm="1">
        <f t="array" ref="K174">_xlfn.LET(_xlpm.denom,K$170,_xlpm.calc,IFERROR(ROWS(_xlfn.UNIQUE(_xlfn._xlws.FILTER(ID_Period_End,(Period_End &gt;= K$4) * (Period_End &lt;= K$5) * (IFERROR(SEARCH(K$1, Key_Gps),0)&gt;0) * (pp_diff &gt; 0)))),0),_xlpm.perc,_xlpm.calc/_xlpm.denom,IFERROR(IF(_xlpm.calc&lt;1000,_xlfn.CONCAT(_xlpm.calc," (",TEXT(_xlpm.perc,"0.0%"),")"),_xlfn.CONCAT(TEXT(_xlpm.calc,"0,000")," (",TEXT(_xlpm.perc,"0.0%"),")")),"-"))</f>
        <v>-</v>
      </c>
      <c r="L174" s="65" t="str" cm="1">
        <f t="array" ref="L174">_xlfn.LET(_xlpm.denom,L$170,_xlpm.calc,IFERROR(ROWS(_xlfn.UNIQUE(_xlfn._xlws.FILTER(ID_Period_End,(Period_End &gt;= L$4) * (Period_End &lt;= L$5) * (IFERROR(SEARCH(L$1, Key_Gps),0)&gt;0) * (pp_diff &gt; 0)))),0),_xlpm.perc,_xlpm.calc/_xlpm.denom,IFERROR(IF(_xlpm.calc&lt;1000,_xlfn.CONCAT(_xlpm.calc," (",TEXT(_xlpm.perc,"0.0%"),")"),_xlfn.CONCAT(TEXT(_xlpm.calc,"0,000")," (",TEXT(_xlpm.perc,"0.0%"),")")),"-"))</f>
        <v>-</v>
      </c>
      <c r="M174" s="155" t="str" cm="1">
        <f t="array" ref="M174">_xlfn.LET(_xlpm.denom,M$170,_xlpm.calc,IFERROR(ROWS(_xlfn.UNIQUE(_xlfn._xlws.FILTER(ID_Period_End,(Period_End &gt;= M$4) * (Period_End &lt;= M$5) * (IFERROR(SEARCH(M$1, Key_Gps),0)&gt;0) * (pp_diff &gt; 0)))),0),_xlpm.perc,_xlpm.calc/_xlpm.denom,IFERROR(IF(_xlpm.calc&lt;1000,_xlfn.CONCAT(_xlpm.calc," (",TEXT(_xlpm.perc,"0.0%"),")"),_xlfn.CONCAT(TEXT(_xlpm.calc,"0,000")," (",TEXT(_xlpm.perc,"0.0%"),")")),"-"))</f>
        <v>-</v>
      </c>
      <c r="N174" s="96" t="s">
        <v>80</v>
      </c>
      <c r="O174" s="74"/>
      <c r="P174" s="42"/>
      <c r="Q174" s="75" t="str">
        <f t="shared" si="110"/>
        <v/>
      </c>
      <c r="R174" s="76" t="e">
        <f t="shared" si="111"/>
        <v>#VALUE!</v>
      </c>
      <c r="S174" s="64">
        <f t="shared" si="126"/>
        <v>1</v>
      </c>
      <c r="T174" s="42" t="str">
        <f t="shared" ca="1" si="112"/>
        <v>-</v>
      </c>
      <c r="U174" s="42" t="str">
        <f t="shared" si="113"/>
        <v>-</v>
      </c>
      <c r="V174" s="42" t="str">
        <f t="shared" si="114"/>
        <v>-</v>
      </c>
      <c r="W174" s="42" t="str">
        <f t="shared" si="115"/>
        <v>-</v>
      </c>
      <c r="X174" s="42" t="str">
        <f t="shared" si="116"/>
        <v>-</v>
      </c>
      <c r="Y174" s="42" t="str">
        <f t="shared" si="117"/>
        <v>-</v>
      </c>
      <c r="Z174" s="42" t="str">
        <f t="shared" si="118"/>
        <v>-</v>
      </c>
      <c r="AA174" s="42" t="str">
        <f t="shared" si="119"/>
        <v>-</v>
      </c>
      <c r="AB174" s="42" t="str">
        <f t="shared" si="120"/>
        <v>-</v>
      </c>
      <c r="AC174" s="42" t="str">
        <f t="shared" si="121"/>
        <v>-</v>
      </c>
    </row>
    <row r="175" spans="1:29" s="41" customFormat="1" ht="28.8" outlineLevel="1" x14ac:dyDescent="0.25">
      <c r="A175" s="42" t="s">
        <v>13</v>
      </c>
      <c r="B175" s="315"/>
      <c r="C175" s="49" t="s">
        <v>138</v>
      </c>
      <c r="D175" s="195" t="str">
        <f ca="1">_xlfn.LET(_xlpm.denom,D$170,_xlpm.calc,ROUND($Q175*_xlpm.denom,0),_xlpm.perc,_xlpm.calc/_xlpm.denom,IFERROR(IF(_xlpm.calc&lt;1000,_xlfn.CONCAT(_xlpm.calc," (",TEXT(_xlpm.perc,"0.0%"),")"),_xlfn.CONCAT(TEXT(_xlpm.calc,"0,000")," (",TEXT(_xlpm.perc,"0.0%"),")")),"-"))</f>
        <v>-</v>
      </c>
      <c r="E175" s="65" t="str" cm="1">
        <f t="array" ref="E175">_xlfn.LET(_xlpm.denom,E$170,_xlpm.calc,IFERROR(ROWS(_xlfn.UNIQUE(_xlfn._xlws.FILTER(ID_Period_End,(Period_End &gt;= E$4) * (Period_End &lt;= E$5) * (IFERROR(SEARCH(E$1, Key_Gps),0)&gt;0) * (pp_diff = 0)))),0),_xlpm.perc,_xlpm.calc/_xlpm.denom,IFERROR(IF(_xlpm.calc&lt;1000,_xlfn.CONCAT(_xlpm.calc," (",TEXT(_xlpm.perc,"0.0%"),")"),_xlfn.CONCAT(TEXT(_xlpm.calc,"0,000")," (",TEXT(_xlpm.perc,"0.0%"),")")),"-"))</f>
        <v>-</v>
      </c>
      <c r="F175" s="65" t="str" cm="1">
        <f t="array" ref="F175">_xlfn.LET(_xlpm.denom,F$170,_xlpm.calc,IFERROR(ROWS(_xlfn.UNIQUE(_xlfn._xlws.FILTER(ID_Period_End,(Period_End &gt;= F$4) * (Period_End &lt;= F$5) * (IFERROR(SEARCH(F$1, Key_Gps),0)&gt;0) * (pp_diff = 0)))),0),_xlpm.perc,_xlpm.calc/_xlpm.denom,IFERROR(IF(_xlpm.calc&lt;1000,_xlfn.CONCAT(_xlpm.calc," (",TEXT(_xlpm.perc,"0.0%"),")"),_xlfn.CONCAT(TEXT(_xlpm.calc,"0,000")," (",TEXT(_xlpm.perc,"0.0%"),")")),"-"))</f>
        <v>-</v>
      </c>
      <c r="G175" s="65" t="str" cm="1">
        <f t="array" ref="G175">_xlfn.LET(_xlpm.denom,G$170,_xlpm.calc,IFERROR(ROWS(_xlfn.UNIQUE(_xlfn._xlws.FILTER(ID_Period_End,(Period_End &gt;= G$4) * (Period_End &lt;= G$5) * (IFERROR(SEARCH(G$1, Key_Gps),0)&gt;0) * (pp_diff = 0)))),0),_xlpm.perc,_xlpm.calc/_xlpm.denom,IFERROR(IF(_xlpm.calc&lt;1000,_xlfn.CONCAT(_xlpm.calc," (",TEXT(_xlpm.perc,"0.0%"),")"),_xlfn.CONCAT(TEXT(_xlpm.calc,"0,000")," (",TEXT(_xlpm.perc,"0.0%"),")")),"-"))</f>
        <v>-</v>
      </c>
      <c r="H175" s="65" t="str" cm="1">
        <f t="array" ref="H175">_xlfn.LET(_xlpm.denom,H$170,_xlpm.calc,IFERROR(ROWS(_xlfn.UNIQUE(_xlfn._xlws.FILTER(ID_Period_End,(Period_End &gt;= H$4) * (Period_End &lt;= H$5) * (IFERROR(SEARCH(H$1, Key_Gps),0)&gt;0) * (pp_diff = 0)))),0),_xlpm.perc,_xlpm.calc/_xlpm.denom,IFERROR(IF(_xlpm.calc&lt;1000,_xlfn.CONCAT(_xlpm.calc," (",TEXT(_xlpm.perc,"0.0%"),")"),_xlfn.CONCAT(TEXT(_xlpm.calc,"0,000")," (",TEXT(_xlpm.perc,"0.0%"),")")),"-"))</f>
        <v>-</v>
      </c>
      <c r="I175" s="65" t="str" cm="1">
        <f t="array" ref="I175">_xlfn.LET(_xlpm.denom,I$170,_xlpm.calc,IFERROR(ROWS(_xlfn.UNIQUE(_xlfn._xlws.FILTER(ID_Period_End,(Period_End &gt;= I$4) * (Period_End &lt;= I$5) * (IFERROR(SEARCH(I$1, Key_Gps),0)&gt;0) * (pp_diff = 0)))),0),_xlpm.perc,_xlpm.calc/_xlpm.denom,IFERROR(IF(_xlpm.calc&lt;1000,_xlfn.CONCAT(_xlpm.calc," (",TEXT(_xlpm.perc,"0.0%"),")"),_xlfn.CONCAT(TEXT(_xlpm.calc,"0,000")," (",TEXT(_xlpm.perc,"0.0%"),")")),"-"))</f>
        <v>-</v>
      </c>
      <c r="J175" s="65" t="str" cm="1">
        <f t="array" ref="J175">_xlfn.LET(_xlpm.denom,J$170,_xlpm.calc,IFERROR(ROWS(_xlfn.UNIQUE(_xlfn._xlws.FILTER(ID_Period_End,(Period_End &gt;= J$4) * (Period_End &lt;= J$5) * (IFERROR(SEARCH(J$1, Key_Gps),0)&gt;0) * (pp_diff = 0)))),0),_xlpm.perc,_xlpm.calc/_xlpm.denom,IFERROR(IF(_xlpm.calc&lt;1000,_xlfn.CONCAT(_xlpm.calc," (",TEXT(_xlpm.perc,"0.0%"),")"),_xlfn.CONCAT(TEXT(_xlpm.calc,"0,000")," (",TEXT(_xlpm.perc,"0.0%"),")")),"-"))</f>
        <v>-</v>
      </c>
      <c r="K175" s="65" t="str" cm="1">
        <f t="array" ref="K175">_xlfn.LET(_xlpm.denom,K$170,_xlpm.calc,IFERROR(ROWS(_xlfn.UNIQUE(_xlfn._xlws.FILTER(ID_Period_End,(Period_End &gt;= K$4) * (Period_End &lt;= K$5) * (IFERROR(SEARCH(K$1, Key_Gps),0)&gt;0) * (pp_diff = 0)))),0),_xlpm.perc,_xlpm.calc/_xlpm.denom,IFERROR(IF(_xlpm.calc&lt;1000,_xlfn.CONCAT(_xlpm.calc," (",TEXT(_xlpm.perc,"0.0%"),")"),_xlfn.CONCAT(TEXT(_xlpm.calc,"0,000")," (",TEXT(_xlpm.perc,"0.0%"),")")),"-"))</f>
        <v>-</v>
      </c>
      <c r="L175" s="65" t="str" cm="1">
        <f t="array" ref="L175">_xlfn.LET(_xlpm.denom,L$170,_xlpm.calc,IFERROR(ROWS(_xlfn.UNIQUE(_xlfn._xlws.FILTER(ID_Period_End,(Period_End &gt;= L$4) * (Period_End &lt;= L$5) * (IFERROR(SEARCH(L$1, Key_Gps),0)&gt;0) * (pp_diff = 0)))),0),_xlpm.perc,_xlpm.calc/_xlpm.denom,IFERROR(IF(_xlpm.calc&lt;1000,_xlfn.CONCAT(_xlpm.calc," (",TEXT(_xlpm.perc,"0.0%"),")"),_xlfn.CONCAT(TEXT(_xlpm.calc,"0,000")," (",TEXT(_xlpm.perc,"0.0%"),")")),"-"))</f>
        <v>-</v>
      </c>
      <c r="M175" s="155" t="str" cm="1">
        <f t="array" ref="M175">_xlfn.LET(_xlpm.denom,M$170,_xlpm.calc,IFERROR(ROWS(_xlfn.UNIQUE(_xlfn._xlws.FILTER(ID_Period_End,(Period_End &gt;= M$4) * (Period_End &lt;= M$5) * (IFERROR(SEARCH(M$1, Key_Gps),0)&gt;0) * (pp_diff = 0)))),0),_xlpm.perc,_xlpm.calc/_xlpm.denom,IFERROR(IF(_xlpm.calc&lt;1000,_xlfn.CONCAT(_xlpm.calc," (",TEXT(_xlpm.perc,"0.0%"),")"),_xlfn.CONCAT(TEXT(_xlpm.calc,"0,000")," (",TEXT(_xlpm.perc,"0.0%"),")")),"-"))</f>
        <v>-</v>
      </c>
      <c r="N175" s="96" t="s">
        <v>80</v>
      </c>
      <c r="O175" s="74"/>
      <c r="P175" s="42"/>
      <c r="Q175" s="75" t="str">
        <f t="shared" si="110"/>
        <v/>
      </c>
      <c r="R175" s="76" t="e">
        <f t="shared" si="111"/>
        <v>#VALUE!</v>
      </c>
      <c r="S175" s="64">
        <f t="shared" si="126"/>
        <v>1</v>
      </c>
      <c r="T175" s="42" t="str">
        <f t="shared" ca="1" si="112"/>
        <v>-</v>
      </c>
      <c r="U175" s="42" t="str">
        <f t="shared" si="113"/>
        <v>-</v>
      </c>
      <c r="V175" s="42" t="str">
        <f t="shared" si="114"/>
        <v>-</v>
      </c>
      <c r="W175" s="42" t="str">
        <f t="shared" si="115"/>
        <v>-</v>
      </c>
      <c r="X175" s="42" t="str">
        <f t="shared" si="116"/>
        <v>-</v>
      </c>
      <c r="Y175" s="42" t="str">
        <f t="shared" si="117"/>
        <v>-</v>
      </c>
      <c r="Z175" s="42" t="str">
        <f t="shared" si="118"/>
        <v>-</v>
      </c>
      <c r="AA175" s="42" t="str">
        <f t="shared" si="119"/>
        <v>-</v>
      </c>
      <c r="AB175" s="42" t="str">
        <f t="shared" si="120"/>
        <v>-</v>
      </c>
      <c r="AC175" s="42" t="str">
        <f t="shared" si="121"/>
        <v>-</v>
      </c>
    </row>
    <row r="176" spans="1:29" s="41" customFormat="1" ht="28.8" outlineLevel="1" x14ac:dyDescent="0.25">
      <c r="A176" s="42" t="s">
        <v>13</v>
      </c>
      <c r="B176" s="315"/>
      <c r="C176" s="184" t="s">
        <v>139</v>
      </c>
      <c r="D176" s="203" t="str">
        <f ca="1">IFERROR(E176/E$164*D$164,"-")</f>
        <v>-</v>
      </c>
      <c r="E176" s="187" t="str" cm="1">
        <f t="array" ref="E176">IFERROR(SUMIFS(diff, diff,"&lt;0",Date,"&gt;="&amp;E$4,Date,"&lt;="&amp;E$5,Key_Gps,"*"&amp;E$1&amp;"*"),"-")</f>
        <v>-</v>
      </c>
      <c r="F176" s="187" t="str" cm="1">
        <f t="array" ref="F176">IFERROR(SUMIFS(diff, diff,"&lt;0",Date,"&gt;="&amp;F$4,Date,"&lt;="&amp;F$5,Key_Gps,"*"&amp;F$1&amp;"*"),"-")</f>
        <v>-</v>
      </c>
      <c r="G176" s="187" t="str" cm="1">
        <f t="array" ref="G176">IFERROR(SUMIFS(diff, diff,"&lt;0",Date,"&gt;="&amp;G$4,Date,"&lt;="&amp;G$5,Key_Gps,"*"&amp;G$1&amp;"*"),"-")</f>
        <v>-</v>
      </c>
      <c r="H176" s="187" t="str" cm="1">
        <f t="array" ref="H176">IFERROR(SUMIFS(diff, diff,"&lt;0",Date,"&gt;="&amp;H$4,Date,"&lt;="&amp;H$5,Key_Gps,"*"&amp;H$1&amp;"*"),"-")</f>
        <v>-</v>
      </c>
      <c r="I176" s="187" t="str" cm="1">
        <f t="array" ref="I176">IFERROR(SUMIFS(diff, diff,"&lt;0",Date,"&gt;="&amp;I$4,Date,"&lt;="&amp;I$5,Key_Gps,"*"&amp;I$1&amp;"*"),"-")</f>
        <v>-</v>
      </c>
      <c r="J176" s="187" t="str" cm="1">
        <f t="array" ref="J176">IFERROR(SUMIFS(diff, diff,"&lt;0",Date,"&gt;="&amp;J$4,Date,"&lt;="&amp;J$5,Key_Gps,"*"&amp;J$1&amp;"*"),"-")</f>
        <v>-</v>
      </c>
      <c r="K176" s="187" t="str" cm="1">
        <f t="array" ref="K176">IFERROR(SUMIFS(diff, diff,"&lt;0",Date,"&gt;="&amp;K$4,Date,"&lt;="&amp;K$5,Key_Gps,"*"&amp;K$1&amp;"*"),"-")</f>
        <v>-</v>
      </c>
      <c r="L176" s="187" t="str" cm="1">
        <f t="array" ref="L176">IFERROR(SUMIFS(diff, diff,"&lt;0",Date,"&gt;="&amp;L$4,Date,"&lt;="&amp;L$5,Key_Gps,"*"&amp;L$1&amp;"*"),"-")</f>
        <v>-</v>
      </c>
      <c r="M176" s="188" t="str" cm="1">
        <f t="array" ref="M176">IFERROR(SUMIFS(diff, diff,"&lt;0",Date,"&gt;="&amp;M$4,Date,"&lt;="&amp;M$5,Key_Gps,"*"&amp;M$1&amp;"*"),"-")</f>
        <v>-</v>
      </c>
      <c r="N176" s="96" t="s">
        <v>80</v>
      </c>
      <c r="O176" s="74"/>
      <c r="P176" s="42"/>
      <c r="Q176" s="75" t="str">
        <f t="shared" si="110"/>
        <v/>
      </c>
      <c r="R176" s="76" t="str">
        <f t="shared" si="111"/>
        <v/>
      </c>
      <c r="S176" s="64" t="str">
        <f t="shared" si="126"/>
        <v/>
      </c>
      <c r="T176" s="42" t="str">
        <f t="shared" si="112"/>
        <v/>
      </c>
      <c r="U176" s="42" t="str">
        <f t="shared" si="113"/>
        <v/>
      </c>
      <c r="V176" s="42" t="str">
        <f t="shared" si="114"/>
        <v/>
      </c>
      <c r="W176" s="42" t="str">
        <f t="shared" si="115"/>
        <v/>
      </c>
      <c r="X176" s="42" t="str">
        <f t="shared" si="116"/>
        <v/>
      </c>
      <c r="Y176" s="42" t="str">
        <f t="shared" si="117"/>
        <v/>
      </c>
      <c r="Z176" s="42" t="str">
        <f t="shared" si="118"/>
        <v/>
      </c>
      <c r="AA176" s="42" t="str">
        <f t="shared" si="119"/>
        <v/>
      </c>
      <c r="AB176" s="42" t="str">
        <f t="shared" si="120"/>
        <v/>
      </c>
      <c r="AC176" s="42" t="str">
        <f t="shared" si="121"/>
        <v/>
      </c>
    </row>
    <row r="177" spans="1:29" s="41" customFormat="1" ht="28.8" outlineLevel="1" x14ac:dyDescent="0.25">
      <c r="A177" s="42" t="s">
        <v>13</v>
      </c>
      <c r="B177" s="315"/>
      <c r="C177" s="184" t="s">
        <v>140</v>
      </c>
      <c r="D177" s="203" t="str">
        <f ca="1">IFERROR(E177/E$164*D$164,"-")</f>
        <v>-</v>
      </c>
      <c r="E177" s="187" t="str" cm="1">
        <f t="array" ref="E177">IFERROR(SUMIFS(diff, diff,"&gt;0",Date,"&gt;="&amp;E$4,Date,"&lt;="&amp;E$5,Key_Gps,"*"&amp;E$1&amp;"*"),"-")</f>
        <v>-</v>
      </c>
      <c r="F177" s="187" t="str" cm="1">
        <f t="array" ref="F177">IFERROR(SUMIFS(diff, diff,"&gt;0",Date,"&gt;="&amp;F$4,Date,"&lt;="&amp;F$5,Key_Gps,"*"&amp;F$1&amp;"*"),"-")</f>
        <v>-</v>
      </c>
      <c r="G177" s="187" t="str" cm="1">
        <f t="array" ref="G177">IFERROR(SUMIFS(diff, diff,"&gt;0",Date,"&gt;="&amp;G$4,Date,"&lt;="&amp;G$5,Key_Gps,"*"&amp;G$1&amp;"*"),"-")</f>
        <v>-</v>
      </c>
      <c r="H177" s="187" t="str" cm="1">
        <f t="array" ref="H177">IFERROR(SUMIFS(diff, diff,"&gt;0",Date,"&gt;="&amp;H$4,Date,"&lt;="&amp;H$5,Key_Gps,"*"&amp;H$1&amp;"*"),"-")</f>
        <v>-</v>
      </c>
      <c r="I177" s="187" t="str" cm="1">
        <f t="array" ref="I177">IFERROR(SUMIFS(diff, diff,"&gt;0",Date,"&gt;="&amp;I$4,Date,"&lt;="&amp;I$5,Key_Gps,"*"&amp;I$1&amp;"*"),"-")</f>
        <v>-</v>
      </c>
      <c r="J177" s="187" t="str" cm="1">
        <f t="array" ref="J177">IFERROR(SUMIFS(diff, diff,"&gt;0",Date,"&gt;="&amp;J$4,Date,"&lt;="&amp;J$5,Key_Gps,"*"&amp;J$1&amp;"*"),"-")</f>
        <v>-</v>
      </c>
      <c r="K177" s="187" t="str" cm="1">
        <f t="array" ref="K177">IFERROR(SUMIFS(diff, diff,"&gt;0",Date,"&gt;="&amp;K$4,Date,"&lt;="&amp;K$5,Key_Gps,"*"&amp;K$1&amp;"*"),"-")</f>
        <v>-</v>
      </c>
      <c r="L177" s="187" t="str" cm="1">
        <f t="array" ref="L177">IFERROR(SUMIFS(diff, diff,"&gt;0",Date,"&gt;="&amp;L$4,Date,"&lt;="&amp;L$5,Key_Gps,"*"&amp;L$1&amp;"*"),"-")</f>
        <v>-</v>
      </c>
      <c r="M177" s="188" t="str" cm="1">
        <f t="array" ref="M177">IFERROR(SUMIFS(diff, diff,"&gt;0",Date,"&gt;="&amp;M$4,Date,"&lt;="&amp;M$5,Key_Gps,"*"&amp;M$1&amp;"*"),"-")</f>
        <v>-</v>
      </c>
      <c r="N177" s="96" t="s">
        <v>80</v>
      </c>
      <c r="O177" s="74"/>
      <c r="P177" s="42"/>
      <c r="Q177" s="75" t="str">
        <f t="shared" si="110"/>
        <v/>
      </c>
      <c r="R177" s="76" t="str">
        <f t="shared" si="111"/>
        <v/>
      </c>
      <c r="S177" s="64" t="str">
        <f t="shared" si="126"/>
        <v/>
      </c>
      <c r="T177" s="42" t="str">
        <f t="shared" si="112"/>
        <v/>
      </c>
      <c r="U177" s="42" t="str">
        <f t="shared" si="113"/>
        <v/>
      </c>
      <c r="V177" s="42" t="str">
        <f t="shared" si="114"/>
        <v/>
      </c>
      <c r="W177" s="42" t="str">
        <f t="shared" si="115"/>
        <v/>
      </c>
      <c r="X177" s="42" t="str">
        <f t="shared" si="116"/>
        <v/>
      </c>
      <c r="Y177" s="42" t="str">
        <f t="shared" si="117"/>
        <v/>
      </c>
      <c r="Z177" s="42" t="str">
        <f t="shared" si="118"/>
        <v/>
      </c>
      <c r="AA177" s="42" t="str">
        <f t="shared" si="119"/>
        <v/>
      </c>
      <c r="AB177" s="42" t="str">
        <f t="shared" si="120"/>
        <v/>
      </c>
      <c r="AC177" s="42" t="str">
        <f t="shared" si="121"/>
        <v/>
      </c>
    </row>
    <row r="178" spans="1:29" s="41" customFormat="1" ht="28.8" outlineLevel="1" x14ac:dyDescent="0.25">
      <c r="A178" s="42" t="s">
        <v>13</v>
      </c>
      <c r="B178" s="315"/>
      <c r="C178" s="184" t="s">
        <v>141</v>
      </c>
      <c r="D178" s="203">
        <f ca="1">SUM(D176:D177)</f>
        <v>0</v>
      </c>
      <c r="E178" s="187">
        <f t="shared" ref="E178:M178" si="129">SUM(E176:E177)</f>
        <v>0</v>
      </c>
      <c r="F178" s="187">
        <f t="shared" si="129"/>
        <v>0</v>
      </c>
      <c r="G178" s="187">
        <f t="shared" si="129"/>
        <v>0</v>
      </c>
      <c r="H178" s="187">
        <f t="shared" si="129"/>
        <v>0</v>
      </c>
      <c r="I178" s="187">
        <f t="shared" si="129"/>
        <v>0</v>
      </c>
      <c r="J178" s="187">
        <f t="shared" ref="J178:K178" si="130">SUM(J176:J177)</f>
        <v>0</v>
      </c>
      <c r="K178" s="187">
        <f t="shared" si="130"/>
        <v>0</v>
      </c>
      <c r="L178" s="187">
        <f t="shared" si="129"/>
        <v>0</v>
      </c>
      <c r="M178" s="188">
        <f t="shared" si="129"/>
        <v>0</v>
      </c>
      <c r="N178" s="96" t="s">
        <v>80</v>
      </c>
      <c r="O178" s="74"/>
      <c r="P178" s="42"/>
      <c r="Q178" s="75" t="str">
        <f t="shared" si="110"/>
        <v/>
      </c>
      <c r="R178" s="76">
        <f t="shared" si="111"/>
        <v>0</v>
      </c>
      <c r="S178" s="64">
        <f t="shared" si="126"/>
        <v>1</v>
      </c>
      <c r="T178" s="42">
        <f t="shared" ca="1" si="112"/>
        <v>0</v>
      </c>
      <c r="U178" s="42">
        <f t="shared" si="113"/>
        <v>0</v>
      </c>
      <c r="V178" s="42">
        <f t="shared" si="114"/>
        <v>0</v>
      </c>
      <c r="W178" s="42">
        <f t="shared" si="115"/>
        <v>0</v>
      </c>
      <c r="X178" s="42">
        <f t="shared" si="116"/>
        <v>0</v>
      </c>
      <c r="Y178" s="42">
        <f t="shared" si="117"/>
        <v>0</v>
      </c>
      <c r="Z178" s="42">
        <f t="shared" si="118"/>
        <v>0</v>
      </c>
      <c r="AA178" s="42">
        <f t="shared" si="119"/>
        <v>0</v>
      </c>
      <c r="AB178" s="42">
        <f t="shared" si="120"/>
        <v>0</v>
      </c>
      <c r="AC178" s="42">
        <f t="shared" si="121"/>
        <v>0</v>
      </c>
    </row>
    <row r="179" spans="1:29" s="41" customFormat="1" x14ac:dyDescent="0.25">
      <c r="A179" s="42">
        <v>1</v>
      </c>
      <c r="B179" s="179"/>
      <c r="C179" s="58"/>
      <c r="D179" s="202"/>
      <c r="E179" s="58"/>
      <c r="F179" s="58"/>
      <c r="G179" s="58"/>
      <c r="H179" s="58"/>
      <c r="I179" s="58"/>
      <c r="J179" s="58"/>
      <c r="K179" s="58"/>
      <c r="L179" s="58"/>
      <c r="M179" s="169"/>
      <c r="N179" s="58"/>
      <c r="O179" s="74"/>
      <c r="P179" s="42"/>
      <c r="Q179" s="75" t="str">
        <f t="shared" si="110"/>
        <v/>
      </c>
      <c r="R179" s="76" t="str">
        <f t="shared" si="111"/>
        <v/>
      </c>
      <c r="S179" s="64" t="str">
        <f t="shared" si="126"/>
        <v/>
      </c>
      <c r="T179" s="42" t="str">
        <f t="shared" si="112"/>
        <v/>
      </c>
      <c r="U179" s="42" t="str">
        <f t="shared" si="113"/>
        <v/>
      </c>
      <c r="V179" s="42" t="str">
        <f t="shared" si="114"/>
        <v/>
      </c>
      <c r="W179" s="42" t="str">
        <f t="shared" si="115"/>
        <v/>
      </c>
      <c r="X179" s="42" t="str">
        <f t="shared" si="116"/>
        <v/>
      </c>
      <c r="Y179" s="42" t="str">
        <f t="shared" si="117"/>
        <v/>
      </c>
      <c r="Z179" s="42" t="str">
        <f t="shared" si="118"/>
        <v/>
      </c>
      <c r="AA179" s="42" t="str">
        <f t="shared" si="119"/>
        <v/>
      </c>
      <c r="AB179" s="42" t="str">
        <f t="shared" si="120"/>
        <v/>
      </c>
      <c r="AC179" s="42" t="str">
        <f t="shared" si="121"/>
        <v/>
      </c>
    </row>
    <row r="180" spans="1:29" s="41" customFormat="1" ht="28.8" outlineLevel="1" x14ac:dyDescent="0.25">
      <c r="A180" s="42" t="s">
        <v>13</v>
      </c>
      <c r="B180" s="314" t="s">
        <v>142</v>
      </c>
      <c r="C180" s="51" t="s">
        <v>15</v>
      </c>
      <c r="D180" s="193">
        <f t="shared" ref="D180:K181" si="131">_xlfn.LET(_xlpm.calc,_xlfn.XLOOKUP($C180,$C:$C,D:D),IF(IFERROR(SEARCH(" ",_xlpm.calc),0)&gt;0,IFERROR(VALUE(LEFT(_xlpm.calc,SEARCH(" ",_xlpm.calc))),"-"),IFERROR(_xlpm.calc,"-")))</f>
        <v>43466</v>
      </c>
      <c r="E180" s="52" t="str">
        <f t="shared" si="131"/>
        <v>-</v>
      </c>
      <c r="F180" s="52" t="str">
        <f t="shared" si="131"/>
        <v>-</v>
      </c>
      <c r="G180" s="52" t="str">
        <f t="shared" si="131"/>
        <v>-</v>
      </c>
      <c r="H180" s="52" t="str">
        <f t="shared" si="131"/>
        <v>-</v>
      </c>
      <c r="I180" s="52" t="str">
        <f t="shared" si="131"/>
        <v>-</v>
      </c>
      <c r="J180" s="52" t="str">
        <f t="shared" si="131"/>
        <v>-</v>
      </c>
      <c r="K180" s="52" t="str">
        <f t="shared" si="131"/>
        <v>-</v>
      </c>
      <c r="L180" s="52" t="str">
        <f>_xlfn.LET(_xlpm.calc,_xlfn.XLOOKUP($C180,$C:$C,L:L),IF(IFERROR(SEARCH(" ",_xlpm.calc),0)&gt;0,IFERROR(VALUE(LEFT(_xlpm.calc,SEARCH(" ",_xlpm.calc))),"-"),IFERROR(_xlpm.calc,"-")))</f>
        <v>-</v>
      </c>
      <c r="M180" s="154" t="str">
        <f>_xlfn.LET(_xlpm.calc,_xlfn.XLOOKUP($C180,$C:$C,M:M),IF(IFERROR(SEARCH(" ",_xlpm.calc),0)&gt;0,IFERROR(VALUE(LEFT(_xlpm.calc,SEARCH(" ",_xlpm.calc))),"-"),IFERROR(_xlpm.calc,"-")))</f>
        <v>-</v>
      </c>
      <c r="N180" s="225" t="str">
        <f>_xlfn.CONCAT("Threshold for rounded punches analysis: ",$O$180," hrs")</f>
        <v>Threshold for rounded punches analysis: 0.01 hrs</v>
      </c>
      <c r="O180" s="226">
        <v>0.01</v>
      </c>
      <c r="P180" s="42"/>
      <c r="Q180" s="75" t="str">
        <f t="shared" si="110"/>
        <v/>
      </c>
      <c r="R180" s="76" t="str">
        <f t="shared" si="111"/>
        <v/>
      </c>
      <c r="S180" s="64" t="str">
        <f t="shared" si="126"/>
        <v/>
      </c>
      <c r="T180" s="42" t="str">
        <f t="shared" si="112"/>
        <v/>
      </c>
      <c r="U180" s="42" t="str">
        <f t="shared" si="113"/>
        <v/>
      </c>
      <c r="V180" s="42" t="str">
        <f t="shared" si="114"/>
        <v/>
      </c>
      <c r="W180" s="42" t="str">
        <f t="shared" si="115"/>
        <v/>
      </c>
      <c r="X180" s="42" t="str">
        <f t="shared" si="116"/>
        <v/>
      </c>
      <c r="Y180" s="42" t="str">
        <f t="shared" si="117"/>
        <v/>
      </c>
      <c r="Z180" s="42" t="str">
        <f t="shared" si="118"/>
        <v/>
      </c>
      <c r="AA180" s="42" t="str">
        <f t="shared" si="119"/>
        <v/>
      </c>
      <c r="AB180" s="42" t="str">
        <f t="shared" si="120"/>
        <v/>
      </c>
      <c r="AC180" s="42" t="str">
        <f t="shared" si="121"/>
        <v/>
      </c>
    </row>
    <row r="181" spans="1:29" s="41" customFormat="1" ht="28.8" outlineLevel="1" x14ac:dyDescent="0.25">
      <c r="A181" s="42" t="s">
        <v>13</v>
      </c>
      <c r="B181" s="314"/>
      <c r="C181" s="51" t="s">
        <v>16</v>
      </c>
      <c r="D181" s="193">
        <f t="shared" ca="1" si="131"/>
        <v>46083</v>
      </c>
      <c r="E181" s="52" t="str">
        <f t="shared" si="131"/>
        <v>-</v>
      </c>
      <c r="F181" s="52" t="str">
        <f t="shared" si="131"/>
        <v>-</v>
      </c>
      <c r="G181" s="52" t="str">
        <f t="shared" si="131"/>
        <v>-</v>
      </c>
      <c r="H181" s="52" t="str">
        <f t="shared" si="131"/>
        <v>-</v>
      </c>
      <c r="I181" s="52" t="str">
        <f t="shared" si="131"/>
        <v>-</v>
      </c>
      <c r="J181" s="52" t="str">
        <f t="shared" si="131"/>
        <v>-</v>
      </c>
      <c r="K181" s="52" t="str">
        <f t="shared" si="131"/>
        <v>-</v>
      </c>
      <c r="L181" s="52" t="str">
        <f>_xlfn.LET(_xlpm.calc,_xlfn.XLOOKUP($C181,$C:$C,L:L),IF(IFERROR(SEARCH(" ",_xlpm.calc),0)&gt;0,IFERROR(VALUE(LEFT(_xlpm.calc,SEARCH(" ",_xlpm.calc))),"-"),IFERROR(_xlpm.calc,"-")))</f>
        <v>-</v>
      </c>
      <c r="M181" s="154" t="str">
        <f>_xlfn.LET(_xlpm.calc,_xlfn.XLOOKUP($C181,$C:$C,M:M),IF(IFERROR(SEARCH(" ",_xlpm.calc),0)&gt;0,IFERROR(VALUE(LEFT(_xlpm.calc,SEARCH(" ",_xlpm.calc))),"-"),IFERROR(_xlpm.calc,"-")))</f>
        <v>-</v>
      </c>
      <c r="N181" s="53"/>
      <c r="O181" s="74"/>
      <c r="P181" s="42"/>
      <c r="Q181" s="75" t="str">
        <f t="shared" si="110"/>
        <v/>
      </c>
      <c r="R181" s="76" t="str">
        <f t="shared" si="111"/>
        <v/>
      </c>
      <c r="S181" s="64" t="str">
        <f t="shared" si="126"/>
        <v/>
      </c>
      <c r="T181" s="42" t="str">
        <f t="shared" si="112"/>
        <v/>
      </c>
      <c r="U181" s="42" t="str">
        <f t="shared" si="113"/>
        <v/>
      </c>
      <c r="V181" s="42" t="str">
        <f t="shared" si="114"/>
        <v/>
      </c>
      <c r="W181" s="42" t="str">
        <f t="shared" si="115"/>
        <v/>
      </c>
      <c r="X181" s="42" t="str">
        <f t="shared" si="116"/>
        <v/>
      </c>
      <c r="Y181" s="42" t="str">
        <f t="shared" si="117"/>
        <v/>
      </c>
      <c r="Z181" s="42" t="str">
        <f t="shared" si="118"/>
        <v/>
      </c>
      <c r="AA181" s="42" t="str">
        <f t="shared" si="119"/>
        <v/>
      </c>
      <c r="AB181" s="42" t="str">
        <f t="shared" si="120"/>
        <v/>
      </c>
      <c r="AC181" s="42" t="str">
        <f t="shared" si="121"/>
        <v/>
      </c>
    </row>
    <row r="182" spans="1:29" s="41" customFormat="1" ht="28.8" outlineLevel="1" x14ac:dyDescent="0.25">
      <c r="A182" s="42" t="s">
        <v>13</v>
      </c>
      <c r="B182" s="314"/>
      <c r="C182" s="49" t="s">
        <v>143</v>
      </c>
      <c r="D182" s="195">
        <f>ROUND(E182*ref!$B$4,0)</f>
        <v>0</v>
      </c>
      <c r="E182" s="65" cm="1">
        <f t="array" ref="E182">IFERROR(ROWS(_xlfn.UNIQUE(_xlfn._xlws.FILTER(ID,(Date &gt;= E$4) * (Date &lt;= E$5) * (IFERROR(SEARCH(E$1, Key_Gps),0)&gt;0) * (r_diff &lt;&gt; "")))),0)</f>
        <v>0</v>
      </c>
      <c r="F182" s="65" cm="1">
        <f t="array" ref="F182">IFERROR(ROWS(_xlfn.UNIQUE(_xlfn._xlws.FILTER(ID,(Date &gt;= F$4) * (Date &lt;= F$5) * (IFERROR(SEARCH(F$1, Key_Gps),0)&gt;0) * (r_diff &lt;&gt; "")))),0)</f>
        <v>0</v>
      </c>
      <c r="G182" s="65" cm="1">
        <f t="array" ref="G182">IFERROR(ROWS(_xlfn.UNIQUE(_xlfn._xlws.FILTER(ID,(Date &gt;= G$4) * (Date &lt;= G$5) * (IFERROR(SEARCH(G$1, Key_Gps),0)&gt;0) * (r_diff &lt;&gt; "")))),0)</f>
        <v>0</v>
      </c>
      <c r="H182" s="65" cm="1">
        <f t="array" ref="H182">IFERROR(ROWS(_xlfn.UNIQUE(_xlfn._xlws.FILTER(ID,(Date &gt;= H$4) * (Date &lt;= H$5) * (IFERROR(SEARCH(H$1, Key_Gps),0)&gt;0) * (r_diff &lt;&gt; "")))),0)</f>
        <v>0</v>
      </c>
      <c r="I182" s="65" cm="1">
        <f t="array" ref="I182">IFERROR(ROWS(_xlfn.UNIQUE(_xlfn._xlws.FILTER(ID,(Date &gt;= I$4) * (Date &lt;= I$5) * (IFERROR(SEARCH(I$1, Key_Gps),0)&gt;0) * (r_diff &lt;&gt; "")))),0)</f>
        <v>0</v>
      </c>
      <c r="J182" s="65" cm="1">
        <f t="array" ref="J182">IFERROR(ROWS(_xlfn.UNIQUE(_xlfn._xlws.FILTER(ID,(Date &gt;= J$4) * (Date &lt;= J$5) * (IFERROR(SEARCH(J$1, Key_Gps),0)&gt;0) * (r_diff &lt;&gt; "")))),0)</f>
        <v>0</v>
      </c>
      <c r="K182" s="65" cm="1">
        <f t="array" ref="K182">IFERROR(ROWS(_xlfn.UNIQUE(_xlfn._xlws.FILTER(ID,(Date &gt;= K$4) * (Date &lt;= K$5) * (IFERROR(SEARCH(K$1, Key_Gps),0)&gt;0) * (r_diff &lt;&gt; "")))),0)</f>
        <v>0</v>
      </c>
      <c r="L182" s="65" cm="1">
        <f t="array" ref="L182">IFERROR(ROWS(_xlfn.UNIQUE(_xlfn._xlws.FILTER(ID,(Date &gt;= L$4) * (Date &lt;= L$5) * (IFERROR(SEARCH(L$1, Key_Gps),0)&gt;0) * (r_diff &lt;&gt; "")))),0)</f>
        <v>0</v>
      </c>
      <c r="M182" s="155" cm="1">
        <f t="array" ref="M182">IFERROR(ROWS(_xlfn.UNIQUE(_xlfn._xlws.FILTER(ID,(Date &gt;= M$4) * (Date &lt;= M$5) * (IFERROR(SEARCH(M$1, Key_Gps),0)&gt;0) * (r_diff &lt;&gt; "")))),0)</f>
        <v>0</v>
      </c>
      <c r="N182" s="95"/>
      <c r="O182" s="74"/>
      <c r="P182" s="42"/>
      <c r="Q182" s="75" t="str">
        <f t="shared" si="110"/>
        <v/>
      </c>
      <c r="R182" s="76" t="str">
        <f t="shared" si="111"/>
        <v/>
      </c>
      <c r="S182" s="64" t="str">
        <f t="shared" si="126"/>
        <v/>
      </c>
      <c r="T182" s="42" t="str">
        <f t="shared" ref="T182:T213" si="132">IF($S182&lt;&gt;1,"",IF(IFERROR(SEARCH("(",D182),0)=0,D182,VALUE(TRIM(LEFT(D182,SEARCH(" (",D182))))))</f>
        <v/>
      </c>
      <c r="U182" s="42" t="str">
        <f t="shared" ref="U182:U213" si="133">IF($S182&lt;&gt;1,"",IF(IFERROR(SEARCH("(",E182),0)=0,E182,VALUE(TRIM(LEFT(E182,SEARCH(" (",E182))))))</f>
        <v/>
      </c>
      <c r="V182" s="42" t="str">
        <f t="shared" ref="V182:V213" si="134">IF($S182&lt;&gt;1,"",IF(IFERROR(SEARCH("(",F182),0)=0,F182,VALUE(TRIM(LEFT(F182,SEARCH(" (",F182))))))</f>
        <v/>
      </c>
      <c r="W182" s="42" t="str">
        <f t="shared" si="115"/>
        <v/>
      </c>
      <c r="X182" s="42" t="str">
        <f t="shared" si="116"/>
        <v/>
      </c>
      <c r="Y182" s="42" t="str">
        <f t="shared" si="117"/>
        <v/>
      </c>
      <c r="Z182" s="42" t="str">
        <f t="shared" si="118"/>
        <v/>
      </c>
      <c r="AA182" s="42" t="str">
        <f t="shared" si="119"/>
        <v/>
      </c>
      <c r="AB182" s="42" t="str">
        <f t="shared" si="120"/>
        <v/>
      </c>
      <c r="AC182" s="42" t="str">
        <f t="shared" ref="AC182:AC213" si="135">IF($S182&lt;&gt;1,"",IF(IFERROR(SEARCH("(",M182),0)=0,M182,VALUE(TRIM(LEFT(M182,SEARCH(" (",M182))))))</f>
        <v/>
      </c>
    </row>
    <row r="183" spans="1:29" s="41" customFormat="1" ht="28.8" outlineLevel="1" x14ac:dyDescent="0.25">
      <c r="A183" s="42" t="s">
        <v>13</v>
      </c>
      <c r="B183" s="314"/>
      <c r="C183" s="49" t="s">
        <v>127</v>
      </c>
      <c r="D183" s="195" t="str">
        <f>_xlfn.LET(_xlpm.calc,ROUND($Q157*D$182,0),_xlpm.perc,_xlpm.calc/D$182,IFERROR(IF(_xlpm.calc&lt;1000,_xlfn.CONCAT(_xlpm.calc," (",TEXT(_xlpm.perc,"0.0%"),")"),_xlfn.CONCAT(TEXT(_xlpm.calc,"0,000")," (",TEXT(_xlpm.perc,"0.0%"),")")),"-"))</f>
        <v>-</v>
      </c>
      <c r="E183" s="65" t="str" cm="1">
        <f t="array" ref="E183">_xlfn.LET(_xlpm.calc,IFERROR(ROWS(_xlfn.UNIQUE(_xlfn._xlws.FILTER(ID,(Date &gt;= E$4) * (Date &lt;= E$5) * (IFERROR(SEARCH(E$1, Key_Gps),0)&gt;0) * (r_diff &lt; 0) ))),0),_xlpm.perc,_xlpm.calc/E$182,IFERROR(IF(_xlpm.calc&lt;1000,_xlfn.CONCAT(_xlpm.calc," (",TEXT(_xlpm.perc,"0.0%"),")"),_xlfn.CONCAT(TEXT(_xlpm.calc,"0,000")," (",TEXT(_xlpm.perc,"0.0%"),")")),"-"))</f>
        <v>-</v>
      </c>
      <c r="F183" s="65" t="str" cm="1">
        <f t="array" ref="F183">_xlfn.LET(_xlpm.calc,IFERROR(ROWS(_xlfn.UNIQUE(_xlfn._xlws.FILTER(ID,(Date &gt;= F$4) * (Date &lt;= F$5) * (IFERROR(SEARCH(F$1, Key_Gps),0)&gt;0) * (r_diff &lt; 0) ))),0),_xlpm.perc,_xlpm.calc/F$182,IFERROR(IF(_xlpm.calc&lt;1000,_xlfn.CONCAT(_xlpm.calc," (",TEXT(_xlpm.perc,"0.0%"),")"),_xlfn.CONCAT(TEXT(_xlpm.calc,"0,000")," (",TEXT(_xlpm.perc,"0.0%"),")")),"-"))</f>
        <v>-</v>
      </c>
      <c r="G183" s="65" t="str" cm="1">
        <f t="array" ref="G183">_xlfn.LET(_xlpm.calc,IFERROR(ROWS(_xlfn.UNIQUE(_xlfn._xlws.FILTER(ID,(Date &gt;= G$4) * (Date &lt;= G$5) * (IFERROR(SEARCH(G$1, Key_Gps),0)&gt;0) * (r_diff &lt; 0) ))),0),_xlpm.perc,_xlpm.calc/G$182,IFERROR(IF(_xlpm.calc&lt;1000,_xlfn.CONCAT(_xlpm.calc," (",TEXT(_xlpm.perc,"0.0%"),")"),_xlfn.CONCAT(TEXT(_xlpm.calc,"0,000")," (",TEXT(_xlpm.perc,"0.0%"),")")),"-"))</f>
        <v>-</v>
      </c>
      <c r="H183" s="65" t="str" cm="1">
        <f t="array" ref="H183">_xlfn.LET(_xlpm.calc,IFERROR(ROWS(_xlfn.UNIQUE(_xlfn._xlws.FILTER(ID,(Date &gt;= H$4) * (Date &lt;= H$5) * (IFERROR(SEARCH(H$1, Key_Gps),0)&gt;0) * (r_diff &lt; 0) ))),0),_xlpm.perc,_xlpm.calc/H$182,IFERROR(IF(_xlpm.calc&lt;1000,_xlfn.CONCAT(_xlpm.calc," (",TEXT(_xlpm.perc,"0.0%"),")"),_xlfn.CONCAT(TEXT(_xlpm.calc,"0,000")," (",TEXT(_xlpm.perc,"0.0%"),")")),"-"))</f>
        <v>-</v>
      </c>
      <c r="I183" s="65" t="str" cm="1">
        <f t="array" ref="I183">_xlfn.LET(_xlpm.calc,IFERROR(ROWS(_xlfn.UNIQUE(_xlfn._xlws.FILTER(ID,(Date &gt;= I$4) * (Date &lt;= I$5) * (IFERROR(SEARCH(I$1, Key_Gps),0)&gt;0) * (r_diff &lt; 0) ))),0),_xlpm.perc,_xlpm.calc/I$182,IFERROR(IF(_xlpm.calc&lt;1000,_xlfn.CONCAT(_xlpm.calc," (",TEXT(_xlpm.perc,"0.0%"),")"),_xlfn.CONCAT(TEXT(_xlpm.calc,"0,000")," (",TEXT(_xlpm.perc,"0.0%"),")")),"-"))</f>
        <v>-</v>
      </c>
      <c r="J183" s="65" t="str" cm="1">
        <f t="array" ref="J183">_xlfn.LET(_xlpm.calc,IFERROR(ROWS(_xlfn.UNIQUE(_xlfn._xlws.FILTER(ID,(Date &gt;= J$4) * (Date &lt;= J$5) * (IFERROR(SEARCH(J$1, Key_Gps),0)&gt;0) * (r_diff &lt; 0) ))),0),_xlpm.perc,_xlpm.calc/J$182,IFERROR(IF(_xlpm.calc&lt;1000,_xlfn.CONCAT(_xlpm.calc," (",TEXT(_xlpm.perc,"0.0%"),")"),_xlfn.CONCAT(TEXT(_xlpm.calc,"0,000")," (",TEXT(_xlpm.perc,"0.0%"),")")),"-"))</f>
        <v>-</v>
      </c>
      <c r="K183" s="65" t="str" cm="1">
        <f t="array" ref="K183">_xlfn.LET(_xlpm.calc,IFERROR(ROWS(_xlfn.UNIQUE(_xlfn._xlws.FILTER(ID,(Date &gt;= K$4) * (Date &lt;= K$5) * (IFERROR(SEARCH(K$1, Key_Gps),0)&gt;0) * (r_diff &lt; 0) ))),0),_xlpm.perc,_xlpm.calc/K$182,IFERROR(IF(_xlpm.calc&lt;1000,_xlfn.CONCAT(_xlpm.calc," (",TEXT(_xlpm.perc,"0.0%"),")"),_xlfn.CONCAT(TEXT(_xlpm.calc,"0,000")," (",TEXT(_xlpm.perc,"0.0%"),")")),"-"))</f>
        <v>-</v>
      </c>
      <c r="L183" s="65" t="str" cm="1">
        <f t="array" ref="L183">_xlfn.LET(_xlpm.calc,IFERROR(ROWS(_xlfn.UNIQUE(_xlfn._xlws.FILTER(ID,(Date &gt;= L$4) * (Date &lt;= L$5) * (IFERROR(SEARCH(L$1, Key_Gps),0)&gt;0) * (r_diff &lt; 0) ))),0),_xlpm.perc,_xlpm.calc/L$182,IFERROR(IF(_xlpm.calc&lt;1000,_xlfn.CONCAT(_xlpm.calc," (",TEXT(_xlpm.perc,"0.0%"),")"),_xlfn.CONCAT(TEXT(_xlpm.calc,"0,000")," (",TEXT(_xlpm.perc,"0.0%"),")")),"-"))</f>
        <v>-</v>
      </c>
      <c r="M183" s="155" t="str" cm="1">
        <f t="array" ref="M183">_xlfn.LET(_xlpm.calc,IFERROR(ROWS(_xlfn.UNIQUE(_xlfn._xlws.FILTER(ID,(Date &gt;= M$4) * (Date &lt;= M$5) * (IFERROR(SEARCH(M$1, Key_Gps),0)&gt;0) * (r_diff &lt; 0) ))),0),_xlpm.perc,_xlpm.calc/M$182,IFERROR(IF(_xlpm.calc&lt;1000,_xlfn.CONCAT(_xlpm.calc," (",TEXT(_xlpm.perc,"0.0%"),")"),_xlfn.CONCAT(TEXT(_xlpm.calc,"0,000")," (",TEXT(_xlpm.perc,"0.0%"),")")),"-"))</f>
        <v>-</v>
      </c>
      <c r="N183" s="96" t="s">
        <v>144</v>
      </c>
      <c r="O183" s="74"/>
      <c r="P183" s="42"/>
      <c r="Q183" s="75" t="str">
        <f t="shared" si="110"/>
        <v/>
      </c>
      <c r="R183" s="76" t="str">
        <f t="shared" si="111"/>
        <v/>
      </c>
      <c r="S183" s="64" t="str">
        <f t="shared" si="126"/>
        <v/>
      </c>
      <c r="T183" s="42" t="str">
        <f t="shared" si="132"/>
        <v/>
      </c>
      <c r="U183" s="42" t="str">
        <f t="shared" si="133"/>
        <v/>
      </c>
      <c r="V183" s="42" t="str">
        <f t="shared" si="134"/>
        <v/>
      </c>
      <c r="W183" s="42" t="str">
        <f t="shared" si="115"/>
        <v/>
      </c>
      <c r="X183" s="42" t="str">
        <f t="shared" si="116"/>
        <v/>
      </c>
      <c r="Y183" s="42" t="str">
        <f t="shared" si="117"/>
        <v/>
      </c>
      <c r="Z183" s="42" t="str">
        <f t="shared" si="118"/>
        <v/>
      </c>
      <c r="AA183" s="42" t="str">
        <f t="shared" si="119"/>
        <v/>
      </c>
      <c r="AB183" s="42" t="str">
        <f t="shared" si="120"/>
        <v/>
      </c>
      <c r="AC183" s="42" t="str">
        <f t="shared" si="135"/>
        <v/>
      </c>
    </row>
    <row r="184" spans="1:29" s="41" customFormat="1" ht="28.8" outlineLevel="1" x14ac:dyDescent="0.25">
      <c r="A184" s="42" t="s">
        <v>13</v>
      </c>
      <c r="B184" s="314"/>
      <c r="C184" s="49" t="s">
        <v>129</v>
      </c>
      <c r="D184" s="195" t="str">
        <f>_xlfn.LET(_xlpm.calc,ROUND($Q184*D$182,0),_xlpm.perc,_xlpm.calc/D$182,IFERROR(IF(_xlpm.calc&lt;1000,_xlfn.CONCAT(_xlpm.calc," (",TEXT(_xlpm.perc,"0.0%"),")"),_xlfn.CONCAT(TEXT(_xlpm.calc,"0,000")," (",TEXT(_xlpm.perc,"0.0%"),")")),"-"))</f>
        <v>-</v>
      </c>
      <c r="E184" s="65" t="str" cm="1">
        <f t="array" ref="E184">_xlfn.LET(_xlpm.calc,IFERROR(ROWS(_xlfn.UNIQUE(_xlfn._xlws.FILTER(ID,(Date &gt;= E$4) * (Date &lt;= E$5) * (IFERROR(SEARCH(E$1, Key_Gps),0)&gt;0) * (r_diff &gt; 0) ))),0),_xlpm.perc,_xlpm.calc/E$182,IFERROR(IF(_xlpm.calc&lt;1000,_xlfn.CONCAT(_xlpm.calc," (",TEXT(_xlpm.perc,"0.0%"),")"),_xlfn.CONCAT(TEXT(_xlpm.calc,"0,000")," (",TEXT(_xlpm.perc,"0.0%"),")")),"-"))</f>
        <v>-</v>
      </c>
      <c r="F184" s="65" t="str" cm="1">
        <f t="array" ref="F184">_xlfn.LET(_xlpm.calc,IFERROR(ROWS(_xlfn.UNIQUE(_xlfn._xlws.FILTER(ID,(Date &gt;= F$4) * (Date &lt;= F$5) * (IFERROR(SEARCH(F$1, Key_Gps),0)&gt;0) * (r_diff &gt; 0) ))),0),_xlpm.perc,_xlpm.calc/F$182,IFERROR(IF(_xlpm.calc&lt;1000,_xlfn.CONCAT(_xlpm.calc," (",TEXT(_xlpm.perc,"0.0%"),")"),_xlfn.CONCAT(TEXT(_xlpm.calc,"0,000")," (",TEXT(_xlpm.perc,"0.0%"),")")),"-"))</f>
        <v>-</v>
      </c>
      <c r="G184" s="65" t="str" cm="1">
        <f t="array" ref="G184">_xlfn.LET(_xlpm.calc,IFERROR(ROWS(_xlfn.UNIQUE(_xlfn._xlws.FILTER(ID,(Date &gt;= G$4) * (Date &lt;= G$5) * (IFERROR(SEARCH(G$1, Key_Gps),0)&gt;0) * (r_diff &gt; 0) ))),0),_xlpm.perc,_xlpm.calc/G$182,IFERROR(IF(_xlpm.calc&lt;1000,_xlfn.CONCAT(_xlpm.calc," (",TEXT(_xlpm.perc,"0.0%"),")"),_xlfn.CONCAT(TEXT(_xlpm.calc,"0,000")," (",TEXT(_xlpm.perc,"0.0%"),")")),"-"))</f>
        <v>-</v>
      </c>
      <c r="H184" s="65" t="str" cm="1">
        <f t="array" ref="H184">_xlfn.LET(_xlpm.calc,IFERROR(ROWS(_xlfn.UNIQUE(_xlfn._xlws.FILTER(ID,(Date &gt;= H$4) * (Date &lt;= H$5) * (IFERROR(SEARCH(H$1, Key_Gps),0)&gt;0) * (r_diff &gt; 0) ))),0),_xlpm.perc,_xlpm.calc/H$182,IFERROR(IF(_xlpm.calc&lt;1000,_xlfn.CONCAT(_xlpm.calc," (",TEXT(_xlpm.perc,"0.0%"),")"),_xlfn.CONCAT(TEXT(_xlpm.calc,"0,000")," (",TEXT(_xlpm.perc,"0.0%"),")")),"-"))</f>
        <v>-</v>
      </c>
      <c r="I184" s="65" t="str" cm="1">
        <f t="array" ref="I184">_xlfn.LET(_xlpm.calc,IFERROR(ROWS(_xlfn.UNIQUE(_xlfn._xlws.FILTER(ID,(Date &gt;= I$4) * (Date &lt;= I$5) * (IFERROR(SEARCH(I$1, Key_Gps),0)&gt;0) * (r_diff &gt; 0) ))),0),_xlpm.perc,_xlpm.calc/I$182,IFERROR(IF(_xlpm.calc&lt;1000,_xlfn.CONCAT(_xlpm.calc," (",TEXT(_xlpm.perc,"0.0%"),")"),_xlfn.CONCAT(TEXT(_xlpm.calc,"0,000")," (",TEXT(_xlpm.perc,"0.0%"),")")),"-"))</f>
        <v>-</v>
      </c>
      <c r="J184" s="65" t="str" cm="1">
        <f t="array" ref="J184">_xlfn.LET(_xlpm.calc,IFERROR(ROWS(_xlfn.UNIQUE(_xlfn._xlws.FILTER(ID,(Date &gt;= J$4) * (Date &lt;= J$5) * (IFERROR(SEARCH(J$1, Key_Gps),0)&gt;0) * (r_diff &gt; 0) ))),0),_xlpm.perc,_xlpm.calc/J$182,IFERROR(IF(_xlpm.calc&lt;1000,_xlfn.CONCAT(_xlpm.calc," (",TEXT(_xlpm.perc,"0.0%"),")"),_xlfn.CONCAT(TEXT(_xlpm.calc,"0,000")," (",TEXT(_xlpm.perc,"0.0%"),")")),"-"))</f>
        <v>-</v>
      </c>
      <c r="K184" s="65" t="str" cm="1">
        <f t="array" ref="K184">_xlfn.LET(_xlpm.calc,IFERROR(ROWS(_xlfn.UNIQUE(_xlfn._xlws.FILTER(ID,(Date &gt;= K$4) * (Date &lt;= K$5) * (IFERROR(SEARCH(K$1, Key_Gps),0)&gt;0) * (r_diff &gt; 0) ))),0),_xlpm.perc,_xlpm.calc/K$182,IFERROR(IF(_xlpm.calc&lt;1000,_xlfn.CONCAT(_xlpm.calc," (",TEXT(_xlpm.perc,"0.0%"),")"),_xlfn.CONCAT(TEXT(_xlpm.calc,"0,000")," (",TEXT(_xlpm.perc,"0.0%"),")")),"-"))</f>
        <v>-</v>
      </c>
      <c r="L184" s="65" t="str" cm="1">
        <f t="array" ref="L184">_xlfn.LET(_xlpm.calc,IFERROR(ROWS(_xlfn.UNIQUE(_xlfn._xlws.FILTER(ID,(Date &gt;= L$4) * (Date &lt;= L$5) * (IFERROR(SEARCH(L$1, Key_Gps),0)&gt;0) * (r_diff &gt; 0) ))),0),_xlpm.perc,_xlpm.calc/L$182,IFERROR(IF(_xlpm.calc&lt;1000,_xlfn.CONCAT(_xlpm.calc," (",TEXT(_xlpm.perc,"0.0%"),")"),_xlfn.CONCAT(TEXT(_xlpm.calc,"0,000")," (",TEXT(_xlpm.perc,"0.0%"),")")),"-"))</f>
        <v>-</v>
      </c>
      <c r="M184" s="155" t="str" cm="1">
        <f t="array" ref="M184">_xlfn.LET(_xlpm.calc,IFERROR(ROWS(_xlfn.UNIQUE(_xlfn._xlws.FILTER(ID,(Date &gt;= M$4) * (Date &lt;= M$5) * (IFERROR(SEARCH(M$1, Key_Gps),0)&gt;0) * (r_diff &gt; 0) ))),0),_xlpm.perc,_xlpm.calc/M$182,IFERROR(IF(_xlpm.calc&lt;1000,_xlfn.CONCAT(_xlpm.calc," (",TEXT(_xlpm.perc,"0.0%"),")"),_xlfn.CONCAT(TEXT(_xlpm.calc,"0,000")," (",TEXT(_xlpm.perc,"0.0%"),")")),"-"))</f>
        <v>-</v>
      </c>
      <c r="N184" s="96" t="s">
        <v>144</v>
      </c>
      <c r="O184" s="74"/>
      <c r="P184" s="42"/>
      <c r="Q184" s="75" t="str">
        <f t="shared" si="110"/>
        <v/>
      </c>
      <c r="R184" s="76" t="str">
        <f t="shared" si="111"/>
        <v/>
      </c>
      <c r="S184" s="64" t="str">
        <f t="shared" si="126"/>
        <v/>
      </c>
      <c r="T184" s="42" t="str">
        <f t="shared" si="132"/>
        <v/>
      </c>
      <c r="U184" s="42" t="str">
        <f t="shared" si="133"/>
        <v/>
      </c>
      <c r="V184" s="42" t="str">
        <f t="shared" si="134"/>
        <v/>
      </c>
      <c r="W184" s="42" t="str">
        <f t="shared" si="115"/>
        <v/>
      </c>
      <c r="X184" s="42" t="str">
        <f t="shared" si="116"/>
        <v/>
      </c>
      <c r="Y184" s="42" t="str">
        <f t="shared" si="117"/>
        <v/>
      </c>
      <c r="Z184" s="42" t="str">
        <f t="shared" si="118"/>
        <v/>
      </c>
      <c r="AA184" s="42" t="str">
        <f t="shared" si="119"/>
        <v/>
      </c>
      <c r="AB184" s="42" t="str">
        <f t="shared" si="120"/>
        <v/>
      </c>
      <c r="AC184" s="42" t="str">
        <f t="shared" si="135"/>
        <v/>
      </c>
    </row>
    <row r="185" spans="1:29" s="41" customFormat="1" ht="28.8" outlineLevel="1" x14ac:dyDescent="0.25">
      <c r="A185" s="42" t="s">
        <v>13</v>
      </c>
      <c r="B185" s="314"/>
      <c r="C185" s="49" t="s">
        <v>145</v>
      </c>
      <c r="D185" s="195" t="e">
        <f ca="1">ROUND(E185/E$9*D$9,0)</f>
        <v>#NAME?</v>
      </c>
      <c r="E185" s="56" t="e">
        <f t="shared" ref="E185:M185" si="136">COUNTIFS(r_diff,"&gt;0",Date,"&gt;="&amp;E$4,Date,"&lt;="&amp;E$5,Key_Gps,"*"&amp;E$1&amp;"*")+COUNTIFS(r_diff,"&lt;=0",Date,"&gt;="&amp;E$4,Date,"&lt;="&amp;E$5,Key_Gps,"*"&amp;E$1&amp;"*")</f>
        <v>#NAME?</v>
      </c>
      <c r="F185" s="56" t="e">
        <f t="shared" si="136"/>
        <v>#NAME?</v>
      </c>
      <c r="G185" s="56" t="e">
        <f t="shared" si="136"/>
        <v>#NAME?</v>
      </c>
      <c r="H185" s="56" t="e">
        <f t="shared" si="136"/>
        <v>#NAME?</v>
      </c>
      <c r="I185" s="56" t="e">
        <f t="shared" si="136"/>
        <v>#NAME?</v>
      </c>
      <c r="J185" s="56" t="e">
        <f t="shared" si="136"/>
        <v>#NAME?</v>
      </c>
      <c r="K185" s="56" t="e">
        <f t="shared" si="136"/>
        <v>#NAME?</v>
      </c>
      <c r="L185" s="56" t="e">
        <f t="shared" si="136"/>
        <v>#NAME?</v>
      </c>
      <c r="M185" s="155" t="e">
        <f t="shared" si="136"/>
        <v>#NAME?</v>
      </c>
      <c r="N185" s="96"/>
      <c r="O185" s="74"/>
      <c r="P185" s="42"/>
      <c r="Q185" s="75" t="str">
        <f t="shared" si="110"/>
        <v/>
      </c>
      <c r="R185" s="76" t="e">
        <f t="shared" si="111"/>
        <v>#NAME?</v>
      </c>
      <c r="S185" s="64">
        <f t="shared" si="126"/>
        <v>1</v>
      </c>
      <c r="T185" s="42" t="e">
        <f t="shared" ca="1" si="132"/>
        <v>#NAME?</v>
      </c>
      <c r="U185" s="42" t="e">
        <f t="shared" si="133"/>
        <v>#NAME?</v>
      </c>
      <c r="V185" s="42" t="e">
        <f t="shared" si="134"/>
        <v>#NAME?</v>
      </c>
      <c r="W185" s="42" t="e">
        <f t="shared" si="115"/>
        <v>#NAME?</v>
      </c>
      <c r="X185" s="42" t="e">
        <f t="shared" si="116"/>
        <v>#NAME?</v>
      </c>
      <c r="Y185" s="42" t="e">
        <f t="shared" si="117"/>
        <v>#NAME?</v>
      </c>
      <c r="Z185" s="42" t="e">
        <f t="shared" si="118"/>
        <v>#NAME?</v>
      </c>
      <c r="AA185" s="42" t="e">
        <f t="shared" si="119"/>
        <v>#NAME?</v>
      </c>
      <c r="AB185" s="42" t="e">
        <f t="shared" si="120"/>
        <v>#NAME?</v>
      </c>
      <c r="AC185" s="42" t="e">
        <f t="shared" si="135"/>
        <v>#NAME?</v>
      </c>
    </row>
    <row r="186" spans="1:29" s="41" customFormat="1" ht="28.8" outlineLevel="1" x14ac:dyDescent="0.25">
      <c r="A186" s="42" t="s">
        <v>13</v>
      </c>
      <c r="B186" s="314"/>
      <c r="C186" s="49" t="s">
        <v>131</v>
      </c>
      <c r="D186" s="195" t="str">
        <f ca="1">_xlfn.LET(_xlpm.calc,ROUND($Q186*D$185,0),_xlpm.perc,_xlpm.calc/D$185,IFERROR(IF(_xlpm.calc&lt;1000,_xlfn.CONCAT(_xlpm.calc," (",TEXT(_xlpm.perc,"0.0%"),")"),_xlfn.CONCAT(TEXT(_xlpm.calc,"0,000")," (",TEXT(_xlpm.perc,"0.0%"),")")),"-"))</f>
        <v>-</v>
      </c>
      <c r="E186" s="65" t="str" cm="1">
        <f t="array" ref="E186">_xlfn.LET(_xlpm.calc,COUNTIFS(Date,"&gt;="&amp;E$4,Date,"&lt;="&amp;E$5,Key_Gps,"*"&amp;E$1&amp;"*",r_diff,"&lt;0"),_xlpm.perc,_xlpm.calc/E$185,IFERROR(IF(_xlpm.calc&lt;1000,_xlfn.CONCAT(_xlpm.calc," (",TEXT(_xlpm.perc,"0.0%"),")"),_xlfn.CONCAT(TEXT(_xlpm.calc,"0,000")," (",TEXT(_xlpm.perc,"0.0%"),")")),"-"))</f>
        <v>-</v>
      </c>
      <c r="F186" s="65" t="str" cm="1">
        <f t="array" ref="F186">_xlfn.LET(_xlpm.calc,COUNTIFS(Date,"&gt;="&amp;F$4,Date,"&lt;="&amp;F$5,Key_Gps,"*"&amp;F$1&amp;"*",r_diff,"&lt;0"),_xlpm.perc,_xlpm.calc/F$185,IFERROR(IF(_xlpm.calc&lt;1000,_xlfn.CONCAT(_xlpm.calc," (",TEXT(_xlpm.perc,"0.0%"),")"),_xlfn.CONCAT(TEXT(_xlpm.calc,"0,000")," (",TEXT(_xlpm.perc,"0.0%"),")")),"-"))</f>
        <v>-</v>
      </c>
      <c r="G186" s="65" t="str" cm="1">
        <f t="array" ref="G186">_xlfn.LET(_xlpm.calc,COUNTIFS(Date,"&gt;="&amp;G$4,Date,"&lt;="&amp;G$5,Key_Gps,"*"&amp;G$1&amp;"*",r_diff,"&lt;0"),_xlpm.perc,_xlpm.calc/G$185,IFERROR(IF(_xlpm.calc&lt;1000,_xlfn.CONCAT(_xlpm.calc," (",TEXT(_xlpm.perc,"0.0%"),")"),_xlfn.CONCAT(TEXT(_xlpm.calc,"0,000")," (",TEXT(_xlpm.perc,"0.0%"),")")),"-"))</f>
        <v>-</v>
      </c>
      <c r="H186" s="65" t="str" cm="1">
        <f t="array" ref="H186">_xlfn.LET(_xlpm.calc,COUNTIFS(Date,"&gt;="&amp;H$4,Date,"&lt;="&amp;H$5,Key_Gps,"*"&amp;H$1&amp;"*",r_diff,"&lt;0"),_xlpm.perc,_xlpm.calc/H$185,IFERROR(IF(_xlpm.calc&lt;1000,_xlfn.CONCAT(_xlpm.calc," (",TEXT(_xlpm.perc,"0.0%"),")"),_xlfn.CONCAT(TEXT(_xlpm.calc,"0,000")," (",TEXT(_xlpm.perc,"0.0%"),")")),"-"))</f>
        <v>-</v>
      </c>
      <c r="I186" s="65" t="str" cm="1">
        <f t="array" ref="I186">_xlfn.LET(_xlpm.calc,COUNTIFS(Date,"&gt;="&amp;I$4,Date,"&lt;="&amp;I$5,Key_Gps,"*"&amp;I$1&amp;"*",r_diff,"&lt;0"),_xlpm.perc,_xlpm.calc/I$185,IFERROR(IF(_xlpm.calc&lt;1000,_xlfn.CONCAT(_xlpm.calc," (",TEXT(_xlpm.perc,"0.0%"),")"),_xlfn.CONCAT(TEXT(_xlpm.calc,"0,000")," (",TEXT(_xlpm.perc,"0.0%"),")")),"-"))</f>
        <v>-</v>
      </c>
      <c r="J186" s="65" t="str" cm="1">
        <f t="array" ref="J186">_xlfn.LET(_xlpm.calc,COUNTIFS(Date,"&gt;="&amp;J$4,Date,"&lt;="&amp;J$5,Key_Gps,"*"&amp;J$1&amp;"*",r_diff,"&lt;0"),_xlpm.perc,_xlpm.calc/J$185,IFERROR(IF(_xlpm.calc&lt;1000,_xlfn.CONCAT(_xlpm.calc," (",TEXT(_xlpm.perc,"0.0%"),")"),_xlfn.CONCAT(TEXT(_xlpm.calc,"0,000")," (",TEXT(_xlpm.perc,"0.0%"),")")),"-"))</f>
        <v>-</v>
      </c>
      <c r="K186" s="65" t="str" cm="1">
        <f t="array" ref="K186">_xlfn.LET(_xlpm.calc,COUNTIFS(Date,"&gt;="&amp;K$4,Date,"&lt;="&amp;K$5,Key_Gps,"*"&amp;K$1&amp;"*",r_diff,"&lt;0"),_xlpm.perc,_xlpm.calc/K$185,IFERROR(IF(_xlpm.calc&lt;1000,_xlfn.CONCAT(_xlpm.calc," (",TEXT(_xlpm.perc,"0.0%"),")"),_xlfn.CONCAT(TEXT(_xlpm.calc,"0,000")," (",TEXT(_xlpm.perc,"0.0%"),")")),"-"))</f>
        <v>-</v>
      </c>
      <c r="L186" s="65" t="str" cm="1">
        <f t="array" ref="L186">_xlfn.LET(_xlpm.calc,COUNTIFS(Date,"&gt;="&amp;L$4,Date,"&lt;="&amp;L$5,Key_Gps,"*"&amp;L$1&amp;"*",r_diff,"&lt;0"),_xlpm.perc,_xlpm.calc/L$185,IFERROR(IF(_xlpm.calc&lt;1000,_xlfn.CONCAT(_xlpm.calc," (",TEXT(_xlpm.perc,"0.0%"),")"),_xlfn.CONCAT(TEXT(_xlpm.calc,"0,000")," (",TEXT(_xlpm.perc,"0.0%"),")")),"-"))</f>
        <v>-</v>
      </c>
      <c r="M186" s="155" t="str" cm="1">
        <f t="array" ref="M186">_xlfn.LET(_xlpm.calc,COUNTIFS(Date,"&gt;="&amp;M$4,Date,"&lt;="&amp;M$5,Key_Gps,"*"&amp;M$1&amp;"*",r_diff,"&lt;0"),_xlpm.perc,_xlpm.calc/M$185,IFERROR(IF(_xlpm.calc&lt;1000,_xlfn.CONCAT(_xlpm.calc," (",TEXT(_xlpm.perc,"0.0%"),")"),_xlfn.CONCAT(TEXT(_xlpm.calc,"0,000")," (",TEXT(_xlpm.perc,"0.0%"),")")),"-"))</f>
        <v>-</v>
      </c>
      <c r="N186" s="96" t="s">
        <v>146</v>
      </c>
      <c r="O186" s="74"/>
      <c r="P186" s="42"/>
      <c r="Q186" s="75" t="str">
        <f t="shared" si="110"/>
        <v/>
      </c>
      <c r="R186" s="76" t="e">
        <f t="shared" si="111"/>
        <v>#VALUE!</v>
      </c>
      <c r="S186" s="64">
        <f t="shared" si="126"/>
        <v>1</v>
      </c>
      <c r="T186" s="42" t="str">
        <f t="shared" ca="1" si="132"/>
        <v>-</v>
      </c>
      <c r="U186" s="42" t="str">
        <f t="shared" si="133"/>
        <v>-</v>
      </c>
      <c r="V186" s="42" t="str">
        <f t="shared" si="134"/>
        <v>-</v>
      </c>
      <c r="W186" s="42" t="str">
        <f t="shared" si="115"/>
        <v>-</v>
      </c>
      <c r="X186" s="42" t="str">
        <f t="shared" si="116"/>
        <v>-</v>
      </c>
      <c r="Y186" s="42" t="str">
        <f t="shared" si="117"/>
        <v>-</v>
      </c>
      <c r="Z186" s="42" t="str">
        <f t="shared" si="118"/>
        <v>-</v>
      </c>
      <c r="AA186" s="42" t="str">
        <f t="shared" si="119"/>
        <v>-</v>
      </c>
      <c r="AB186" s="42" t="str">
        <f t="shared" si="120"/>
        <v>-</v>
      </c>
      <c r="AC186" s="42" t="str">
        <f t="shared" si="135"/>
        <v>-</v>
      </c>
    </row>
    <row r="187" spans="1:29" s="41" customFormat="1" ht="28.8" outlineLevel="1" x14ac:dyDescent="0.25">
      <c r="A187" s="42" t="s">
        <v>13</v>
      </c>
      <c r="B187" s="314"/>
      <c r="C187" s="49" t="s">
        <v>132</v>
      </c>
      <c r="D187" s="195" t="str">
        <f ca="1">_xlfn.LET(_xlpm.calc,ROUND($Q187*D$185,0),_xlpm.perc,_xlpm.calc/D$185,IFERROR(IF(_xlpm.calc&lt;1000,_xlfn.CONCAT(_xlpm.calc," (",TEXT(_xlpm.perc,"0.0%"),")"),_xlfn.CONCAT(TEXT(_xlpm.calc,"0,000")," (",TEXT(_xlpm.perc,"0.0%"),")")),"-"))</f>
        <v>-</v>
      </c>
      <c r="E187" s="65" t="str" cm="1">
        <f t="array" ref="E187">_xlfn.LET(_xlpm.calc,COUNTIFS(Date,"&gt;="&amp;E$4,Date,"&lt;="&amp;E$5,Key_Gps,"*"&amp;E$1&amp;"*",r_diff,"&gt;0"),_xlpm.perc,_xlpm.calc/E$185,IFERROR(IF(_xlpm.calc&lt;1000,_xlfn.CONCAT(_xlpm.calc," (",TEXT(_xlpm.perc,"0.0%"),")"),_xlfn.CONCAT(TEXT(_xlpm.calc,"0,000")," (",TEXT(_xlpm.perc,"0.0%"),")")),"-"))</f>
        <v>-</v>
      </c>
      <c r="F187" s="65" t="str" cm="1">
        <f t="array" ref="F187">_xlfn.LET(_xlpm.calc,COUNTIFS(Date,"&gt;="&amp;F$4,Date,"&lt;="&amp;F$5,Key_Gps,"*"&amp;F$1&amp;"*",r_diff,"&gt;0"),_xlpm.perc,_xlpm.calc/F$185,IFERROR(IF(_xlpm.calc&lt;1000,_xlfn.CONCAT(_xlpm.calc," (",TEXT(_xlpm.perc,"0.0%"),")"),_xlfn.CONCAT(TEXT(_xlpm.calc,"0,000")," (",TEXT(_xlpm.perc,"0.0%"),")")),"-"))</f>
        <v>-</v>
      </c>
      <c r="G187" s="65" t="str" cm="1">
        <f t="array" ref="G187">_xlfn.LET(_xlpm.calc,COUNTIFS(Date,"&gt;="&amp;G$4,Date,"&lt;="&amp;G$5,Key_Gps,"*"&amp;G$1&amp;"*",r_diff,"&gt;0"),_xlpm.perc,_xlpm.calc/G$185,IFERROR(IF(_xlpm.calc&lt;1000,_xlfn.CONCAT(_xlpm.calc," (",TEXT(_xlpm.perc,"0.0%"),")"),_xlfn.CONCAT(TEXT(_xlpm.calc,"0,000")," (",TEXT(_xlpm.perc,"0.0%"),")")),"-"))</f>
        <v>-</v>
      </c>
      <c r="H187" s="65" t="str" cm="1">
        <f t="array" ref="H187">_xlfn.LET(_xlpm.calc,COUNTIFS(Date,"&gt;="&amp;H$4,Date,"&lt;="&amp;H$5,Key_Gps,"*"&amp;H$1&amp;"*",r_diff,"&gt;0"),_xlpm.perc,_xlpm.calc/H$185,IFERROR(IF(_xlpm.calc&lt;1000,_xlfn.CONCAT(_xlpm.calc," (",TEXT(_xlpm.perc,"0.0%"),")"),_xlfn.CONCAT(TEXT(_xlpm.calc,"0,000")," (",TEXT(_xlpm.perc,"0.0%"),")")),"-"))</f>
        <v>-</v>
      </c>
      <c r="I187" s="65" t="str" cm="1">
        <f t="array" ref="I187">_xlfn.LET(_xlpm.calc,COUNTIFS(Date,"&gt;="&amp;I$4,Date,"&lt;="&amp;I$5,Key_Gps,"*"&amp;I$1&amp;"*",r_diff,"&gt;0"),_xlpm.perc,_xlpm.calc/I$185,IFERROR(IF(_xlpm.calc&lt;1000,_xlfn.CONCAT(_xlpm.calc," (",TEXT(_xlpm.perc,"0.0%"),")"),_xlfn.CONCAT(TEXT(_xlpm.calc,"0,000")," (",TEXT(_xlpm.perc,"0.0%"),")")),"-"))</f>
        <v>-</v>
      </c>
      <c r="J187" s="65" t="str" cm="1">
        <f t="array" ref="J187">_xlfn.LET(_xlpm.calc,COUNTIFS(Date,"&gt;="&amp;J$4,Date,"&lt;="&amp;J$5,Key_Gps,"*"&amp;J$1&amp;"*",r_diff,"&gt;0"),_xlpm.perc,_xlpm.calc/J$185,IFERROR(IF(_xlpm.calc&lt;1000,_xlfn.CONCAT(_xlpm.calc," (",TEXT(_xlpm.perc,"0.0%"),")"),_xlfn.CONCAT(TEXT(_xlpm.calc,"0,000")," (",TEXT(_xlpm.perc,"0.0%"),")")),"-"))</f>
        <v>-</v>
      </c>
      <c r="K187" s="65" t="str" cm="1">
        <f t="array" ref="K187">_xlfn.LET(_xlpm.calc,COUNTIFS(Date,"&gt;="&amp;K$4,Date,"&lt;="&amp;K$5,Key_Gps,"*"&amp;K$1&amp;"*",r_diff,"&gt;0"),_xlpm.perc,_xlpm.calc/K$185,IFERROR(IF(_xlpm.calc&lt;1000,_xlfn.CONCAT(_xlpm.calc," (",TEXT(_xlpm.perc,"0.0%"),")"),_xlfn.CONCAT(TEXT(_xlpm.calc,"0,000")," (",TEXT(_xlpm.perc,"0.0%"),")")),"-"))</f>
        <v>-</v>
      </c>
      <c r="L187" s="65" t="str" cm="1">
        <f t="array" ref="L187">_xlfn.LET(_xlpm.calc,COUNTIFS(Date,"&gt;="&amp;L$4,Date,"&lt;="&amp;L$5,Key_Gps,"*"&amp;L$1&amp;"*",r_diff,"&gt;0"),_xlpm.perc,_xlpm.calc/L$185,IFERROR(IF(_xlpm.calc&lt;1000,_xlfn.CONCAT(_xlpm.calc," (",TEXT(_xlpm.perc,"0.0%"),")"),_xlfn.CONCAT(TEXT(_xlpm.calc,"0,000")," (",TEXT(_xlpm.perc,"0.0%"),")")),"-"))</f>
        <v>-</v>
      </c>
      <c r="M187" s="155" t="str" cm="1">
        <f t="array" ref="M187">_xlfn.LET(_xlpm.calc,COUNTIFS(Date,"&gt;="&amp;M$4,Date,"&lt;="&amp;M$5,Key_Gps,"*"&amp;M$1&amp;"*",r_diff,"&gt;0"),_xlpm.perc,_xlpm.calc/M$185,IFERROR(IF(_xlpm.calc&lt;1000,_xlfn.CONCAT(_xlpm.calc," (",TEXT(_xlpm.perc,"0.0%"),")"),_xlfn.CONCAT(TEXT(_xlpm.calc,"0,000")," (",TEXT(_xlpm.perc,"0.0%"),")")),"-"))</f>
        <v>-</v>
      </c>
      <c r="N187" s="96" t="s">
        <v>146</v>
      </c>
      <c r="O187" s="74"/>
      <c r="P187" s="42"/>
      <c r="Q187" s="75" t="str">
        <f t="shared" si="110"/>
        <v/>
      </c>
      <c r="R187" s="76" t="e">
        <f t="shared" si="111"/>
        <v>#VALUE!</v>
      </c>
      <c r="S187" s="64">
        <f t="shared" si="126"/>
        <v>1</v>
      </c>
      <c r="T187" s="42" t="str">
        <f t="shared" ca="1" si="132"/>
        <v>-</v>
      </c>
      <c r="U187" s="42" t="str">
        <f t="shared" si="133"/>
        <v>-</v>
      </c>
      <c r="V187" s="42" t="str">
        <f t="shared" si="134"/>
        <v>-</v>
      </c>
      <c r="W187" s="42" t="str">
        <f t="shared" si="115"/>
        <v>-</v>
      </c>
      <c r="X187" s="42" t="str">
        <f t="shared" si="116"/>
        <v>-</v>
      </c>
      <c r="Y187" s="42" t="str">
        <f t="shared" si="117"/>
        <v>-</v>
      </c>
      <c r="Z187" s="42" t="str">
        <f t="shared" si="118"/>
        <v>-</v>
      </c>
      <c r="AA187" s="42" t="str">
        <f t="shared" si="119"/>
        <v>-</v>
      </c>
      <c r="AB187" s="42" t="str">
        <f t="shared" si="120"/>
        <v>-</v>
      </c>
      <c r="AC187" s="42" t="str">
        <f t="shared" si="135"/>
        <v>-</v>
      </c>
    </row>
    <row r="188" spans="1:29" s="41" customFormat="1" ht="28.8" outlineLevel="1" x14ac:dyDescent="0.25">
      <c r="A188" s="42" t="s">
        <v>13</v>
      </c>
      <c r="B188" s="314"/>
      <c r="C188" s="49" t="s">
        <v>133</v>
      </c>
      <c r="D188" s="195" t="str">
        <f ca="1">_xlfn.LET(_xlpm.calc,ROUND($Q188*D$185,0),_xlpm.perc,_xlpm.calc/D$185,IFERROR(IF(_xlpm.calc&lt;1000,_xlfn.CONCAT(_xlpm.calc," (",TEXT(_xlpm.perc,"0.0%"),")"),_xlfn.CONCAT(TEXT(_xlpm.calc,"0,000")," (",TEXT(_xlpm.perc,"0.0%"),")")),"-"))</f>
        <v>-</v>
      </c>
      <c r="E188" s="65" t="str" cm="1">
        <f t="array" ref="E188">_xlfn.LET(_xlpm.calc,COUNTIFS(Date,"&gt;="&amp;E$4,Date,"&lt;="&amp;E$5,Key_Gps,"*"&amp;E$1&amp;"*",r_diff,0),_xlpm.perc,_xlpm.calc/E$185,IFERROR(IF(_xlpm.calc&lt;1000,_xlfn.CONCAT(_xlpm.calc," (",TEXT(_xlpm.perc,"0.0%"),")"),_xlfn.CONCAT(TEXT(_xlpm.calc,"0,000")," (",TEXT(_xlpm.perc,"0.0%"),")")),"-"))</f>
        <v>-</v>
      </c>
      <c r="F188" s="65" t="str" cm="1">
        <f t="array" ref="F188">_xlfn.LET(_xlpm.calc,COUNTIFS(Date,"&gt;="&amp;F$4,Date,"&lt;="&amp;F$5,Key_Gps,"*"&amp;F$1&amp;"*",r_diff,0),_xlpm.perc,_xlpm.calc/F$185,IFERROR(IF(_xlpm.calc&lt;1000,_xlfn.CONCAT(_xlpm.calc," (",TEXT(_xlpm.perc,"0.0%"),")"),_xlfn.CONCAT(TEXT(_xlpm.calc,"0,000")," (",TEXT(_xlpm.perc,"0.0%"),")")),"-"))</f>
        <v>-</v>
      </c>
      <c r="G188" s="65" t="str" cm="1">
        <f t="array" ref="G188">_xlfn.LET(_xlpm.calc,COUNTIFS(Date,"&gt;="&amp;G$4,Date,"&lt;="&amp;G$5,Key_Gps,"*"&amp;G$1&amp;"*",r_diff,0),_xlpm.perc,_xlpm.calc/G$185,IFERROR(IF(_xlpm.calc&lt;1000,_xlfn.CONCAT(_xlpm.calc," (",TEXT(_xlpm.perc,"0.0%"),")"),_xlfn.CONCAT(TEXT(_xlpm.calc,"0,000")," (",TEXT(_xlpm.perc,"0.0%"),")")),"-"))</f>
        <v>-</v>
      </c>
      <c r="H188" s="65" t="str" cm="1">
        <f t="array" ref="H188">_xlfn.LET(_xlpm.calc,COUNTIFS(Date,"&gt;="&amp;H$4,Date,"&lt;="&amp;H$5,Key_Gps,"*"&amp;H$1&amp;"*",r_diff,0),_xlpm.perc,_xlpm.calc/H$185,IFERROR(IF(_xlpm.calc&lt;1000,_xlfn.CONCAT(_xlpm.calc," (",TEXT(_xlpm.perc,"0.0%"),")"),_xlfn.CONCAT(TEXT(_xlpm.calc,"0,000")," (",TEXT(_xlpm.perc,"0.0%"),")")),"-"))</f>
        <v>-</v>
      </c>
      <c r="I188" s="65" t="str" cm="1">
        <f t="array" ref="I188">_xlfn.LET(_xlpm.calc,COUNTIFS(Date,"&gt;="&amp;I$4,Date,"&lt;="&amp;I$5,Key_Gps,"*"&amp;I$1&amp;"*",r_diff,0),_xlpm.perc,_xlpm.calc/I$185,IFERROR(IF(_xlpm.calc&lt;1000,_xlfn.CONCAT(_xlpm.calc," (",TEXT(_xlpm.perc,"0.0%"),")"),_xlfn.CONCAT(TEXT(_xlpm.calc,"0,000")," (",TEXT(_xlpm.perc,"0.0%"),")")),"-"))</f>
        <v>-</v>
      </c>
      <c r="J188" s="65" t="str" cm="1">
        <f t="array" ref="J188">_xlfn.LET(_xlpm.calc,COUNTIFS(Date,"&gt;="&amp;J$4,Date,"&lt;="&amp;J$5,Key_Gps,"*"&amp;J$1&amp;"*",r_diff,0),_xlpm.perc,_xlpm.calc/J$185,IFERROR(IF(_xlpm.calc&lt;1000,_xlfn.CONCAT(_xlpm.calc," (",TEXT(_xlpm.perc,"0.0%"),")"),_xlfn.CONCAT(TEXT(_xlpm.calc,"0,000")," (",TEXT(_xlpm.perc,"0.0%"),")")),"-"))</f>
        <v>-</v>
      </c>
      <c r="K188" s="65" t="str" cm="1">
        <f t="array" ref="K188">_xlfn.LET(_xlpm.calc,COUNTIFS(Date,"&gt;="&amp;K$4,Date,"&lt;="&amp;K$5,Key_Gps,"*"&amp;K$1&amp;"*",r_diff,0),_xlpm.perc,_xlpm.calc/K$185,IFERROR(IF(_xlpm.calc&lt;1000,_xlfn.CONCAT(_xlpm.calc," (",TEXT(_xlpm.perc,"0.0%"),")"),_xlfn.CONCAT(TEXT(_xlpm.calc,"0,000")," (",TEXT(_xlpm.perc,"0.0%"),")")),"-"))</f>
        <v>-</v>
      </c>
      <c r="L188" s="65" t="str" cm="1">
        <f t="array" ref="L188">_xlfn.LET(_xlpm.calc,COUNTIFS(Date,"&gt;="&amp;L$4,Date,"&lt;="&amp;L$5,Key_Gps,"*"&amp;L$1&amp;"*",r_diff,0),_xlpm.perc,_xlpm.calc/L$185,IFERROR(IF(_xlpm.calc&lt;1000,_xlfn.CONCAT(_xlpm.calc," (",TEXT(_xlpm.perc,"0.0%"),")"),_xlfn.CONCAT(TEXT(_xlpm.calc,"0,000")," (",TEXT(_xlpm.perc,"0.0%"),")")),"-"))</f>
        <v>-</v>
      </c>
      <c r="M188" s="155" t="str" cm="1">
        <f t="array" ref="M188">_xlfn.LET(_xlpm.calc,COUNTIFS(Date,"&gt;="&amp;M$4,Date,"&lt;="&amp;M$5,Key_Gps,"*"&amp;M$1&amp;"*",r_diff,0),_xlpm.perc,_xlpm.calc/M$185,IFERROR(IF(_xlpm.calc&lt;1000,_xlfn.CONCAT(_xlpm.calc," (",TEXT(_xlpm.perc,"0.0%"),")"),_xlfn.CONCAT(TEXT(_xlpm.calc,"0,000")," (",TEXT(_xlpm.perc,"0.0%"),")")),"-"))</f>
        <v>-</v>
      </c>
      <c r="N188" s="96" t="s">
        <v>146</v>
      </c>
      <c r="O188" s="74"/>
      <c r="P188" s="42"/>
      <c r="Q188" s="75" t="str">
        <f t="shared" si="110"/>
        <v/>
      </c>
      <c r="R188" s="76" t="e">
        <f t="shared" si="111"/>
        <v>#VALUE!</v>
      </c>
      <c r="S188" s="64">
        <f t="shared" si="126"/>
        <v>1</v>
      </c>
      <c r="T188" s="42" t="str">
        <f t="shared" ca="1" si="132"/>
        <v>-</v>
      </c>
      <c r="U188" s="42" t="str">
        <f t="shared" si="133"/>
        <v>-</v>
      </c>
      <c r="V188" s="42" t="str">
        <f t="shared" si="134"/>
        <v>-</v>
      </c>
      <c r="W188" s="42" t="str">
        <f t="shared" si="115"/>
        <v>-</v>
      </c>
      <c r="X188" s="42" t="str">
        <f t="shared" si="116"/>
        <v>-</v>
      </c>
      <c r="Y188" s="42" t="str">
        <f t="shared" si="117"/>
        <v>-</v>
      </c>
      <c r="Z188" s="42" t="str">
        <f t="shared" si="118"/>
        <v>-</v>
      </c>
      <c r="AA188" s="42" t="str">
        <f t="shared" si="119"/>
        <v>-</v>
      </c>
      <c r="AB188" s="42" t="str">
        <f t="shared" si="120"/>
        <v>-</v>
      </c>
      <c r="AC188" s="42" t="str">
        <f t="shared" si="135"/>
        <v>-</v>
      </c>
    </row>
    <row r="189" spans="1:29" s="41" customFormat="1" outlineLevel="2" x14ac:dyDescent="0.25">
      <c r="A189" s="42">
        <v>1</v>
      </c>
      <c r="B189" s="314"/>
      <c r="C189" s="229" t="s">
        <v>147</v>
      </c>
      <c r="D189" s="214" t="str">
        <f ca="1">_xlfn.LET(_xlpm.calc,ROUND($Q189*D$185,0),_xlpm.perc,_xlpm.calc/D$185,IFERROR(IF(_xlpm.calc&lt;1000,_xlfn.CONCAT(_xlpm.calc," (",TEXT(_xlpm.perc,"0.0%"),")"),_xlfn.CONCAT(TEXT(_xlpm.calc,"0,000")," (",TEXT(_xlpm.perc,"0.0%"),")")),"-"))</f>
        <v>-</v>
      </c>
      <c r="E189" s="215" t="str" cm="1">
        <f t="array" ref="E189">_xlfn.LET(_xlpm.calc,COUNTIFS(Date,"&gt;="&amp;E$4,Date,"&lt;="&amp;E$5,Key_Gps,"*"&amp;E$1&amp;"*",pre_shift_hrs_lost,"&lt;0"),_xlpm.perc,_xlpm.calc/E$185,IFERROR(IF(_xlpm.calc&lt;1000,_xlfn.CONCAT(_xlpm.calc," (",TEXT(_xlpm.perc,"0.0%"),")"),_xlfn.CONCAT(TEXT(_xlpm.calc,"0,000")," (",TEXT(_xlpm.perc,"0.0%"),")")),"-"))</f>
        <v>-</v>
      </c>
      <c r="F189" s="215" t="str" cm="1">
        <f t="array" ref="F189">_xlfn.LET(_xlpm.calc,COUNTIFS(Date,"&gt;="&amp;F$4,Date,"&lt;="&amp;F$5,Key_Gps,"*"&amp;F$1&amp;"*",pre_shift_hrs_lost,"&lt;0"),_xlpm.perc,_xlpm.calc/F$185,IFERROR(IF(_xlpm.calc&lt;1000,_xlfn.CONCAT(_xlpm.calc," (",TEXT(_xlpm.perc,"0.0%"),")"),_xlfn.CONCAT(TEXT(_xlpm.calc,"0,000")," (",TEXT(_xlpm.perc,"0.0%"),")")),"-"))</f>
        <v>-</v>
      </c>
      <c r="G189" s="215" t="str" cm="1">
        <f t="array" ref="G189">_xlfn.LET(_xlpm.calc,COUNTIFS(Date,"&gt;="&amp;G$4,Date,"&lt;="&amp;G$5,Key_Gps,"*"&amp;G$1&amp;"*",pre_shift_hrs_lost,"&lt;0"),_xlpm.perc,_xlpm.calc/G$185,IFERROR(IF(_xlpm.calc&lt;1000,_xlfn.CONCAT(_xlpm.calc," (",TEXT(_xlpm.perc,"0.0%"),")"),_xlfn.CONCAT(TEXT(_xlpm.calc,"0,000")," (",TEXT(_xlpm.perc,"0.0%"),")")),"-"))</f>
        <v>-</v>
      </c>
      <c r="H189" s="215" t="str" cm="1">
        <f t="array" ref="H189">_xlfn.LET(_xlpm.calc,COUNTIFS(Date,"&gt;="&amp;H$4,Date,"&lt;="&amp;H$5,Key_Gps,"*"&amp;H$1&amp;"*",pre_shift_hrs_lost,"&lt;0"),_xlpm.perc,_xlpm.calc/H$185,IFERROR(IF(_xlpm.calc&lt;1000,_xlfn.CONCAT(_xlpm.calc," (",TEXT(_xlpm.perc,"0.0%"),")"),_xlfn.CONCAT(TEXT(_xlpm.calc,"0,000")," (",TEXT(_xlpm.perc,"0.0%"),")")),"-"))</f>
        <v>-</v>
      </c>
      <c r="I189" s="215" t="str" cm="1">
        <f t="array" ref="I189">_xlfn.LET(_xlpm.calc,COUNTIFS(Date,"&gt;="&amp;I$4,Date,"&lt;="&amp;I$5,Key_Gps,"*"&amp;I$1&amp;"*",pre_shift_hrs_lost,"&lt;0"),_xlpm.perc,_xlpm.calc/I$185,IFERROR(IF(_xlpm.calc&lt;1000,_xlfn.CONCAT(_xlpm.calc," (",TEXT(_xlpm.perc,"0.0%"),")"),_xlfn.CONCAT(TEXT(_xlpm.calc,"0,000")," (",TEXT(_xlpm.perc,"0.0%"),")")),"-"))</f>
        <v>-</v>
      </c>
      <c r="J189" s="215" t="str" cm="1">
        <f t="array" ref="J189">_xlfn.LET(_xlpm.calc,COUNTIFS(Date,"&gt;="&amp;J$4,Date,"&lt;="&amp;J$5,Key_Gps,"*"&amp;J$1&amp;"*",pre_shift_hrs_lost,"&lt;0"),_xlpm.perc,_xlpm.calc/J$185,IFERROR(IF(_xlpm.calc&lt;1000,_xlfn.CONCAT(_xlpm.calc," (",TEXT(_xlpm.perc,"0.0%"),")"),_xlfn.CONCAT(TEXT(_xlpm.calc,"0,000")," (",TEXT(_xlpm.perc,"0.0%"),")")),"-"))</f>
        <v>-</v>
      </c>
      <c r="K189" s="215" t="str" cm="1">
        <f t="array" ref="K189">_xlfn.LET(_xlpm.calc,COUNTIFS(Date,"&gt;="&amp;K$4,Date,"&lt;="&amp;K$5,Key_Gps,"*"&amp;K$1&amp;"*",pre_shift_hrs_lost,"&lt;0"),_xlpm.perc,_xlpm.calc/K$185,IFERROR(IF(_xlpm.calc&lt;1000,_xlfn.CONCAT(_xlpm.calc," (",TEXT(_xlpm.perc,"0.0%"),")"),_xlfn.CONCAT(TEXT(_xlpm.calc,"0,000")," (",TEXT(_xlpm.perc,"0.0%"),")")),"-"))</f>
        <v>-</v>
      </c>
      <c r="L189" s="215" t="str" cm="1">
        <f t="array" ref="L189">_xlfn.LET(_xlpm.calc,COUNTIFS(Date,"&gt;="&amp;L$4,Date,"&lt;="&amp;L$5,Key_Gps,"*"&amp;L$1&amp;"*",pre_shift_hrs_lost,"&lt;0"),_xlpm.perc,_xlpm.calc/L$185,IFERROR(IF(_xlpm.calc&lt;1000,_xlfn.CONCAT(_xlpm.calc," (",TEXT(_xlpm.perc,"0.0%"),")"),_xlfn.CONCAT(TEXT(_xlpm.calc,"0,000")," (",TEXT(_xlpm.perc,"0.0%"),")")),"-"))</f>
        <v>-</v>
      </c>
      <c r="M189" s="216" t="str" cm="1">
        <f t="array" ref="M189">_xlfn.LET(_xlpm.calc,COUNTIFS(Date,"&gt;="&amp;M$4,Date,"&lt;="&amp;M$5,Key_Gps,"*"&amp;M$1&amp;"*",pre_shift_hrs_lost,"&lt;0"),_xlpm.perc,_xlpm.calc/M$185,IFERROR(IF(_xlpm.calc&lt;1000,_xlfn.CONCAT(_xlpm.calc," (",TEXT(_xlpm.perc,"0.0%"),")"),_xlfn.CONCAT(TEXT(_xlpm.calc,"0,000")," (",TEXT(_xlpm.perc,"0.0%"),")")),"-"))</f>
        <v>-</v>
      </c>
      <c r="N189" s="174" t="s">
        <v>146</v>
      </c>
      <c r="O189" s="74"/>
      <c r="P189" s="42"/>
      <c r="Q189" s="75" t="str">
        <f t="shared" si="110"/>
        <v/>
      </c>
      <c r="R189" s="76" t="e">
        <f t="shared" si="111"/>
        <v>#VALUE!</v>
      </c>
      <c r="S189" s="64">
        <f t="shared" si="126"/>
        <v>1</v>
      </c>
      <c r="T189" s="42" t="str">
        <f t="shared" ca="1" si="132"/>
        <v>-</v>
      </c>
      <c r="U189" s="42" t="str">
        <f t="shared" si="133"/>
        <v>-</v>
      </c>
      <c r="V189" s="42" t="str">
        <f t="shared" si="134"/>
        <v>-</v>
      </c>
      <c r="W189" s="42" t="str">
        <f t="shared" si="115"/>
        <v>-</v>
      </c>
      <c r="X189" s="42" t="str">
        <f t="shared" si="116"/>
        <v>-</v>
      </c>
      <c r="Y189" s="42" t="str">
        <f t="shared" si="117"/>
        <v>-</v>
      </c>
      <c r="Z189" s="42" t="str">
        <f t="shared" si="118"/>
        <v>-</v>
      </c>
      <c r="AA189" s="42" t="str">
        <f t="shared" si="119"/>
        <v>-</v>
      </c>
      <c r="AB189" s="42" t="str">
        <f t="shared" si="120"/>
        <v>-</v>
      </c>
      <c r="AC189" s="42" t="str">
        <f t="shared" si="135"/>
        <v>-</v>
      </c>
    </row>
    <row r="190" spans="1:29" s="41" customFormat="1" outlineLevel="2" x14ac:dyDescent="0.25">
      <c r="A190" s="42">
        <v>1</v>
      </c>
      <c r="B190" s="314"/>
      <c r="C190" s="229" t="s">
        <v>148</v>
      </c>
      <c r="D190" s="214" t="str">
        <f ca="1">_xlfn.LET(_xlpm.calc,ROUND($Q190*D$185,0),_xlpm.perc,_xlpm.calc/D$185,IFERROR(IF(_xlpm.calc&lt;1000,_xlfn.CONCAT(_xlpm.calc," (",TEXT(_xlpm.perc,"0.0%"),")"),_xlfn.CONCAT(TEXT(_xlpm.calc,"0,000")," (",TEXT(_xlpm.perc,"0.0%"),")")),"-"))</f>
        <v>-</v>
      </c>
      <c r="E190" s="215" t="str" cm="1">
        <f t="array" ref="E190">_xlfn.LET(_xlpm.calc,COUNTIFS(Date,"&gt;="&amp;E$4,Date,"&lt;="&amp;E$5,Key_Gps,"*"&amp;E$1&amp;"*",pre_shift_hrs_gained,"&gt;0"),_xlpm.perc,_xlpm.calc/E$185,IFERROR(IF(_xlpm.calc&lt;1000,_xlfn.CONCAT(_xlpm.calc," (",TEXT(_xlpm.perc,"0.0%"),")"),_xlfn.CONCAT(TEXT(_xlpm.calc,"0,000")," (",TEXT(_xlpm.perc,"0.0%"),")")),"-"))</f>
        <v>-</v>
      </c>
      <c r="F190" s="215" t="str" cm="1">
        <f t="array" ref="F190">_xlfn.LET(_xlpm.calc,COUNTIFS(Date,"&gt;="&amp;F$4,Date,"&lt;="&amp;F$5,Key_Gps,"*"&amp;F$1&amp;"*",pre_shift_hrs_gained,"&gt;0"),_xlpm.perc,_xlpm.calc/F$185,IFERROR(IF(_xlpm.calc&lt;1000,_xlfn.CONCAT(_xlpm.calc," (",TEXT(_xlpm.perc,"0.0%"),")"),_xlfn.CONCAT(TEXT(_xlpm.calc,"0,000")," (",TEXT(_xlpm.perc,"0.0%"),")")),"-"))</f>
        <v>-</v>
      </c>
      <c r="G190" s="215" t="str" cm="1">
        <f t="array" ref="G190">_xlfn.LET(_xlpm.calc,COUNTIFS(Date,"&gt;="&amp;G$4,Date,"&lt;="&amp;G$5,Key_Gps,"*"&amp;G$1&amp;"*",pre_shift_hrs_gained,"&gt;0"),_xlpm.perc,_xlpm.calc/G$185,IFERROR(IF(_xlpm.calc&lt;1000,_xlfn.CONCAT(_xlpm.calc," (",TEXT(_xlpm.perc,"0.0%"),")"),_xlfn.CONCAT(TEXT(_xlpm.calc,"0,000")," (",TEXT(_xlpm.perc,"0.0%"),")")),"-"))</f>
        <v>-</v>
      </c>
      <c r="H190" s="215" t="str" cm="1">
        <f t="array" ref="H190">_xlfn.LET(_xlpm.calc,COUNTIFS(Date,"&gt;="&amp;H$4,Date,"&lt;="&amp;H$5,Key_Gps,"*"&amp;H$1&amp;"*",pre_shift_hrs_gained,"&gt;0"),_xlpm.perc,_xlpm.calc/H$185,IFERROR(IF(_xlpm.calc&lt;1000,_xlfn.CONCAT(_xlpm.calc," (",TEXT(_xlpm.perc,"0.0%"),")"),_xlfn.CONCAT(TEXT(_xlpm.calc,"0,000")," (",TEXT(_xlpm.perc,"0.0%"),")")),"-"))</f>
        <v>-</v>
      </c>
      <c r="I190" s="215" t="str" cm="1">
        <f t="array" ref="I190">_xlfn.LET(_xlpm.calc,COUNTIFS(Date,"&gt;="&amp;I$4,Date,"&lt;="&amp;I$5,Key_Gps,"*"&amp;I$1&amp;"*",pre_shift_hrs_gained,"&gt;0"),_xlpm.perc,_xlpm.calc/I$185,IFERROR(IF(_xlpm.calc&lt;1000,_xlfn.CONCAT(_xlpm.calc," (",TEXT(_xlpm.perc,"0.0%"),")"),_xlfn.CONCAT(TEXT(_xlpm.calc,"0,000")," (",TEXT(_xlpm.perc,"0.0%"),")")),"-"))</f>
        <v>-</v>
      </c>
      <c r="J190" s="215" t="str" cm="1">
        <f t="array" ref="J190">_xlfn.LET(_xlpm.calc,COUNTIFS(Date,"&gt;="&amp;J$4,Date,"&lt;="&amp;J$5,Key_Gps,"*"&amp;J$1&amp;"*",pre_shift_hrs_gained,"&gt;0"),_xlpm.perc,_xlpm.calc/J$185,IFERROR(IF(_xlpm.calc&lt;1000,_xlfn.CONCAT(_xlpm.calc," (",TEXT(_xlpm.perc,"0.0%"),")"),_xlfn.CONCAT(TEXT(_xlpm.calc,"0,000")," (",TEXT(_xlpm.perc,"0.0%"),")")),"-"))</f>
        <v>-</v>
      </c>
      <c r="K190" s="215" t="str" cm="1">
        <f t="array" ref="K190">_xlfn.LET(_xlpm.calc,COUNTIFS(Date,"&gt;="&amp;K$4,Date,"&lt;="&amp;K$5,Key_Gps,"*"&amp;K$1&amp;"*",pre_shift_hrs_gained,"&gt;0"),_xlpm.perc,_xlpm.calc/K$185,IFERROR(IF(_xlpm.calc&lt;1000,_xlfn.CONCAT(_xlpm.calc," (",TEXT(_xlpm.perc,"0.0%"),")"),_xlfn.CONCAT(TEXT(_xlpm.calc,"0,000")," (",TEXT(_xlpm.perc,"0.0%"),")")),"-"))</f>
        <v>-</v>
      </c>
      <c r="L190" s="215" t="str" cm="1">
        <f t="array" ref="L190">_xlfn.LET(_xlpm.calc,COUNTIFS(Date,"&gt;="&amp;L$4,Date,"&lt;="&amp;L$5,Key_Gps,"*"&amp;L$1&amp;"*",pre_shift_hrs_gained,"&gt;0"),_xlpm.perc,_xlpm.calc/L$185,IFERROR(IF(_xlpm.calc&lt;1000,_xlfn.CONCAT(_xlpm.calc," (",TEXT(_xlpm.perc,"0.0%"),")"),_xlfn.CONCAT(TEXT(_xlpm.calc,"0,000")," (",TEXT(_xlpm.perc,"0.0%"),")")),"-"))</f>
        <v>-</v>
      </c>
      <c r="M190" s="216" t="str" cm="1">
        <f t="array" ref="M190">_xlfn.LET(_xlpm.calc,COUNTIFS(Date,"&gt;="&amp;M$4,Date,"&lt;="&amp;M$5,Key_Gps,"*"&amp;M$1&amp;"*",pre_shift_hrs_gained,"&gt;0"),_xlpm.perc,_xlpm.calc/M$185,IFERROR(IF(_xlpm.calc&lt;1000,_xlfn.CONCAT(_xlpm.calc," (",TEXT(_xlpm.perc,"0.0%"),")"),_xlfn.CONCAT(TEXT(_xlpm.calc,"0,000")," (",TEXT(_xlpm.perc,"0.0%"),")")),"-"))</f>
        <v>-</v>
      </c>
      <c r="N190" s="174" t="s">
        <v>146</v>
      </c>
      <c r="O190" s="74"/>
      <c r="P190" s="42"/>
      <c r="Q190" s="75" t="str">
        <f t="shared" si="110"/>
        <v/>
      </c>
      <c r="R190" s="76" t="e">
        <f t="shared" si="111"/>
        <v>#VALUE!</v>
      </c>
      <c r="S190" s="64">
        <f t="shared" si="126"/>
        <v>1</v>
      </c>
      <c r="T190" s="42" t="str">
        <f t="shared" ca="1" si="132"/>
        <v>-</v>
      </c>
      <c r="U190" s="42" t="str">
        <f t="shared" si="133"/>
        <v>-</v>
      </c>
      <c r="V190" s="42" t="str">
        <f t="shared" si="134"/>
        <v>-</v>
      </c>
      <c r="W190" s="42" t="str">
        <f t="shared" si="115"/>
        <v>-</v>
      </c>
      <c r="X190" s="42" t="str">
        <f t="shared" si="116"/>
        <v>-</v>
      </c>
      <c r="Y190" s="42" t="str">
        <f t="shared" si="117"/>
        <v>-</v>
      </c>
      <c r="Z190" s="42" t="str">
        <f t="shared" si="118"/>
        <v>-</v>
      </c>
      <c r="AA190" s="42" t="str">
        <f t="shared" si="119"/>
        <v>-</v>
      </c>
      <c r="AB190" s="42" t="str">
        <f t="shared" si="120"/>
        <v>-</v>
      </c>
      <c r="AC190" s="42" t="str">
        <f t="shared" si="135"/>
        <v>-</v>
      </c>
    </row>
    <row r="191" spans="1:29" s="41" customFormat="1" outlineLevel="2" x14ac:dyDescent="0.25">
      <c r="A191" s="42">
        <v>1</v>
      </c>
      <c r="B191" s="314"/>
      <c r="C191" s="229" t="s">
        <v>149</v>
      </c>
      <c r="D191" s="227" t="e">
        <f ca="1">E191/E$185*D$185</f>
        <v>#NAME?</v>
      </c>
      <c r="E191" s="221" t="e">
        <f t="shared" ref="E191:M191" si="137">SUMIFS(net_pre_shift_hrs,Date,"&gt;="&amp;E$4,Date,"&lt;="&amp;E$5,Key_Gps,"*"&amp;E$1&amp;"*")</f>
        <v>#NAME?</v>
      </c>
      <c r="F191" s="221" t="e">
        <f t="shared" si="137"/>
        <v>#NAME?</v>
      </c>
      <c r="G191" s="221" t="e">
        <f t="shared" si="137"/>
        <v>#NAME?</v>
      </c>
      <c r="H191" s="221" t="e">
        <f t="shared" si="137"/>
        <v>#NAME?</v>
      </c>
      <c r="I191" s="221" t="e">
        <f t="shared" si="137"/>
        <v>#NAME?</v>
      </c>
      <c r="J191" s="221" t="e">
        <f t="shared" si="137"/>
        <v>#NAME?</v>
      </c>
      <c r="K191" s="221" t="e">
        <f t="shared" si="137"/>
        <v>#NAME?</v>
      </c>
      <c r="L191" s="221" t="e">
        <f t="shared" si="137"/>
        <v>#NAME?</v>
      </c>
      <c r="M191" s="223" t="e">
        <f t="shared" si="137"/>
        <v>#NAME?</v>
      </c>
      <c r="N191" s="174"/>
      <c r="O191" s="74"/>
      <c r="P191" s="42"/>
      <c r="Q191" s="75" t="str">
        <f t="shared" si="110"/>
        <v/>
      </c>
      <c r="R191" s="76" t="e">
        <f t="shared" si="111"/>
        <v>#NAME?</v>
      </c>
      <c r="S191" s="64">
        <f t="shared" si="126"/>
        <v>1</v>
      </c>
      <c r="T191" s="42" t="e">
        <f t="shared" ca="1" si="132"/>
        <v>#NAME?</v>
      </c>
      <c r="U191" s="42" t="e">
        <f t="shared" si="133"/>
        <v>#NAME?</v>
      </c>
      <c r="V191" s="42" t="e">
        <f t="shared" si="134"/>
        <v>#NAME?</v>
      </c>
      <c r="W191" s="42" t="e">
        <f t="shared" si="115"/>
        <v>#NAME?</v>
      </c>
      <c r="X191" s="42" t="e">
        <f t="shared" si="116"/>
        <v>#NAME?</v>
      </c>
      <c r="Y191" s="42" t="e">
        <f t="shared" si="117"/>
        <v>#NAME?</v>
      </c>
      <c r="Z191" s="42" t="e">
        <f t="shared" si="118"/>
        <v>#NAME?</v>
      </c>
      <c r="AA191" s="42" t="e">
        <f t="shared" si="119"/>
        <v>#NAME?</v>
      </c>
      <c r="AB191" s="42" t="e">
        <f t="shared" si="120"/>
        <v>#NAME?</v>
      </c>
      <c r="AC191" s="42" t="e">
        <f t="shared" si="135"/>
        <v>#NAME?</v>
      </c>
    </row>
    <row r="192" spans="1:29" s="41" customFormat="1" outlineLevel="2" x14ac:dyDescent="0.25">
      <c r="A192" s="42">
        <v>1</v>
      </c>
      <c r="B192" s="314"/>
      <c r="C192" s="230" t="s">
        <v>150</v>
      </c>
      <c r="D192" s="217" t="str">
        <f ca="1">_xlfn.LET(_xlpm.calc,ROUND($Q192*D$185,0),_xlpm.perc,_xlpm.calc/D$185,IFERROR(IF(_xlpm.calc&lt;1000,_xlfn.CONCAT(_xlpm.calc," (",TEXT(_xlpm.perc,"0.0%"),")"),_xlfn.CONCAT(TEXT(_xlpm.calc,"0,000")," (",TEXT(_xlpm.perc,"0.0%"),")")),"-"))</f>
        <v>-</v>
      </c>
      <c r="E192" s="218" t="str" cm="1">
        <f t="array" ref="E192">_xlfn.LET(_xlpm.calc,COUNTIFS(Date,"&gt;="&amp;E$4,Date,"&lt;="&amp;E$5,Key_Gps,"*"&amp;E$1&amp;"*",mid_shift_out_hrs_lost,"&lt;0"),_xlpm.perc,_xlpm.calc/E$185,IFERROR(IF(_xlpm.calc&lt;1000,_xlfn.CONCAT(_xlpm.calc," (",TEXT(_xlpm.perc,"0.0%"),")"),_xlfn.CONCAT(TEXT(_xlpm.calc,"0,000")," (",TEXT(_xlpm.perc,"0.0%"),")")),"-"))</f>
        <v>-</v>
      </c>
      <c r="F192" s="218" t="str" cm="1">
        <f t="array" ref="F192">_xlfn.LET(_xlpm.calc,COUNTIFS(Date,"&gt;="&amp;F$4,Date,"&lt;="&amp;F$5,Key_Gps,"*"&amp;F$1&amp;"*",mid_shift_out_hrs_lost,"&lt;0"),_xlpm.perc,_xlpm.calc/F$185,IFERROR(IF(_xlpm.calc&lt;1000,_xlfn.CONCAT(_xlpm.calc," (",TEXT(_xlpm.perc,"0.0%"),")"),_xlfn.CONCAT(TEXT(_xlpm.calc,"0,000")," (",TEXT(_xlpm.perc,"0.0%"),")")),"-"))</f>
        <v>-</v>
      </c>
      <c r="G192" s="218" t="str" cm="1">
        <f t="array" ref="G192">_xlfn.LET(_xlpm.calc,COUNTIFS(Date,"&gt;="&amp;G$4,Date,"&lt;="&amp;G$5,Key_Gps,"*"&amp;G$1&amp;"*",mid_shift_out_hrs_lost,"&lt;0"),_xlpm.perc,_xlpm.calc/G$185,IFERROR(IF(_xlpm.calc&lt;1000,_xlfn.CONCAT(_xlpm.calc," (",TEXT(_xlpm.perc,"0.0%"),")"),_xlfn.CONCAT(TEXT(_xlpm.calc,"0,000")," (",TEXT(_xlpm.perc,"0.0%"),")")),"-"))</f>
        <v>-</v>
      </c>
      <c r="H192" s="218" t="str" cm="1">
        <f t="array" ref="H192">_xlfn.LET(_xlpm.calc,COUNTIFS(Date,"&gt;="&amp;H$4,Date,"&lt;="&amp;H$5,Key_Gps,"*"&amp;H$1&amp;"*",mid_shift_out_hrs_lost,"&lt;0"),_xlpm.perc,_xlpm.calc/H$185,IFERROR(IF(_xlpm.calc&lt;1000,_xlfn.CONCAT(_xlpm.calc," (",TEXT(_xlpm.perc,"0.0%"),")"),_xlfn.CONCAT(TEXT(_xlpm.calc,"0,000")," (",TEXT(_xlpm.perc,"0.0%"),")")),"-"))</f>
        <v>-</v>
      </c>
      <c r="I192" s="218" t="str" cm="1">
        <f t="array" ref="I192">_xlfn.LET(_xlpm.calc,COUNTIFS(Date,"&gt;="&amp;I$4,Date,"&lt;="&amp;I$5,Key_Gps,"*"&amp;I$1&amp;"*",mid_shift_out_hrs_lost,"&lt;0"),_xlpm.perc,_xlpm.calc/I$185,IFERROR(IF(_xlpm.calc&lt;1000,_xlfn.CONCAT(_xlpm.calc," (",TEXT(_xlpm.perc,"0.0%"),")"),_xlfn.CONCAT(TEXT(_xlpm.calc,"0,000")," (",TEXT(_xlpm.perc,"0.0%"),")")),"-"))</f>
        <v>-</v>
      </c>
      <c r="J192" s="218" t="str" cm="1">
        <f t="array" ref="J192">_xlfn.LET(_xlpm.calc,COUNTIFS(Date,"&gt;="&amp;J$4,Date,"&lt;="&amp;J$5,Key_Gps,"*"&amp;J$1&amp;"*",mid_shift_out_hrs_lost,"&lt;0"),_xlpm.perc,_xlpm.calc/J$185,IFERROR(IF(_xlpm.calc&lt;1000,_xlfn.CONCAT(_xlpm.calc," (",TEXT(_xlpm.perc,"0.0%"),")"),_xlfn.CONCAT(TEXT(_xlpm.calc,"0,000")," (",TEXT(_xlpm.perc,"0.0%"),")")),"-"))</f>
        <v>-</v>
      </c>
      <c r="K192" s="218" t="str" cm="1">
        <f t="array" ref="K192">_xlfn.LET(_xlpm.calc,COUNTIFS(Date,"&gt;="&amp;K$4,Date,"&lt;="&amp;K$5,Key_Gps,"*"&amp;K$1&amp;"*",mid_shift_out_hrs_lost,"&lt;0"),_xlpm.perc,_xlpm.calc/K$185,IFERROR(IF(_xlpm.calc&lt;1000,_xlfn.CONCAT(_xlpm.calc," (",TEXT(_xlpm.perc,"0.0%"),")"),_xlfn.CONCAT(TEXT(_xlpm.calc,"0,000")," (",TEXT(_xlpm.perc,"0.0%"),")")),"-"))</f>
        <v>-</v>
      </c>
      <c r="L192" s="218" t="str" cm="1">
        <f t="array" ref="L192">_xlfn.LET(_xlpm.calc,COUNTIFS(Date,"&gt;="&amp;L$4,Date,"&lt;="&amp;L$5,Key_Gps,"*"&amp;L$1&amp;"*",mid_shift_out_hrs_lost,"&lt;0"),_xlpm.perc,_xlpm.calc/L$185,IFERROR(IF(_xlpm.calc&lt;1000,_xlfn.CONCAT(_xlpm.calc," (",TEXT(_xlpm.perc,"0.0%"),")"),_xlfn.CONCAT(TEXT(_xlpm.calc,"0,000")," (",TEXT(_xlpm.perc,"0.0%"),")")),"-"))</f>
        <v>-</v>
      </c>
      <c r="M192" s="219" t="str" cm="1">
        <f t="array" ref="M192">_xlfn.LET(_xlpm.calc,COUNTIFS(Date,"&gt;="&amp;M$4,Date,"&lt;="&amp;M$5,Key_Gps,"*"&amp;M$1&amp;"*",mid_shift_out_hrs_lost,"&lt;0"),_xlpm.perc,_xlpm.calc/M$185,IFERROR(IF(_xlpm.calc&lt;1000,_xlfn.CONCAT(_xlpm.calc," (",TEXT(_xlpm.perc,"0.0%"),")"),_xlfn.CONCAT(TEXT(_xlpm.calc,"0,000")," (",TEXT(_xlpm.perc,"0.0%"),")")),"-"))</f>
        <v>-</v>
      </c>
      <c r="N192" s="220" t="s">
        <v>146</v>
      </c>
      <c r="O192" s="74"/>
      <c r="P192" s="42"/>
      <c r="Q192" s="75" t="str">
        <f t="shared" si="110"/>
        <v/>
      </c>
      <c r="R192" s="76" t="e">
        <f t="shared" si="111"/>
        <v>#VALUE!</v>
      </c>
      <c r="S192" s="64">
        <f t="shared" si="126"/>
        <v>1</v>
      </c>
      <c r="T192" s="42" t="str">
        <f t="shared" ca="1" si="132"/>
        <v>-</v>
      </c>
      <c r="U192" s="42" t="str">
        <f t="shared" si="133"/>
        <v>-</v>
      </c>
      <c r="V192" s="42" t="str">
        <f t="shared" si="134"/>
        <v>-</v>
      </c>
      <c r="W192" s="42" t="str">
        <f t="shared" si="115"/>
        <v>-</v>
      </c>
      <c r="X192" s="42" t="str">
        <f t="shared" si="116"/>
        <v>-</v>
      </c>
      <c r="Y192" s="42" t="str">
        <f t="shared" si="117"/>
        <v>-</v>
      </c>
      <c r="Z192" s="42" t="str">
        <f t="shared" si="118"/>
        <v>-</v>
      </c>
      <c r="AA192" s="42" t="str">
        <f t="shared" si="119"/>
        <v>-</v>
      </c>
      <c r="AB192" s="42" t="str">
        <f t="shared" si="120"/>
        <v>-</v>
      </c>
      <c r="AC192" s="42" t="str">
        <f t="shared" si="135"/>
        <v>-</v>
      </c>
    </row>
    <row r="193" spans="1:29" s="41" customFormat="1" outlineLevel="2" x14ac:dyDescent="0.25">
      <c r="A193" s="42">
        <v>1</v>
      </c>
      <c r="B193" s="314"/>
      <c r="C193" s="230" t="s">
        <v>151</v>
      </c>
      <c r="D193" s="217" t="str">
        <f ca="1">_xlfn.LET(_xlpm.calc,ROUND($Q193*D$185,0),_xlpm.perc,_xlpm.calc/D$185,IFERROR(IF(_xlpm.calc&lt;1000,_xlfn.CONCAT(_xlpm.calc," (",TEXT(_xlpm.perc,"0.0%"),")"),_xlfn.CONCAT(TEXT(_xlpm.calc,"0,000")," (",TEXT(_xlpm.perc,"0.0%"),")")),"-"))</f>
        <v>-</v>
      </c>
      <c r="E193" s="218" t="str" cm="1">
        <f t="array" ref="E193">_xlfn.LET(_xlpm.calc,COUNTIFS(Date,"&gt;="&amp;E$4,Date,"&lt;="&amp;E$5,Key_Gps,"*"&amp;E$1&amp;"*",mid_shift_out_hrs_gained,"&gt;0"),_xlpm.perc,_xlpm.calc/E$185,IFERROR(IF(_xlpm.calc&lt;1000,_xlfn.CONCAT(_xlpm.calc," (",TEXT(_xlpm.perc,"0.0%"),")"),_xlfn.CONCAT(TEXT(_xlpm.calc,"0,000")," (",TEXT(_xlpm.perc,"0.0%"),")")),"-"))</f>
        <v>-</v>
      </c>
      <c r="F193" s="218" t="str" cm="1">
        <f t="array" ref="F193">_xlfn.LET(_xlpm.calc,COUNTIFS(Date,"&gt;="&amp;F$4,Date,"&lt;="&amp;F$5,Key_Gps,"*"&amp;F$1&amp;"*",mid_shift_out_hrs_gained,"&gt;0"),_xlpm.perc,_xlpm.calc/F$185,IFERROR(IF(_xlpm.calc&lt;1000,_xlfn.CONCAT(_xlpm.calc," (",TEXT(_xlpm.perc,"0.0%"),")"),_xlfn.CONCAT(TEXT(_xlpm.calc,"0,000")," (",TEXT(_xlpm.perc,"0.0%"),")")),"-"))</f>
        <v>-</v>
      </c>
      <c r="G193" s="218" t="str" cm="1">
        <f t="array" ref="G193">_xlfn.LET(_xlpm.calc,COUNTIFS(Date,"&gt;="&amp;G$4,Date,"&lt;="&amp;G$5,Key_Gps,"*"&amp;G$1&amp;"*",mid_shift_out_hrs_gained,"&gt;0"),_xlpm.perc,_xlpm.calc/G$185,IFERROR(IF(_xlpm.calc&lt;1000,_xlfn.CONCAT(_xlpm.calc," (",TEXT(_xlpm.perc,"0.0%"),")"),_xlfn.CONCAT(TEXT(_xlpm.calc,"0,000")," (",TEXT(_xlpm.perc,"0.0%"),")")),"-"))</f>
        <v>-</v>
      </c>
      <c r="H193" s="218" t="str" cm="1">
        <f t="array" ref="H193">_xlfn.LET(_xlpm.calc,COUNTIFS(Date,"&gt;="&amp;H$4,Date,"&lt;="&amp;H$5,Key_Gps,"*"&amp;H$1&amp;"*",mid_shift_out_hrs_gained,"&gt;0"),_xlpm.perc,_xlpm.calc/H$185,IFERROR(IF(_xlpm.calc&lt;1000,_xlfn.CONCAT(_xlpm.calc," (",TEXT(_xlpm.perc,"0.0%"),")"),_xlfn.CONCAT(TEXT(_xlpm.calc,"0,000")," (",TEXT(_xlpm.perc,"0.0%"),")")),"-"))</f>
        <v>-</v>
      </c>
      <c r="I193" s="218" t="str" cm="1">
        <f t="array" ref="I193">_xlfn.LET(_xlpm.calc,COUNTIFS(Date,"&gt;="&amp;I$4,Date,"&lt;="&amp;I$5,Key_Gps,"*"&amp;I$1&amp;"*",mid_shift_out_hrs_gained,"&gt;0"),_xlpm.perc,_xlpm.calc/I$185,IFERROR(IF(_xlpm.calc&lt;1000,_xlfn.CONCAT(_xlpm.calc," (",TEXT(_xlpm.perc,"0.0%"),")"),_xlfn.CONCAT(TEXT(_xlpm.calc,"0,000")," (",TEXT(_xlpm.perc,"0.0%"),")")),"-"))</f>
        <v>-</v>
      </c>
      <c r="J193" s="218" t="str" cm="1">
        <f t="array" ref="J193">_xlfn.LET(_xlpm.calc,COUNTIFS(Date,"&gt;="&amp;J$4,Date,"&lt;="&amp;J$5,Key_Gps,"*"&amp;J$1&amp;"*",mid_shift_out_hrs_gained,"&gt;0"),_xlpm.perc,_xlpm.calc/J$185,IFERROR(IF(_xlpm.calc&lt;1000,_xlfn.CONCAT(_xlpm.calc," (",TEXT(_xlpm.perc,"0.0%"),")"),_xlfn.CONCAT(TEXT(_xlpm.calc,"0,000")," (",TEXT(_xlpm.perc,"0.0%"),")")),"-"))</f>
        <v>-</v>
      </c>
      <c r="K193" s="218" t="str" cm="1">
        <f t="array" ref="K193">_xlfn.LET(_xlpm.calc,COUNTIFS(Date,"&gt;="&amp;K$4,Date,"&lt;="&amp;K$5,Key_Gps,"*"&amp;K$1&amp;"*",mid_shift_out_hrs_gained,"&gt;0"),_xlpm.perc,_xlpm.calc/K$185,IFERROR(IF(_xlpm.calc&lt;1000,_xlfn.CONCAT(_xlpm.calc," (",TEXT(_xlpm.perc,"0.0%"),")"),_xlfn.CONCAT(TEXT(_xlpm.calc,"0,000")," (",TEXT(_xlpm.perc,"0.0%"),")")),"-"))</f>
        <v>-</v>
      </c>
      <c r="L193" s="218" t="str" cm="1">
        <f t="array" ref="L193">_xlfn.LET(_xlpm.calc,COUNTIFS(Date,"&gt;="&amp;L$4,Date,"&lt;="&amp;L$5,Key_Gps,"*"&amp;L$1&amp;"*",mid_shift_out_hrs_gained,"&gt;0"),_xlpm.perc,_xlpm.calc/L$185,IFERROR(IF(_xlpm.calc&lt;1000,_xlfn.CONCAT(_xlpm.calc," (",TEXT(_xlpm.perc,"0.0%"),")"),_xlfn.CONCAT(TEXT(_xlpm.calc,"0,000")," (",TEXT(_xlpm.perc,"0.0%"),")")),"-"))</f>
        <v>-</v>
      </c>
      <c r="M193" s="219" t="str" cm="1">
        <f t="array" ref="M193">_xlfn.LET(_xlpm.calc,COUNTIFS(Date,"&gt;="&amp;M$4,Date,"&lt;="&amp;M$5,Key_Gps,"*"&amp;M$1&amp;"*",mid_shift_out_hrs_gained,"&gt;0"),_xlpm.perc,_xlpm.calc/M$185,IFERROR(IF(_xlpm.calc&lt;1000,_xlfn.CONCAT(_xlpm.calc," (",TEXT(_xlpm.perc,"0.0%"),")"),_xlfn.CONCAT(TEXT(_xlpm.calc,"0,000")," (",TEXT(_xlpm.perc,"0.0%"),")")),"-"))</f>
        <v>-</v>
      </c>
      <c r="N193" s="220" t="s">
        <v>146</v>
      </c>
      <c r="O193" s="74"/>
      <c r="P193" s="42"/>
      <c r="Q193" s="75" t="str">
        <f t="shared" si="110"/>
        <v/>
      </c>
      <c r="R193" s="76" t="e">
        <f t="shared" si="111"/>
        <v>#VALUE!</v>
      </c>
      <c r="S193" s="64">
        <f t="shared" si="126"/>
        <v>1</v>
      </c>
      <c r="T193" s="42" t="str">
        <f t="shared" ca="1" si="132"/>
        <v>-</v>
      </c>
      <c r="U193" s="42" t="str">
        <f t="shared" si="133"/>
        <v>-</v>
      </c>
      <c r="V193" s="42" t="str">
        <f t="shared" si="134"/>
        <v>-</v>
      </c>
      <c r="W193" s="42" t="str">
        <f t="shared" si="115"/>
        <v>-</v>
      </c>
      <c r="X193" s="42" t="str">
        <f t="shared" si="116"/>
        <v>-</v>
      </c>
      <c r="Y193" s="42" t="str">
        <f t="shared" si="117"/>
        <v>-</v>
      </c>
      <c r="Z193" s="42" t="str">
        <f t="shared" si="118"/>
        <v>-</v>
      </c>
      <c r="AA193" s="42" t="str">
        <f t="shared" si="119"/>
        <v>-</v>
      </c>
      <c r="AB193" s="42" t="str">
        <f t="shared" si="120"/>
        <v>-</v>
      </c>
      <c r="AC193" s="42" t="str">
        <f t="shared" si="135"/>
        <v>-</v>
      </c>
    </row>
    <row r="194" spans="1:29" s="41" customFormat="1" outlineLevel="2" x14ac:dyDescent="0.25">
      <c r="A194" s="42">
        <v>1</v>
      </c>
      <c r="B194" s="314"/>
      <c r="C194" s="230" t="s">
        <v>152</v>
      </c>
      <c r="D194" s="228" t="e">
        <f ca="1">E194/E$185*D$185</f>
        <v>#NAME?</v>
      </c>
      <c r="E194" s="222" t="e">
        <f t="shared" ref="E194:M194" si="138">SUMIFS(net_mid_shift_out_hrs,Date,"&gt;="&amp;E$4,Date,"&lt;="&amp;E$5,Key_Gps,"*"&amp;E$1&amp;"*")</f>
        <v>#NAME?</v>
      </c>
      <c r="F194" s="222" t="e">
        <f t="shared" si="138"/>
        <v>#NAME?</v>
      </c>
      <c r="G194" s="222" t="e">
        <f t="shared" si="138"/>
        <v>#NAME?</v>
      </c>
      <c r="H194" s="222" t="e">
        <f t="shared" si="138"/>
        <v>#NAME?</v>
      </c>
      <c r="I194" s="222" t="e">
        <f t="shared" si="138"/>
        <v>#NAME?</v>
      </c>
      <c r="J194" s="222" t="e">
        <f t="shared" si="138"/>
        <v>#NAME?</v>
      </c>
      <c r="K194" s="222" t="e">
        <f t="shared" si="138"/>
        <v>#NAME?</v>
      </c>
      <c r="L194" s="222" t="e">
        <f t="shared" si="138"/>
        <v>#NAME?</v>
      </c>
      <c r="M194" s="224" t="e">
        <f t="shared" si="138"/>
        <v>#NAME?</v>
      </c>
      <c r="N194" s="220"/>
      <c r="O194" s="74"/>
      <c r="P194" s="42"/>
      <c r="Q194" s="75" t="str">
        <f t="shared" si="110"/>
        <v/>
      </c>
      <c r="R194" s="76" t="e">
        <f t="shared" si="111"/>
        <v>#NAME?</v>
      </c>
      <c r="S194" s="64">
        <f t="shared" si="126"/>
        <v>1</v>
      </c>
      <c r="T194" s="42" t="e">
        <f t="shared" ca="1" si="132"/>
        <v>#NAME?</v>
      </c>
      <c r="U194" s="42" t="e">
        <f t="shared" si="133"/>
        <v>#NAME?</v>
      </c>
      <c r="V194" s="42" t="e">
        <f t="shared" si="134"/>
        <v>#NAME?</v>
      </c>
      <c r="W194" s="42" t="e">
        <f t="shared" si="115"/>
        <v>#NAME?</v>
      </c>
      <c r="X194" s="42" t="e">
        <f t="shared" si="116"/>
        <v>#NAME?</v>
      </c>
      <c r="Y194" s="42" t="e">
        <f t="shared" si="117"/>
        <v>#NAME?</v>
      </c>
      <c r="Z194" s="42" t="e">
        <f t="shared" si="118"/>
        <v>#NAME?</v>
      </c>
      <c r="AA194" s="42" t="e">
        <f t="shared" si="119"/>
        <v>#NAME?</v>
      </c>
      <c r="AB194" s="42" t="e">
        <f t="shared" si="120"/>
        <v>#NAME?</v>
      </c>
      <c r="AC194" s="42" t="e">
        <f t="shared" si="135"/>
        <v>#NAME?</v>
      </c>
    </row>
    <row r="195" spans="1:29" s="41" customFormat="1" outlineLevel="2" x14ac:dyDescent="0.25">
      <c r="A195" s="42">
        <v>1</v>
      </c>
      <c r="B195" s="314"/>
      <c r="C195" s="229" t="s">
        <v>153</v>
      </c>
      <c r="D195" s="214" t="str">
        <f ca="1">_xlfn.LET(_xlpm.calc,ROUND($Q195*D$185,0),_xlpm.perc,_xlpm.calc/D$185,IFERROR(IF(_xlpm.calc&lt;1000,_xlfn.CONCAT(_xlpm.calc," (",TEXT(_xlpm.perc,"0.0%"),")"),_xlfn.CONCAT(TEXT(_xlpm.calc,"0,000")," (",TEXT(_xlpm.perc,"0.0%"),")")),"-"))</f>
        <v>-</v>
      </c>
      <c r="E195" s="215" t="str" cm="1">
        <f t="array" ref="E195">_xlfn.LET(_xlpm.calc,COUNTIFS(Date,"&gt;="&amp;E$4,Date,"&lt;="&amp;E$5,Key_Gps,"*"&amp;E$1&amp;"*",mid_shift_in_hrs_lost,"&lt;0"),_xlpm.perc,_xlpm.calc/E$185,IFERROR(IF(_xlpm.calc&lt;1000,_xlfn.CONCAT(_xlpm.calc," (",TEXT(_xlpm.perc,"0.0%"),")"),_xlfn.CONCAT(TEXT(_xlpm.calc,"0,000")," (",TEXT(_xlpm.perc,"0.0%"),")")),"-"))</f>
        <v>-</v>
      </c>
      <c r="F195" s="215" t="str" cm="1">
        <f t="array" ref="F195">_xlfn.LET(_xlpm.calc,COUNTIFS(Date,"&gt;="&amp;F$4,Date,"&lt;="&amp;F$5,Key_Gps,"*"&amp;F$1&amp;"*",mid_shift_in_hrs_lost,"&lt;0"),_xlpm.perc,_xlpm.calc/F$185,IFERROR(IF(_xlpm.calc&lt;1000,_xlfn.CONCAT(_xlpm.calc," (",TEXT(_xlpm.perc,"0.0%"),")"),_xlfn.CONCAT(TEXT(_xlpm.calc,"0,000")," (",TEXT(_xlpm.perc,"0.0%"),")")),"-"))</f>
        <v>-</v>
      </c>
      <c r="G195" s="215" t="str" cm="1">
        <f t="array" ref="G195">_xlfn.LET(_xlpm.calc,COUNTIFS(Date,"&gt;="&amp;G$4,Date,"&lt;="&amp;G$5,Key_Gps,"*"&amp;G$1&amp;"*",mid_shift_in_hrs_lost,"&lt;0"),_xlpm.perc,_xlpm.calc/G$185,IFERROR(IF(_xlpm.calc&lt;1000,_xlfn.CONCAT(_xlpm.calc," (",TEXT(_xlpm.perc,"0.0%"),")"),_xlfn.CONCAT(TEXT(_xlpm.calc,"0,000")," (",TEXT(_xlpm.perc,"0.0%"),")")),"-"))</f>
        <v>-</v>
      </c>
      <c r="H195" s="215" t="str" cm="1">
        <f t="array" ref="H195">_xlfn.LET(_xlpm.calc,COUNTIFS(Date,"&gt;="&amp;H$4,Date,"&lt;="&amp;H$5,Key_Gps,"*"&amp;H$1&amp;"*",mid_shift_in_hrs_lost,"&lt;0"),_xlpm.perc,_xlpm.calc/H$185,IFERROR(IF(_xlpm.calc&lt;1000,_xlfn.CONCAT(_xlpm.calc," (",TEXT(_xlpm.perc,"0.0%"),")"),_xlfn.CONCAT(TEXT(_xlpm.calc,"0,000")," (",TEXT(_xlpm.perc,"0.0%"),")")),"-"))</f>
        <v>-</v>
      </c>
      <c r="I195" s="215" t="str" cm="1">
        <f t="array" ref="I195">_xlfn.LET(_xlpm.calc,COUNTIFS(Date,"&gt;="&amp;I$4,Date,"&lt;="&amp;I$5,Key_Gps,"*"&amp;I$1&amp;"*",mid_shift_in_hrs_lost,"&lt;0"),_xlpm.perc,_xlpm.calc/I$185,IFERROR(IF(_xlpm.calc&lt;1000,_xlfn.CONCAT(_xlpm.calc," (",TEXT(_xlpm.perc,"0.0%"),")"),_xlfn.CONCAT(TEXT(_xlpm.calc,"0,000")," (",TEXT(_xlpm.perc,"0.0%"),")")),"-"))</f>
        <v>-</v>
      </c>
      <c r="J195" s="215" t="str" cm="1">
        <f t="array" ref="J195">_xlfn.LET(_xlpm.calc,COUNTIFS(Date,"&gt;="&amp;J$4,Date,"&lt;="&amp;J$5,Key_Gps,"*"&amp;J$1&amp;"*",mid_shift_in_hrs_lost,"&lt;0"),_xlpm.perc,_xlpm.calc/J$185,IFERROR(IF(_xlpm.calc&lt;1000,_xlfn.CONCAT(_xlpm.calc," (",TEXT(_xlpm.perc,"0.0%"),")"),_xlfn.CONCAT(TEXT(_xlpm.calc,"0,000")," (",TEXT(_xlpm.perc,"0.0%"),")")),"-"))</f>
        <v>-</v>
      </c>
      <c r="K195" s="215" t="str" cm="1">
        <f t="array" ref="K195">_xlfn.LET(_xlpm.calc,COUNTIFS(Date,"&gt;="&amp;K$4,Date,"&lt;="&amp;K$5,Key_Gps,"*"&amp;K$1&amp;"*",mid_shift_in_hrs_lost,"&lt;0"),_xlpm.perc,_xlpm.calc/K$185,IFERROR(IF(_xlpm.calc&lt;1000,_xlfn.CONCAT(_xlpm.calc," (",TEXT(_xlpm.perc,"0.0%"),")"),_xlfn.CONCAT(TEXT(_xlpm.calc,"0,000")," (",TEXT(_xlpm.perc,"0.0%"),")")),"-"))</f>
        <v>-</v>
      </c>
      <c r="L195" s="215" t="str" cm="1">
        <f t="array" ref="L195">_xlfn.LET(_xlpm.calc,COUNTIFS(Date,"&gt;="&amp;L$4,Date,"&lt;="&amp;L$5,Key_Gps,"*"&amp;L$1&amp;"*",mid_shift_in_hrs_lost,"&lt;0"),_xlpm.perc,_xlpm.calc/L$185,IFERROR(IF(_xlpm.calc&lt;1000,_xlfn.CONCAT(_xlpm.calc," (",TEXT(_xlpm.perc,"0.0%"),")"),_xlfn.CONCAT(TEXT(_xlpm.calc,"0,000")," (",TEXT(_xlpm.perc,"0.0%"),")")),"-"))</f>
        <v>-</v>
      </c>
      <c r="M195" s="216" t="str" cm="1">
        <f t="array" ref="M195">_xlfn.LET(_xlpm.calc,COUNTIFS(Date,"&gt;="&amp;M$4,Date,"&lt;="&amp;M$5,Key_Gps,"*"&amp;M$1&amp;"*",mid_shift_in_hrs_lost,"&lt;0"),_xlpm.perc,_xlpm.calc/M$185,IFERROR(IF(_xlpm.calc&lt;1000,_xlfn.CONCAT(_xlpm.calc," (",TEXT(_xlpm.perc,"0.0%"),")"),_xlfn.CONCAT(TEXT(_xlpm.calc,"0,000")," (",TEXT(_xlpm.perc,"0.0%"),")")),"-"))</f>
        <v>-</v>
      </c>
      <c r="N195" s="174" t="s">
        <v>146</v>
      </c>
      <c r="O195" s="74"/>
      <c r="P195" s="42"/>
      <c r="Q195" s="75" t="str">
        <f t="shared" si="110"/>
        <v/>
      </c>
      <c r="R195" s="76" t="e">
        <f t="shared" si="111"/>
        <v>#VALUE!</v>
      </c>
      <c r="S195" s="64">
        <f t="shared" si="126"/>
        <v>1</v>
      </c>
      <c r="T195" s="42" t="str">
        <f t="shared" ca="1" si="132"/>
        <v>-</v>
      </c>
      <c r="U195" s="42" t="str">
        <f t="shared" si="133"/>
        <v>-</v>
      </c>
      <c r="V195" s="42" t="str">
        <f t="shared" si="134"/>
        <v>-</v>
      </c>
      <c r="W195" s="42" t="str">
        <f t="shared" si="115"/>
        <v>-</v>
      </c>
      <c r="X195" s="42" t="str">
        <f t="shared" si="116"/>
        <v>-</v>
      </c>
      <c r="Y195" s="42" t="str">
        <f t="shared" si="117"/>
        <v>-</v>
      </c>
      <c r="Z195" s="42" t="str">
        <f t="shared" si="118"/>
        <v>-</v>
      </c>
      <c r="AA195" s="42" t="str">
        <f t="shared" si="119"/>
        <v>-</v>
      </c>
      <c r="AB195" s="42" t="str">
        <f t="shared" si="120"/>
        <v>-</v>
      </c>
      <c r="AC195" s="42" t="str">
        <f t="shared" si="135"/>
        <v>-</v>
      </c>
    </row>
    <row r="196" spans="1:29" s="41" customFormat="1" outlineLevel="2" x14ac:dyDescent="0.25">
      <c r="A196" s="42">
        <v>1</v>
      </c>
      <c r="B196" s="314"/>
      <c r="C196" s="229" t="s">
        <v>154</v>
      </c>
      <c r="D196" s="214" t="str">
        <f ca="1">_xlfn.LET(_xlpm.calc,ROUND($Q196*D$185,0),_xlpm.perc,_xlpm.calc/D$185,IFERROR(IF(_xlpm.calc&lt;1000,_xlfn.CONCAT(_xlpm.calc," (",TEXT(_xlpm.perc,"0.0%"),")"),_xlfn.CONCAT(TEXT(_xlpm.calc,"0,000")," (",TEXT(_xlpm.perc,"0.0%"),")")),"-"))</f>
        <v>-</v>
      </c>
      <c r="E196" s="215" t="str" cm="1">
        <f t="array" ref="E196">_xlfn.LET(_xlpm.calc,COUNTIFS(Date,"&gt;="&amp;E$4,Date,"&lt;="&amp;E$5,Key_Gps,"*"&amp;E$1&amp;"*",mid_shift_in_hrs_gained,"&gt;0"),_xlpm.perc,_xlpm.calc/E$185,IFERROR(IF(_xlpm.calc&lt;1000,_xlfn.CONCAT(_xlpm.calc," (",TEXT(_xlpm.perc,"0.0%"),")"),_xlfn.CONCAT(TEXT(_xlpm.calc,"0,000")," (",TEXT(_xlpm.perc,"0.0%"),")")),"-"))</f>
        <v>-</v>
      </c>
      <c r="F196" s="215" t="str" cm="1">
        <f t="array" ref="F196">_xlfn.LET(_xlpm.calc,COUNTIFS(Date,"&gt;="&amp;F$4,Date,"&lt;="&amp;F$5,Key_Gps,"*"&amp;F$1&amp;"*",mid_shift_in_hrs_gained,"&gt;0"),_xlpm.perc,_xlpm.calc/F$185,IFERROR(IF(_xlpm.calc&lt;1000,_xlfn.CONCAT(_xlpm.calc," (",TEXT(_xlpm.perc,"0.0%"),")"),_xlfn.CONCAT(TEXT(_xlpm.calc,"0,000")," (",TEXT(_xlpm.perc,"0.0%"),")")),"-"))</f>
        <v>-</v>
      </c>
      <c r="G196" s="215" t="str" cm="1">
        <f t="array" ref="G196">_xlfn.LET(_xlpm.calc,COUNTIFS(Date,"&gt;="&amp;G$4,Date,"&lt;="&amp;G$5,Key_Gps,"*"&amp;G$1&amp;"*",mid_shift_in_hrs_gained,"&gt;0"),_xlpm.perc,_xlpm.calc/G$185,IFERROR(IF(_xlpm.calc&lt;1000,_xlfn.CONCAT(_xlpm.calc," (",TEXT(_xlpm.perc,"0.0%"),")"),_xlfn.CONCAT(TEXT(_xlpm.calc,"0,000")," (",TEXT(_xlpm.perc,"0.0%"),")")),"-"))</f>
        <v>-</v>
      </c>
      <c r="H196" s="215" t="str" cm="1">
        <f t="array" ref="H196">_xlfn.LET(_xlpm.calc,COUNTIFS(Date,"&gt;="&amp;H$4,Date,"&lt;="&amp;H$5,Key_Gps,"*"&amp;H$1&amp;"*",mid_shift_in_hrs_gained,"&gt;0"),_xlpm.perc,_xlpm.calc/H$185,IFERROR(IF(_xlpm.calc&lt;1000,_xlfn.CONCAT(_xlpm.calc," (",TEXT(_xlpm.perc,"0.0%"),")"),_xlfn.CONCAT(TEXT(_xlpm.calc,"0,000")," (",TEXT(_xlpm.perc,"0.0%"),")")),"-"))</f>
        <v>-</v>
      </c>
      <c r="I196" s="215" t="str" cm="1">
        <f t="array" ref="I196">_xlfn.LET(_xlpm.calc,COUNTIFS(Date,"&gt;="&amp;I$4,Date,"&lt;="&amp;I$5,Key_Gps,"*"&amp;I$1&amp;"*",mid_shift_in_hrs_gained,"&gt;0"),_xlpm.perc,_xlpm.calc/I$185,IFERROR(IF(_xlpm.calc&lt;1000,_xlfn.CONCAT(_xlpm.calc," (",TEXT(_xlpm.perc,"0.0%"),")"),_xlfn.CONCAT(TEXT(_xlpm.calc,"0,000")," (",TEXT(_xlpm.perc,"0.0%"),")")),"-"))</f>
        <v>-</v>
      </c>
      <c r="J196" s="215" t="str" cm="1">
        <f t="array" ref="J196">_xlfn.LET(_xlpm.calc,COUNTIFS(Date,"&gt;="&amp;J$4,Date,"&lt;="&amp;J$5,Key_Gps,"*"&amp;J$1&amp;"*",mid_shift_in_hrs_gained,"&gt;0"),_xlpm.perc,_xlpm.calc/J$185,IFERROR(IF(_xlpm.calc&lt;1000,_xlfn.CONCAT(_xlpm.calc," (",TEXT(_xlpm.perc,"0.0%"),")"),_xlfn.CONCAT(TEXT(_xlpm.calc,"0,000")," (",TEXT(_xlpm.perc,"0.0%"),")")),"-"))</f>
        <v>-</v>
      </c>
      <c r="K196" s="215" t="str" cm="1">
        <f t="array" ref="K196">_xlfn.LET(_xlpm.calc,COUNTIFS(Date,"&gt;="&amp;K$4,Date,"&lt;="&amp;K$5,Key_Gps,"*"&amp;K$1&amp;"*",mid_shift_in_hrs_gained,"&gt;0"),_xlpm.perc,_xlpm.calc/K$185,IFERROR(IF(_xlpm.calc&lt;1000,_xlfn.CONCAT(_xlpm.calc," (",TEXT(_xlpm.perc,"0.0%"),")"),_xlfn.CONCAT(TEXT(_xlpm.calc,"0,000")," (",TEXT(_xlpm.perc,"0.0%"),")")),"-"))</f>
        <v>-</v>
      </c>
      <c r="L196" s="215" t="str" cm="1">
        <f t="array" ref="L196">_xlfn.LET(_xlpm.calc,COUNTIFS(Date,"&gt;="&amp;L$4,Date,"&lt;="&amp;L$5,Key_Gps,"*"&amp;L$1&amp;"*",mid_shift_in_hrs_gained,"&gt;0"),_xlpm.perc,_xlpm.calc/L$185,IFERROR(IF(_xlpm.calc&lt;1000,_xlfn.CONCAT(_xlpm.calc," (",TEXT(_xlpm.perc,"0.0%"),")"),_xlfn.CONCAT(TEXT(_xlpm.calc,"0,000")," (",TEXT(_xlpm.perc,"0.0%"),")")),"-"))</f>
        <v>-</v>
      </c>
      <c r="M196" s="216" t="str" cm="1">
        <f t="array" ref="M196">_xlfn.LET(_xlpm.calc,COUNTIFS(Date,"&gt;="&amp;M$4,Date,"&lt;="&amp;M$5,Key_Gps,"*"&amp;M$1&amp;"*",mid_shift_in_hrs_gained,"&gt;0"),_xlpm.perc,_xlpm.calc/M$185,IFERROR(IF(_xlpm.calc&lt;1000,_xlfn.CONCAT(_xlpm.calc," (",TEXT(_xlpm.perc,"0.0%"),")"),_xlfn.CONCAT(TEXT(_xlpm.calc,"0,000")," (",TEXT(_xlpm.perc,"0.0%"),")")),"-"))</f>
        <v>-</v>
      </c>
      <c r="N196" s="174" t="s">
        <v>146</v>
      </c>
      <c r="O196" s="74"/>
      <c r="P196" s="42"/>
      <c r="Q196" s="75" t="str">
        <f t="shared" si="110"/>
        <v/>
      </c>
      <c r="R196" s="76" t="e">
        <f t="shared" si="111"/>
        <v>#VALUE!</v>
      </c>
      <c r="S196" s="64">
        <f t="shared" si="126"/>
        <v>1</v>
      </c>
      <c r="T196" s="42" t="str">
        <f t="shared" ca="1" si="132"/>
        <v>-</v>
      </c>
      <c r="U196" s="42" t="str">
        <f t="shared" si="133"/>
        <v>-</v>
      </c>
      <c r="V196" s="42" t="str">
        <f t="shared" si="134"/>
        <v>-</v>
      </c>
      <c r="W196" s="42" t="str">
        <f t="shared" si="115"/>
        <v>-</v>
      </c>
      <c r="X196" s="42" t="str">
        <f t="shared" si="116"/>
        <v>-</v>
      </c>
      <c r="Y196" s="42" t="str">
        <f t="shared" si="117"/>
        <v>-</v>
      </c>
      <c r="Z196" s="42" t="str">
        <f t="shared" si="118"/>
        <v>-</v>
      </c>
      <c r="AA196" s="42" t="str">
        <f t="shared" si="119"/>
        <v>-</v>
      </c>
      <c r="AB196" s="42" t="str">
        <f t="shared" si="120"/>
        <v>-</v>
      </c>
      <c r="AC196" s="42" t="str">
        <f t="shared" si="135"/>
        <v>-</v>
      </c>
    </row>
    <row r="197" spans="1:29" s="41" customFormat="1" outlineLevel="2" x14ac:dyDescent="0.25">
      <c r="A197" s="42">
        <v>1</v>
      </c>
      <c r="B197" s="314"/>
      <c r="C197" s="229" t="s">
        <v>152</v>
      </c>
      <c r="D197" s="227" t="e">
        <f ca="1">E197/E$185*D$185</f>
        <v>#NAME?</v>
      </c>
      <c r="E197" s="221" t="e">
        <f t="shared" ref="E197:M197" si="139">SUMIFS(net_mid_shift_in_hrs,Date,"&gt;="&amp;E$4,Date,"&lt;="&amp;E$5,Key_Gps,"*"&amp;E$1&amp;"*")</f>
        <v>#NAME?</v>
      </c>
      <c r="F197" s="221" t="e">
        <f t="shared" si="139"/>
        <v>#NAME?</v>
      </c>
      <c r="G197" s="221" t="e">
        <f t="shared" si="139"/>
        <v>#NAME?</v>
      </c>
      <c r="H197" s="221" t="e">
        <f t="shared" si="139"/>
        <v>#NAME?</v>
      </c>
      <c r="I197" s="221" t="e">
        <f t="shared" si="139"/>
        <v>#NAME?</v>
      </c>
      <c r="J197" s="221" t="e">
        <f t="shared" si="139"/>
        <v>#NAME?</v>
      </c>
      <c r="K197" s="221" t="e">
        <f t="shared" si="139"/>
        <v>#NAME?</v>
      </c>
      <c r="L197" s="221" t="e">
        <f t="shared" si="139"/>
        <v>#NAME?</v>
      </c>
      <c r="M197" s="223" t="e">
        <f t="shared" si="139"/>
        <v>#NAME?</v>
      </c>
      <c r="N197" s="174"/>
      <c r="O197" s="74"/>
      <c r="P197" s="42"/>
      <c r="Q197" s="75" t="str">
        <f t="shared" si="110"/>
        <v/>
      </c>
      <c r="R197" s="76" t="e">
        <f t="shared" si="111"/>
        <v>#NAME?</v>
      </c>
      <c r="S197" s="64">
        <f t="shared" si="126"/>
        <v>1</v>
      </c>
      <c r="T197" s="42" t="e">
        <f t="shared" ca="1" si="132"/>
        <v>#NAME?</v>
      </c>
      <c r="U197" s="42" t="e">
        <f t="shared" si="133"/>
        <v>#NAME?</v>
      </c>
      <c r="V197" s="42" t="e">
        <f t="shared" si="134"/>
        <v>#NAME?</v>
      </c>
      <c r="W197" s="42" t="e">
        <f t="shared" si="115"/>
        <v>#NAME?</v>
      </c>
      <c r="X197" s="42" t="e">
        <f t="shared" si="116"/>
        <v>#NAME?</v>
      </c>
      <c r="Y197" s="42" t="e">
        <f t="shared" si="117"/>
        <v>#NAME?</v>
      </c>
      <c r="Z197" s="42" t="e">
        <f t="shared" si="118"/>
        <v>#NAME?</v>
      </c>
      <c r="AA197" s="42" t="e">
        <f t="shared" si="119"/>
        <v>#NAME?</v>
      </c>
      <c r="AB197" s="42" t="e">
        <f t="shared" si="120"/>
        <v>#NAME?</v>
      </c>
      <c r="AC197" s="42" t="e">
        <f t="shared" si="135"/>
        <v>#NAME?</v>
      </c>
    </row>
    <row r="198" spans="1:29" s="41" customFormat="1" outlineLevel="2" x14ac:dyDescent="0.25">
      <c r="A198" s="42">
        <v>1</v>
      </c>
      <c r="B198" s="314"/>
      <c r="C198" s="230" t="s">
        <v>155</v>
      </c>
      <c r="D198" s="217" t="str">
        <f ca="1">_xlfn.LET(_xlpm.calc,ROUND($Q198*D$185,0),_xlpm.perc,_xlpm.calc/D$185,IFERROR(IF(_xlpm.calc&lt;1000,_xlfn.CONCAT(_xlpm.calc," (",TEXT(_xlpm.perc,"0.0%"),")"),_xlfn.CONCAT(TEXT(_xlpm.calc,"0,000")," (",TEXT(_xlpm.perc,"0.0%"),")")),"-"))</f>
        <v>-</v>
      </c>
      <c r="E198" s="218" t="str" cm="1">
        <f t="array" ref="E198">_xlfn.LET(_xlpm.calc,COUNTIFS(Date,"&gt;="&amp;E$4,Date,"&lt;="&amp;E$5,Key_Gps,"*"&amp;E$1&amp;"*",post_shift_hrs_lost,"&lt;0"),_xlpm.perc,_xlpm.calc/E$185,IFERROR(IF(_xlpm.calc&lt;1000,_xlfn.CONCAT(_xlpm.calc," (",TEXT(_xlpm.perc,"0.0%"),")"),_xlfn.CONCAT(TEXT(_xlpm.calc,"0,000")," (",TEXT(_xlpm.perc,"0.0%"),")")),"-"))</f>
        <v>-</v>
      </c>
      <c r="F198" s="218" t="str" cm="1">
        <f t="array" ref="F198">_xlfn.LET(_xlpm.calc,COUNTIFS(Date,"&gt;="&amp;F$4,Date,"&lt;="&amp;F$5,Key_Gps,"*"&amp;F$1&amp;"*",post_shift_hrs_lost,"&lt;0"),_xlpm.perc,_xlpm.calc/F$185,IFERROR(IF(_xlpm.calc&lt;1000,_xlfn.CONCAT(_xlpm.calc," (",TEXT(_xlpm.perc,"0.0%"),")"),_xlfn.CONCAT(TEXT(_xlpm.calc,"0,000")," (",TEXT(_xlpm.perc,"0.0%"),")")),"-"))</f>
        <v>-</v>
      </c>
      <c r="G198" s="218" t="str" cm="1">
        <f t="array" ref="G198">_xlfn.LET(_xlpm.calc,COUNTIFS(Date,"&gt;="&amp;G$4,Date,"&lt;="&amp;G$5,Key_Gps,"*"&amp;G$1&amp;"*",post_shift_hrs_lost,"&lt;0"),_xlpm.perc,_xlpm.calc/G$185,IFERROR(IF(_xlpm.calc&lt;1000,_xlfn.CONCAT(_xlpm.calc," (",TEXT(_xlpm.perc,"0.0%"),")"),_xlfn.CONCAT(TEXT(_xlpm.calc,"0,000")," (",TEXT(_xlpm.perc,"0.0%"),")")),"-"))</f>
        <v>-</v>
      </c>
      <c r="H198" s="218" t="str" cm="1">
        <f t="array" ref="H198">_xlfn.LET(_xlpm.calc,COUNTIFS(Date,"&gt;="&amp;H$4,Date,"&lt;="&amp;H$5,Key_Gps,"*"&amp;H$1&amp;"*",post_shift_hrs_lost,"&lt;0"),_xlpm.perc,_xlpm.calc/H$185,IFERROR(IF(_xlpm.calc&lt;1000,_xlfn.CONCAT(_xlpm.calc," (",TEXT(_xlpm.perc,"0.0%"),")"),_xlfn.CONCAT(TEXT(_xlpm.calc,"0,000")," (",TEXT(_xlpm.perc,"0.0%"),")")),"-"))</f>
        <v>-</v>
      </c>
      <c r="I198" s="218" t="str" cm="1">
        <f t="array" ref="I198">_xlfn.LET(_xlpm.calc,COUNTIFS(Date,"&gt;="&amp;I$4,Date,"&lt;="&amp;I$5,Key_Gps,"*"&amp;I$1&amp;"*",post_shift_hrs_lost,"&lt;0"),_xlpm.perc,_xlpm.calc/I$185,IFERROR(IF(_xlpm.calc&lt;1000,_xlfn.CONCAT(_xlpm.calc," (",TEXT(_xlpm.perc,"0.0%"),")"),_xlfn.CONCAT(TEXT(_xlpm.calc,"0,000")," (",TEXT(_xlpm.perc,"0.0%"),")")),"-"))</f>
        <v>-</v>
      </c>
      <c r="J198" s="218" t="str" cm="1">
        <f t="array" ref="J198">_xlfn.LET(_xlpm.calc,COUNTIFS(Date,"&gt;="&amp;J$4,Date,"&lt;="&amp;J$5,Key_Gps,"*"&amp;J$1&amp;"*",post_shift_hrs_lost,"&lt;0"),_xlpm.perc,_xlpm.calc/J$185,IFERROR(IF(_xlpm.calc&lt;1000,_xlfn.CONCAT(_xlpm.calc," (",TEXT(_xlpm.perc,"0.0%"),")"),_xlfn.CONCAT(TEXT(_xlpm.calc,"0,000")," (",TEXT(_xlpm.perc,"0.0%"),")")),"-"))</f>
        <v>-</v>
      </c>
      <c r="K198" s="218" t="str" cm="1">
        <f t="array" ref="K198">_xlfn.LET(_xlpm.calc,COUNTIFS(Date,"&gt;="&amp;K$4,Date,"&lt;="&amp;K$5,Key_Gps,"*"&amp;K$1&amp;"*",post_shift_hrs_lost,"&lt;0"),_xlpm.perc,_xlpm.calc/K$185,IFERROR(IF(_xlpm.calc&lt;1000,_xlfn.CONCAT(_xlpm.calc," (",TEXT(_xlpm.perc,"0.0%"),")"),_xlfn.CONCAT(TEXT(_xlpm.calc,"0,000")," (",TEXT(_xlpm.perc,"0.0%"),")")),"-"))</f>
        <v>-</v>
      </c>
      <c r="L198" s="218" t="str" cm="1">
        <f t="array" ref="L198">_xlfn.LET(_xlpm.calc,COUNTIFS(Date,"&gt;="&amp;L$4,Date,"&lt;="&amp;L$5,Key_Gps,"*"&amp;L$1&amp;"*",post_shift_hrs_lost,"&lt;0"),_xlpm.perc,_xlpm.calc/L$185,IFERROR(IF(_xlpm.calc&lt;1000,_xlfn.CONCAT(_xlpm.calc," (",TEXT(_xlpm.perc,"0.0%"),")"),_xlfn.CONCAT(TEXT(_xlpm.calc,"0,000")," (",TEXT(_xlpm.perc,"0.0%"),")")),"-"))</f>
        <v>-</v>
      </c>
      <c r="M198" s="219" t="str" cm="1">
        <f t="array" ref="M198">_xlfn.LET(_xlpm.calc,COUNTIFS(Date,"&gt;="&amp;M$4,Date,"&lt;="&amp;M$5,Key_Gps,"*"&amp;M$1&amp;"*",post_shift_hrs_lost,"&lt;0"),_xlpm.perc,_xlpm.calc/M$185,IFERROR(IF(_xlpm.calc&lt;1000,_xlfn.CONCAT(_xlpm.calc," (",TEXT(_xlpm.perc,"0.0%"),")"),_xlfn.CONCAT(TEXT(_xlpm.calc,"0,000")," (",TEXT(_xlpm.perc,"0.0%"),")")),"-"))</f>
        <v>-</v>
      </c>
      <c r="N198" s="220" t="s">
        <v>146</v>
      </c>
      <c r="O198" s="74"/>
      <c r="P198" s="42"/>
      <c r="Q198" s="75" t="str">
        <f t="shared" si="110"/>
        <v/>
      </c>
      <c r="R198" s="76" t="e">
        <f t="shared" si="111"/>
        <v>#VALUE!</v>
      </c>
      <c r="S198" s="64">
        <f t="shared" si="126"/>
        <v>1</v>
      </c>
      <c r="T198" s="42" t="str">
        <f t="shared" ca="1" si="132"/>
        <v>-</v>
      </c>
      <c r="U198" s="42" t="str">
        <f t="shared" si="133"/>
        <v>-</v>
      </c>
      <c r="V198" s="42" t="str">
        <f t="shared" si="134"/>
        <v>-</v>
      </c>
      <c r="W198" s="42" t="str">
        <f t="shared" si="115"/>
        <v>-</v>
      </c>
      <c r="X198" s="42" t="str">
        <f t="shared" si="116"/>
        <v>-</v>
      </c>
      <c r="Y198" s="42" t="str">
        <f t="shared" si="117"/>
        <v>-</v>
      </c>
      <c r="Z198" s="42" t="str">
        <f t="shared" si="118"/>
        <v>-</v>
      </c>
      <c r="AA198" s="42" t="str">
        <f t="shared" si="119"/>
        <v>-</v>
      </c>
      <c r="AB198" s="42" t="str">
        <f t="shared" si="120"/>
        <v>-</v>
      </c>
      <c r="AC198" s="42" t="str">
        <f t="shared" si="135"/>
        <v>-</v>
      </c>
    </row>
    <row r="199" spans="1:29" s="41" customFormat="1" outlineLevel="2" x14ac:dyDescent="0.25">
      <c r="A199" s="42">
        <v>1</v>
      </c>
      <c r="B199" s="314"/>
      <c r="C199" s="230" t="s">
        <v>156</v>
      </c>
      <c r="D199" s="217" t="str">
        <f ca="1">_xlfn.LET(_xlpm.calc,ROUND($Q199*D$185,0),_xlpm.perc,_xlpm.calc/D$185,IFERROR(IF(_xlpm.calc&lt;1000,_xlfn.CONCAT(_xlpm.calc," (",TEXT(_xlpm.perc,"0.0%"),")"),_xlfn.CONCAT(TEXT(_xlpm.calc,"0,000")," (",TEXT(_xlpm.perc,"0.0%"),")")),"-"))</f>
        <v>-</v>
      </c>
      <c r="E199" s="218" t="str" cm="1">
        <f t="array" ref="E199">_xlfn.LET(_xlpm.calc,COUNTIFS(Date,"&gt;="&amp;E$4,Date,"&lt;="&amp;E$5,Key_Gps,"*"&amp;E$1&amp;"*",post_shift_hrs_gained,"&gt;0"),_xlpm.perc,_xlpm.calc/E$185,IFERROR(IF(_xlpm.calc&lt;1000,_xlfn.CONCAT(_xlpm.calc," (",TEXT(_xlpm.perc,"0.0%"),")"),_xlfn.CONCAT(TEXT(_xlpm.calc,"0,000")," (",TEXT(_xlpm.perc,"0.0%"),")")),"-"))</f>
        <v>-</v>
      </c>
      <c r="F199" s="218" t="str" cm="1">
        <f t="array" ref="F199">_xlfn.LET(_xlpm.calc,COUNTIFS(Date,"&gt;="&amp;F$4,Date,"&lt;="&amp;F$5,Key_Gps,"*"&amp;F$1&amp;"*",post_shift_hrs_gained,"&gt;0"),_xlpm.perc,_xlpm.calc/F$185,IFERROR(IF(_xlpm.calc&lt;1000,_xlfn.CONCAT(_xlpm.calc," (",TEXT(_xlpm.perc,"0.0%"),")"),_xlfn.CONCAT(TEXT(_xlpm.calc,"0,000")," (",TEXT(_xlpm.perc,"0.0%"),")")),"-"))</f>
        <v>-</v>
      </c>
      <c r="G199" s="218" t="str" cm="1">
        <f t="array" ref="G199">_xlfn.LET(_xlpm.calc,COUNTIFS(Date,"&gt;="&amp;G$4,Date,"&lt;="&amp;G$5,Key_Gps,"*"&amp;G$1&amp;"*",post_shift_hrs_gained,"&gt;0"),_xlpm.perc,_xlpm.calc/G$185,IFERROR(IF(_xlpm.calc&lt;1000,_xlfn.CONCAT(_xlpm.calc," (",TEXT(_xlpm.perc,"0.0%"),")"),_xlfn.CONCAT(TEXT(_xlpm.calc,"0,000")," (",TEXT(_xlpm.perc,"0.0%"),")")),"-"))</f>
        <v>-</v>
      </c>
      <c r="H199" s="218" t="str" cm="1">
        <f t="array" ref="H199">_xlfn.LET(_xlpm.calc,COUNTIFS(Date,"&gt;="&amp;H$4,Date,"&lt;="&amp;H$5,Key_Gps,"*"&amp;H$1&amp;"*",post_shift_hrs_gained,"&gt;0"),_xlpm.perc,_xlpm.calc/H$185,IFERROR(IF(_xlpm.calc&lt;1000,_xlfn.CONCAT(_xlpm.calc," (",TEXT(_xlpm.perc,"0.0%"),")"),_xlfn.CONCAT(TEXT(_xlpm.calc,"0,000")," (",TEXT(_xlpm.perc,"0.0%"),")")),"-"))</f>
        <v>-</v>
      </c>
      <c r="I199" s="218" t="str" cm="1">
        <f t="array" ref="I199">_xlfn.LET(_xlpm.calc,COUNTIFS(Date,"&gt;="&amp;I$4,Date,"&lt;="&amp;I$5,Key_Gps,"*"&amp;I$1&amp;"*",post_shift_hrs_gained,"&gt;0"),_xlpm.perc,_xlpm.calc/I$185,IFERROR(IF(_xlpm.calc&lt;1000,_xlfn.CONCAT(_xlpm.calc," (",TEXT(_xlpm.perc,"0.0%"),")"),_xlfn.CONCAT(TEXT(_xlpm.calc,"0,000")," (",TEXT(_xlpm.perc,"0.0%"),")")),"-"))</f>
        <v>-</v>
      </c>
      <c r="J199" s="218" t="str" cm="1">
        <f t="array" ref="J199">_xlfn.LET(_xlpm.calc,COUNTIFS(Date,"&gt;="&amp;J$4,Date,"&lt;="&amp;J$5,Key_Gps,"*"&amp;J$1&amp;"*",post_shift_hrs_gained,"&gt;0"),_xlpm.perc,_xlpm.calc/J$185,IFERROR(IF(_xlpm.calc&lt;1000,_xlfn.CONCAT(_xlpm.calc," (",TEXT(_xlpm.perc,"0.0%"),")"),_xlfn.CONCAT(TEXT(_xlpm.calc,"0,000")," (",TEXT(_xlpm.perc,"0.0%"),")")),"-"))</f>
        <v>-</v>
      </c>
      <c r="K199" s="218" t="str" cm="1">
        <f t="array" ref="K199">_xlfn.LET(_xlpm.calc,COUNTIFS(Date,"&gt;="&amp;K$4,Date,"&lt;="&amp;K$5,Key_Gps,"*"&amp;K$1&amp;"*",post_shift_hrs_gained,"&gt;0"),_xlpm.perc,_xlpm.calc/K$185,IFERROR(IF(_xlpm.calc&lt;1000,_xlfn.CONCAT(_xlpm.calc," (",TEXT(_xlpm.perc,"0.0%"),")"),_xlfn.CONCAT(TEXT(_xlpm.calc,"0,000")," (",TEXT(_xlpm.perc,"0.0%"),")")),"-"))</f>
        <v>-</v>
      </c>
      <c r="L199" s="218" t="str" cm="1">
        <f t="array" ref="L199">_xlfn.LET(_xlpm.calc,COUNTIFS(Date,"&gt;="&amp;L$4,Date,"&lt;="&amp;L$5,Key_Gps,"*"&amp;L$1&amp;"*",post_shift_hrs_gained,"&gt;0"),_xlpm.perc,_xlpm.calc/L$185,IFERROR(IF(_xlpm.calc&lt;1000,_xlfn.CONCAT(_xlpm.calc," (",TEXT(_xlpm.perc,"0.0%"),")"),_xlfn.CONCAT(TEXT(_xlpm.calc,"0,000")," (",TEXT(_xlpm.perc,"0.0%"),")")),"-"))</f>
        <v>-</v>
      </c>
      <c r="M199" s="219" t="str" cm="1">
        <f t="array" ref="M199">_xlfn.LET(_xlpm.calc,COUNTIFS(Date,"&gt;="&amp;M$4,Date,"&lt;="&amp;M$5,Key_Gps,"*"&amp;M$1&amp;"*",post_shift_hrs_gained,"&gt;0"),_xlpm.perc,_xlpm.calc/M$185,IFERROR(IF(_xlpm.calc&lt;1000,_xlfn.CONCAT(_xlpm.calc," (",TEXT(_xlpm.perc,"0.0%"),")"),_xlfn.CONCAT(TEXT(_xlpm.calc,"0,000")," (",TEXT(_xlpm.perc,"0.0%"),")")),"-"))</f>
        <v>-</v>
      </c>
      <c r="N199" s="220" t="s">
        <v>146</v>
      </c>
      <c r="O199" s="74"/>
      <c r="P199" s="42"/>
      <c r="Q199" s="75" t="str">
        <f t="shared" si="110"/>
        <v/>
      </c>
      <c r="R199" s="76" t="e">
        <f t="shared" si="111"/>
        <v>#VALUE!</v>
      </c>
      <c r="S199" s="64">
        <f t="shared" si="126"/>
        <v>1</v>
      </c>
      <c r="T199" s="42" t="str">
        <f t="shared" ca="1" si="132"/>
        <v>-</v>
      </c>
      <c r="U199" s="42" t="str">
        <f t="shared" si="133"/>
        <v>-</v>
      </c>
      <c r="V199" s="42" t="str">
        <f t="shared" si="134"/>
        <v>-</v>
      </c>
      <c r="W199" s="42" t="str">
        <f t="shared" si="115"/>
        <v>-</v>
      </c>
      <c r="X199" s="42" t="str">
        <f t="shared" si="116"/>
        <v>-</v>
      </c>
      <c r="Y199" s="42" t="str">
        <f t="shared" si="117"/>
        <v>-</v>
      </c>
      <c r="Z199" s="42" t="str">
        <f t="shared" si="118"/>
        <v>-</v>
      </c>
      <c r="AA199" s="42" t="str">
        <f t="shared" si="119"/>
        <v>-</v>
      </c>
      <c r="AB199" s="42" t="str">
        <f t="shared" si="120"/>
        <v>-</v>
      </c>
      <c r="AC199" s="42" t="str">
        <f t="shared" si="135"/>
        <v>-</v>
      </c>
    </row>
    <row r="200" spans="1:29" s="41" customFormat="1" outlineLevel="2" x14ac:dyDescent="0.25">
      <c r="A200" s="42">
        <v>1</v>
      </c>
      <c r="B200" s="314"/>
      <c r="C200" s="230" t="s">
        <v>157</v>
      </c>
      <c r="D200" s="228" t="e">
        <f ca="1">E200/E$185*D$185</f>
        <v>#NAME?</v>
      </c>
      <c r="E200" s="222" t="e">
        <f t="shared" ref="E200:M200" si="140">SUMIFS(net_post_shift_hrs,Date,"&gt;="&amp;E$4,Date,"&lt;="&amp;E$5,Key_Gps,"*"&amp;E$1&amp;"*")</f>
        <v>#NAME?</v>
      </c>
      <c r="F200" s="222" t="e">
        <f t="shared" si="140"/>
        <v>#NAME?</v>
      </c>
      <c r="G200" s="222" t="e">
        <f t="shared" si="140"/>
        <v>#NAME?</v>
      </c>
      <c r="H200" s="222" t="e">
        <f t="shared" si="140"/>
        <v>#NAME?</v>
      </c>
      <c r="I200" s="222" t="e">
        <f t="shared" si="140"/>
        <v>#NAME?</v>
      </c>
      <c r="J200" s="222" t="e">
        <f t="shared" si="140"/>
        <v>#NAME?</v>
      </c>
      <c r="K200" s="222" t="e">
        <f t="shared" si="140"/>
        <v>#NAME?</v>
      </c>
      <c r="L200" s="222" t="e">
        <f t="shared" si="140"/>
        <v>#NAME?</v>
      </c>
      <c r="M200" s="224" t="e">
        <f t="shared" si="140"/>
        <v>#NAME?</v>
      </c>
      <c r="N200" s="220"/>
      <c r="O200" s="74"/>
      <c r="P200" s="42"/>
      <c r="Q200" s="75" t="str">
        <f t="shared" si="110"/>
        <v/>
      </c>
      <c r="R200" s="76" t="e">
        <f t="shared" si="111"/>
        <v>#NAME?</v>
      </c>
      <c r="S200" s="64">
        <f t="shared" si="126"/>
        <v>1</v>
      </c>
      <c r="T200" s="42" t="e">
        <f t="shared" ca="1" si="132"/>
        <v>#NAME?</v>
      </c>
      <c r="U200" s="42" t="e">
        <f t="shared" si="133"/>
        <v>#NAME?</v>
      </c>
      <c r="V200" s="42" t="e">
        <f t="shared" si="134"/>
        <v>#NAME?</v>
      </c>
      <c r="W200" s="42" t="e">
        <f t="shared" si="115"/>
        <v>#NAME?</v>
      </c>
      <c r="X200" s="42" t="e">
        <f t="shared" si="116"/>
        <v>#NAME?</v>
      </c>
      <c r="Y200" s="42" t="e">
        <f t="shared" si="117"/>
        <v>#NAME?</v>
      </c>
      <c r="Z200" s="42" t="e">
        <f t="shared" si="118"/>
        <v>#NAME?</v>
      </c>
      <c r="AA200" s="42" t="e">
        <f t="shared" si="119"/>
        <v>#NAME?</v>
      </c>
      <c r="AB200" s="42" t="e">
        <f t="shared" si="120"/>
        <v>#NAME?</v>
      </c>
      <c r="AC200" s="42" t="e">
        <f t="shared" si="135"/>
        <v>#NAME?</v>
      </c>
    </row>
    <row r="201" spans="1:29" s="41" customFormat="1" ht="28.8" outlineLevel="1" x14ac:dyDescent="0.25">
      <c r="A201" s="42" t="s">
        <v>13</v>
      </c>
      <c r="B201" s="314"/>
      <c r="C201" s="49" t="s">
        <v>158</v>
      </c>
      <c r="D201" s="195" t="e">
        <f ca="1">ROUND(E201/E$7*D$7,0)</f>
        <v>#DIV/0!</v>
      </c>
      <c r="E201" s="56" cm="1">
        <f t="array" ref="E201" xml:space="preserve"> IFERROR(ROWS(_xlfn.UNIQUE(_xlfn._xlws.FILTER(ID_Period_End,(Period_End &gt;= E$4) * (Period_End &lt;= E$5) * (IFERROR(SEARCH(E$1, Key_Gps),0)&gt;0) * (r_diff &lt;&gt; "")))),0)</f>
        <v>0</v>
      </c>
      <c r="F201" s="56" cm="1">
        <f t="array" ref="F201" xml:space="preserve"> IFERROR(ROWS(_xlfn.UNIQUE(_xlfn._xlws.FILTER(ID_Period_End,(Period_End &gt;= F$4) * (Period_End &lt;= F$5) * (IFERROR(SEARCH(F$1, Key_Gps),0)&gt;0) * (r_diff &lt;&gt; "")))),0)</f>
        <v>0</v>
      </c>
      <c r="G201" s="56" cm="1">
        <f t="array" ref="G201" xml:space="preserve"> IFERROR(ROWS(_xlfn.UNIQUE(_xlfn._xlws.FILTER(ID_Period_End,(Period_End &gt;= G$4) * (Period_End &lt;= G$5) * (IFERROR(SEARCH(G$1, Key_Gps),0)&gt;0) * (r_diff &lt;&gt; "")))),0)</f>
        <v>0</v>
      </c>
      <c r="H201" s="56" cm="1">
        <f t="array" ref="H201" xml:space="preserve"> IFERROR(ROWS(_xlfn.UNIQUE(_xlfn._xlws.FILTER(ID_Period_End,(Period_End &gt;= H$4) * (Period_End &lt;= H$5) * (IFERROR(SEARCH(H$1, Key_Gps),0)&gt;0) * (r_diff &lt;&gt; "")))),0)</f>
        <v>0</v>
      </c>
      <c r="I201" s="56" cm="1">
        <f t="array" ref="I201" xml:space="preserve"> IFERROR(ROWS(_xlfn.UNIQUE(_xlfn._xlws.FILTER(ID_Period_End,(Period_End &gt;= I$4) * (Period_End &lt;= I$5) * (IFERROR(SEARCH(I$1, Key_Gps),0)&gt;0) * (r_diff &lt;&gt; "")))),0)</f>
        <v>0</v>
      </c>
      <c r="J201" s="56" cm="1">
        <f t="array" ref="J201" xml:space="preserve"> IFERROR(ROWS(_xlfn.UNIQUE(_xlfn._xlws.FILTER(ID_Period_End,(Period_End &gt;= J$4) * (Period_End &lt;= J$5) * (IFERROR(SEARCH(J$1, Key_Gps),0)&gt;0) * (r_diff &lt;&gt; "")))),0)</f>
        <v>0</v>
      </c>
      <c r="K201" s="56" cm="1">
        <f t="array" ref="K201" xml:space="preserve"> IFERROR(ROWS(_xlfn.UNIQUE(_xlfn._xlws.FILTER(ID_Period_End,(Period_End &gt;= K$4) * (Period_End &lt;= K$5) * (IFERROR(SEARCH(K$1, Key_Gps),0)&gt;0) * (r_diff &lt;&gt; "")))),0)</f>
        <v>0</v>
      </c>
      <c r="L201" s="56" cm="1">
        <f t="array" ref="L201" xml:space="preserve"> IFERROR(ROWS(_xlfn.UNIQUE(_xlfn._xlws.FILTER(ID_Period_End,(Period_End &gt;= L$4) * (Period_End &lt;= L$5) * (IFERROR(SEARCH(L$1, Key_Gps),0)&gt;0) * (r_diff &lt;&gt; "")))),0)</f>
        <v>0</v>
      </c>
      <c r="M201" s="155" cm="1">
        <f t="array" ref="M201" xml:space="preserve"> IFERROR(ROWS(_xlfn.UNIQUE(_xlfn._xlws.FILTER(ID_Period_End,(Period_End &gt;= M$4) * (Period_End &lt;= M$5) * (IFERROR(SEARCH(M$1, Key_Gps),0)&gt;0) * (r_diff &lt;&gt; "")))),0)</f>
        <v>0</v>
      </c>
      <c r="N201" s="96"/>
      <c r="O201" s="74"/>
      <c r="P201" s="42"/>
      <c r="Q201" s="75" t="str">
        <f t="shared" si="110"/>
        <v/>
      </c>
      <c r="R201" s="76">
        <f t="shared" si="111"/>
        <v>0</v>
      </c>
      <c r="S201" s="64">
        <f t="shared" si="126"/>
        <v>1</v>
      </c>
      <c r="T201" s="42" t="e">
        <f t="shared" ca="1" si="132"/>
        <v>#DIV/0!</v>
      </c>
      <c r="U201" s="42">
        <f t="shared" si="133"/>
        <v>0</v>
      </c>
      <c r="V201" s="42">
        <f t="shared" si="134"/>
        <v>0</v>
      </c>
      <c r="W201" s="42">
        <f t="shared" si="115"/>
        <v>0</v>
      </c>
      <c r="X201" s="42">
        <f t="shared" si="116"/>
        <v>0</v>
      </c>
      <c r="Y201" s="42">
        <f t="shared" si="117"/>
        <v>0</v>
      </c>
      <c r="Z201" s="42">
        <f t="shared" si="118"/>
        <v>0</v>
      </c>
      <c r="AA201" s="42">
        <f t="shared" si="119"/>
        <v>0</v>
      </c>
      <c r="AB201" s="42">
        <f t="shared" si="120"/>
        <v>0</v>
      </c>
      <c r="AC201" s="42">
        <f t="shared" si="135"/>
        <v>0</v>
      </c>
    </row>
    <row r="202" spans="1:29" s="41" customFormat="1" ht="28.8" outlineLevel="1" x14ac:dyDescent="0.25">
      <c r="A202" s="42" t="s">
        <v>13</v>
      </c>
      <c r="B202" s="314"/>
      <c r="C202" s="49" t="s">
        <v>134</v>
      </c>
      <c r="D202" s="195" t="str">
        <f ca="1">_xlfn.LET(_xlpm.calc,ROUND($Q177*D$201,0),_xlpm.perc,_xlpm.calc/D$201,IFERROR(IF(_xlpm.calc&lt;1000,_xlfn.CONCAT(_xlpm.calc," (",TEXT(_xlpm.perc,"0.0%"),")"),_xlfn.CONCAT(TEXT(_xlpm.calc,"0,000")," (",TEXT(_xlpm.perc,"0.0%"),")")),"-"))</f>
        <v>-</v>
      </c>
      <c r="E202" s="65" t="str" cm="1">
        <f t="array" ref="E202">_xlfn.LET(_xlpm.calc,IFERROR(ROWS(_xlfn.UNIQUE(_xlfn._xlws.FILTER(ID_Period_End,(Period_End &gt;= E$4) * (Period_End &lt;= E$5) * (IFERROR(SEARCH(E$1, Key_Gps),0)&gt;0) * (r_diff &lt; 0) * (r_diff &gt; -1)))),0),_xlpm.perc,_xlpm.calc/E$201,IFERROR(IF(_xlpm.calc&lt;1000,_xlfn.CONCAT(_xlpm.calc," (",TEXT(_xlpm.perc,"0.0%"),")"),_xlfn.CONCAT(TEXT(_xlpm.calc,"0,000")," (",TEXT(_xlpm.perc,"0.0%"),")")),"-"))</f>
        <v>-</v>
      </c>
      <c r="F202" s="65" t="str" cm="1">
        <f t="array" ref="F202">_xlfn.LET(_xlpm.calc,IFERROR(ROWS(_xlfn.UNIQUE(_xlfn._xlws.FILTER(ID_Period_End,(Period_End &gt;= F$4) * (Period_End &lt;= F$5) * (IFERROR(SEARCH(F$1, Key_Gps),0)&gt;0) * (r_diff &lt; 0) * (r_diff &gt; -1)))),0),_xlpm.perc,_xlpm.calc/F$201,IFERROR(IF(_xlpm.calc&lt;1000,_xlfn.CONCAT(_xlpm.calc," (",TEXT(_xlpm.perc,"0.0%"),")"),_xlfn.CONCAT(TEXT(_xlpm.calc,"0,000")," (",TEXT(_xlpm.perc,"0.0%"),")")),"-"))</f>
        <v>-</v>
      </c>
      <c r="G202" s="65" t="str" cm="1">
        <f t="array" ref="G202">_xlfn.LET(_xlpm.calc,IFERROR(ROWS(_xlfn.UNIQUE(_xlfn._xlws.FILTER(ID_Period_End,(Period_End &gt;= G$4) * (Period_End &lt;= G$5) * (IFERROR(SEARCH(G$1, Key_Gps),0)&gt;0) * (r_diff &lt; 0) * (r_diff &gt; -1)))),0),_xlpm.perc,_xlpm.calc/G$201,IFERROR(IF(_xlpm.calc&lt;1000,_xlfn.CONCAT(_xlpm.calc," (",TEXT(_xlpm.perc,"0.0%"),")"),_xlfn.CONCAT(TEXT(_xlpm.calc,"0,000")," (",TEXT(_xlpm.perc,"0.0%"),")")),"-"))</f>
        <v>-</v>
      </c>
      <c r="H202" s="65" t="str" cm="1">
        <f t="array" ref="H202">_xlfn.LET(_xlpm.calc,IFERROR(ROWS(_xlfn.UNIQUE(_xlfn._xlws.FILTER(ID_Period_End,(Period_End &gt;= H$4) * (Period_End &lt;= H$5) * (IFERROR(SEARCH(H$1, Key_Gps),0)&gt;0) * (r_diff &lt; 0) * (r_diff &gt; -1)))),0),_xlpm.perc,_xlpm.calc/H$201,IFERROR(IF(_xlpm.calc&lt;1000,_xlfn.CONCAT(_xlpm.calc," (",TEXT(_xlpm.perc,"0.0%"),")"),_xlfn.CONCAT(TEXT(_xlpm.calc,"0,000")," (",TEXT(_xlpm.perc,"0.0%"),")")),"-"))</f>
        <v>-</v>
      </c>
      <c r="I202" s="65" t="str" cm="1">
        <f t="array" ref="I202">_xlfn.LET(_xlpm.calc,IFERROR(ROWS(_xlfn.UNIQUE(_xlfn._xlws.FILTER(ID_Period_End,(Period_End &gt;= I$4) * (Period_End &lt;= I$5) * (IFERROR(SEARCH(I$1, Key_Gps),0)&gt;0) * (r_diff &lt; 0) * (r_diff &gt; -1)))),0),_xlpm.perc,_xlpm.calc/I$201,IFERROR(IF(_xlpm.calc&lt;1000,_xlfn.CONCAT(_xlpm.calc," (",TEXT(_xlpm.perc,"0.0%"),")"),_xlfn.CONCAT(TEXT(_xlpm.calc,"0,000")," (",TEXT(_xlpm.perc,"0.0%"),")")),"-"))</f>
        <v>-</v>
      </c>
      <c r="J202" s="65" t="str" cm="1">
        <f t="array" ref="J202">_xlfn.LET(_xlpm.calc,IFERROR(ROWS(_xlfn.UNIQUE(_xlfn._xlws.FILTER(ID_Period_End,(Period_End &gt;= J$4) * (Period_End &lt;= J$5) * (IFERROR(SEARCH(J$1, Key_Gps),0)&gt;0) * (r_diff &lt; 0) * (r_diff &gt; -1)))),0),_xlpm.perc,_xlpm.calc/J$201,IFERROR(IF(_xlpm.calc&lt;1000,_xlfn.CONCAT(_xlpm.calc," (",TEXT(_xlpm.perc,"0.0%"),")"),_xlfn.CONCAT(TEXT(_xlpm.calc,"0,000")," (",TEXT(_xlpm.perc,"0.0%"),")")),"-"))</f>
        <v>-</v>
      </c>
      <c r="K202" s="65" t="str" cm="1">
        <f t="array" ref="K202">_xlfn.LET(_xlpm.calc,IFERROR(ROWS(_xlfn.UNIQUE(_xlfn._xlws.FILTER(ID_Period_End,(Period_End &gt;= K$4) * (Period_End &lt;= K$5) * (IFERROR(SEARCH(K$1, Key_Gps),0)&gt;0) * (r_diff &lt; 0) * (r_diff &gt; -1)))),0),_xlpm.perc,_xlpm.calc/K$201,IFERROR(IF(_xlpm.calc&lt;1000,_xlfn.CONCAT(_xlpm.calc," (",TEXT(_xlpm.perc,"0.0%"),")"),_xlfn.CONCAT(TEXT(_xlpm.calc,"0,000")," (",TEXT(_xlpm.perc,"0.0%"),")")),"-"))</f>
        <v>-</v>
      </c>
      <c r="L202" s="65" t="str" cm="1">
        <f t="array" ref="L202">_xlfn.LET(_xlpm.calc,IFERROR(ROWS(_xlfn.UNIQUE(_xlfn._xlws.FILTER(ID_Period_End,(Period_End &gt;= L$4) * (Period_End &lt;= L$5) * (IFERROR(SEARCH(L$1, Key_Gps),0)&gt;0) * (r_diff &lt; 0) * (r_diff &gt; -1)))),0),_xlpm.perc,_xlpm.calc/L$201,IFERROR(IF(_xlpm.calc&lt;1000,_xlfn.CONCAT(_xlpm.calc," (",TEXT(_xlpm.perc,"0.0%"),")"),_xlfn.CONCAT(TEXT(_xlpm.calc,"0,000")," (",TEXT(_xlpm.perc,"0.0%"),")")),"-"))</f>
        <v>-</v>
      </c>
      <c r="M202" s="155" t="str" cm="1">
        <f t="array" ref="M202">_xlfn.LET(_xlpm.calc,IFERROR(ROWS(_xlfn.UNIQUE(_xlfn._xlws.FILTER(ID_Period_End,(Period_End &gt;= M$4) * (Period_End &lt;= M$5) * (IFERROR(SEARCH(M$1, Key_Gps),0)&gt;0) * (r_diff &lt; 0) * (r_diff &gt; -1)))),0),_xlpm.perc,_xlpm.calc/M$201,IFERROR(IF(_xlpm.calc&lt;1000,_xlfn.CONCAT(_xlpm.calc," (",TEXT(_xlpm.perc,"0.0%"),")"),_xlfn.CONCAT(TEXT(_xlpm.calc,"0,000")," (",TEXT(_xlpm.perc,"0.0%"),")")),"-"))</f>
        <v>-</v>
      </c>
      <c r="N202" s="96" t="s">
        <v>159</v>
      </c>
      <c r="O202" s="74"/>
      <c r="P202" s="42"/>
      <c r="Q202" s="75" t="str">
        <f t="shared" si="110"/>
        <v/>
      </c>
      <c r="R202" s="76" t="e">
        <f t="shared" si="111"/>
        <v>#VALUE!</v>
      </c>
      <c r="S202" s="64">
        <f t="shared" si="126"/>
        <v>1</v>
      </c>
      <c r="T202" s="42" t="str">
        <f t="shared" ca="1" si="132"/>
        <v>-</v>
      </c>
      <c r="U202" s="42" t="str">
        <f t="shared" si="133"/>
        <v>-</v>
      </c>
      <c r="V202" s="42" t="str">
        <f t="shared" si="134"/>
        <v>-</v>
      </c>
      <c r="W202" s="42" t="str">
        <f t="shared" si="115"/>
        <v>-</v>
      </c>
      <c r="X202" s="42" t="str">
        <f t="shared" si="116"/>
        <v>-</v>
      </c>
      <c r="Y202" s="42" t="str">
        <f t="shared" si="117"/>
        <v>-</v>
      </c>
      <c r="Z202" s="42" t="str">
        <f t="shared" si="118"/>
        <v>-</v>
      </c>
      <c r="AA202" s="42" t="str">
        <f t="shared" si="119"/>
        <v>-</v>
      </c>
      <c r="AB202" s="42" t="str">
        <f t="shared" si="120"/>
        <v>-</v>
      </c>
      <c r="AC202" s="42" t="str">
        <f t="shared" si="135"/>
        <v>-</v>
      </c>
    </row>
    <row r="203" spans="1:29" s="41" customFormat="1" ht="28.8" outlineLevel="1" x14ac:dyDescent="0.25">
      <c r="A203" s="42" t="s">
        <v>13</v>
      </c>
      <c r="B203" s="314"/>
      <c r="C203" s="49" t="s">
        <v>135</v>
      </c>
      <c r="D203" s="195" t="str">
        <f ca="1">_xlfn.LET(_xlpm.calc,ROUND($Q203*D$201,0),_xlpm.perc,_xlpm.calc/D$201,IFERROR(IF(_xlpm.calc&lt;1000,_xlfn.CONCAT(_xlpm.calc," (",TEXT(_xlpm.perc,"0.0%"),")"),_xlfn.CONCAT(TEXT(_xlpm.calc,"0,000")," (",TEXT(_xlpm.perc,"0.0%"),")")),"-"))</f>
        <v>-</v>
      </c>
      <c r="E203" s="65" t="str" cm="1">
        <f t="array" ref="E203">_xlfn.LET(_xlpm.calc,IFERROR(ROWS(_xlfn.UNIQUE(_xlfn._xlws.FILTER(ID_Period_End,(Period_End &gt;= E$4) * (Period_End &lt;= E$5) * (IFERROR(SEARCH(E$1, Key_Gps),0)&gt;0) * (r_diff &gt; 0) * (r_diff &lt; 1)))),0),_xlpm.perc,_xlpm.calc/E$201,IFERROR(IF(_xlpm.calc&lt;1000,_xlfn.CONCAT(_xlpm.calc," (",TEXT(_xlpm.perc,"0.0%"),")"),_xlfn.CONCAT(TEXT(_xlpm.calc,"0,000")," (",TEXT(_xlpm.perc,"0.0%"),")")),"-"))</f>
        <v>-</v>
      </c>
      <c r="F203" s="65" t="str" cm="1">
        <f t="array" ref="F203">_xlfn.LET(_xlpm.calc,IFERROR(ROWS(_xlfn.UNIQUE(_xlfn._xlws.FILTER(ID_Period_End,(Period_End &gt;= F$4) * (Period_End &lt;= F$5) * (IFERROR(SEARCH(F$1, Key_Gps),0)&gt;0) * (r_diff &gt; 0) * (r_diff &lt; 1)))),0),_xlpm.perc,_xlpm.calc/F$201,IFERROR(IF(_xlpm.calc&lt;1000,_xlfn.CONCAT(_xlpm.calc," (",TEXT(_xlpm.perc,"0.0%"),")"),_xlfn.CONCAT(TEXT(_xlpm.calc,"0,000")," (",TEXT(_xlpm.perc,"0.0%"),")")),"-"))</f>
        <v>-</v>
      </c>
      <c r="G203" s="65" t="str" cm="1">
        <f t="array" ref="G203">_xlfn.LET(_xlpm.calc,IFERROR(ROWS(_xlfn.UNIQUE(_xlfn._xlws.FILTER(ID_Period_End,(Period_End &gt;= G$4) * (Period_End &lt;= G$5) * (IFERROR(SEARCH(G$1, Key_Gps),0)&gt;0) * (r_diff &gt; 0) * (r_diff &lt; 1)))),0),_xlpm.perc,_xlpm.calc/G$201,IFERROR(IF(_xlpm.calc&lt;1000,_xlfn.CONCAT(_xlpm.calc," (",TEXT(_xlpm.perc,"0.0%"),")"),_xlfn.CONCAT(TEXT(_xlpm.calc,"0,000")," (",TEXT(_xlpm.perc,"0.0%"),")")),"-"))</f>
        <v>-</v>
      </c>
      <c r="H203" s="65" t="str" cm="1">
        <f t="array" ref="H203">_xlfn.LET(_xlpm.calc,IFERROR(ROWS(_xlfn.UNIQUE(_xlfn._xlws.FILTER(ID_Period_End,(Period_End &gt;= H$4) * (Period_End &lt;= H$5) * (IFERROR(SEARCH(H$1, Key_Gps),0)&gt;0) * (r_diff &gt; 0) * (r_diff &lt; 1)))),0),_xlpm.perc,_xlpm.calc/H$201,IFERROR(IF(_xlpm.calc&lt;1000,_xlfn.CONCAT(_xlpm.calc," (",TEXT(_xlpm.perc,"0.0%"),")"),_xlfn.CONCAT(TEXT(_xlpm.calc,"0,000")," (",TEXT(_xlpm.perc,"0.0%"),")")),"-"))</f>
        <v>-</v>
      </c>
      <c r="I203" s="65" t="str" cm="1">
        <f t="array" ref="I203">_xlfn.LET(_xlpm.calc,IFERROR(ROWS(_xlfn.UNIQUE(_xlfn._xlws.FILTER(ID_Period_End,(Period_End &gt;= I$4) * (Period_End &lt;= I$5) * (IFERROR(SEARCH(I$1, Key_Gps),0)&gt;0) * (r_diff &gt; 0) * (r_diff &lt; 1)))),0),_xlpm.perc,_xlpm.calc/I$201,IFERROR(IF(_xlpm.calc&lt;1000,_xlfn.CONCAT(_xlpm.calc," (",TEXT(_xlpm.perc,"0.0%"),")"),_xlfn.CONCAT(TEXT(_xlpm.calc,"0,000")," (",TEXT(_xlpm.perc,"0.0%"),")")),"-"))</f>
        <v>-</v>
      </c>
      <c r="J203" s="65" t="str" cm="1">
        <f t="array" ref="J203">_xlfn.LET(_xlpm.calc,IFERROR(ROWS(_xlfn.UNIQUE(_xlfn._xlws.FILTER(ID_Period_End,(Period_End &gt;= J$4) * (Period_End &lt;= J$5) * (IFERROR(SEARCH(J$1, Key_Gps),0)&gt;0) * (r_diff &gt; 0) * (r_diff &lt; 1)))),0),_xlpm.perc,_xlpm.calc/J$201,IFERROR(IF(_xlpm.calc&lt;1000,_xlfn.CONCAT(_xlpm.calc," (",TEXT(_xlpm.perc,"0.0%"),")"),_xlfn.CONCAT(TEXT(_xlpm.calc,"0,000")," (",TEXT(_xlpm.perc,"0.0%"),")")),"-"))</f>
        <v>-</v>
      </c>
      <c r="K203" s="65" t="str" cm="1">
        <f t="array" ref="K203">_xlfn.LET(_xlpm.calc,IFERROR(ROWS(_xlfn.UNIQUE(_xlfn._xlws.FILTER(ID_Period_End,(Period_End &gt;= K$4) * (Period_End &lt;= K$5) * (IFERROR(SEARCH(K$1, Key_Gps),0)&gt;0) * (r_diff &gt; 0) * (r_diff &lt; 1)))),0),_xlpm.perc,_xlpm.calc/K$201,IFERROR(IF(_xlpm.calc&lt;1000,_xlfn.CONCAT(_xlpm.calc," (",TEXT(_xlpm.perc,"0.0%"),")"),_xlfn.CONCAT(TEXT(_xlpm.calc,"0,000")," (",TEXT(_xlpm.perc,"0.0%"),")")),"-"))</f>
        <v>-</v>
      </c>
      <c r="L203" s="65" t="str" cm="1">
        <f t="array" ref="L203">_xlfn.LET(_xlpm.calc,IFERROR(ROWS(_xlfn.UNIQUE(_xlfn._xlws.FILTER(ID_Period_End,(Period_End &gt;= L$4) * (Period_End &lt;= L$5) * (IFERROR(SEARCH(L$1, Key_Gps),0)&gt;0) * (r_diff &gt; 0) * (r_diff &lt; 1)))),0),_xlpm.perc,_xlpm.calc/L$201,IFERROR(IF(_xlpm.calc&lt;1000,_xlfn.CONCAT(_xlpm.calc," (",TEXT(_xlpm.perc,"0.0%"),")"),_xlfn.CONCAT(TEXT(_xlpm.calc,"0,000")," (",TEXT(_xlpm.perc,"0.0%"),")")),"-"))</f>
        <v>-</v>
      </c>
      <c r="M203" s="155" t="str" cm="1">
        <f t="array" ref="M203">_xlfn.LET(_xlpm.calc,IFERROR(ROWS(_xlfn.UNIQUE(_xlfn._xlws.FILTER(ID_Period_End,(Period_End &gt;= M$4) * (Period_End &lt;= M$5) * (IFERROR(SEARCH(M$1, Key_Gps),0)&gt;0) * (r_diff &gt; 0) * (r_diff &lt; 1)))),0),_xlpm.perc,_xlpm.calc/M$201,IFERROR(IF(_xlpm.calc&lt;1000,_xlfn.CONCAT(_xlpm.calc," (",TEXT(_xlpm.perc,"0.0%"),")"),_xlfn.CONCAT(TEXT(_xlpm.calc,"0,000")," (",TEXT(_xlpm.perc,"0.0%"),")")),"-"))</f>
        <v>-</v>
      </c>
      <c r="N203" s="96" t="s">
        <v>159</v>
      </c>
      <c r="O203" s="74"/>
      <c r="P203" s="42"/>
      <c r="Q203" s="75" t="str">
        <f t="shared" si="110"/>
        <v/>
      </c>
      <c r="R203" s="76" t="e">
        <f t="shared" si="111"/>
        <v>#VALUE!</v>
      </c>
      <c r="S203" s="64">
        <f t="shared" si="126"/>
        <v>1</v>
      </c>
      <c r="T203" s="42" t="str">
        <f t="shared" ca="1" si="132"/>
        <v>-</v>
      </c>
      <c r="U203" s="42" t="str">
        <f t="shared" si="133"/>
        <v>-</v>
      </c>
      <c r="V203" s="42" t="str">
        <f t="shared" si="134"/>
        <v>-</v>
      </c>
      <c r="W203" s="42" t="str">
        <f t="shared" si="115"/>
        <v>-</v>
      </c>
      <c r="X203" s="42" t="str">
        <f t="shared" si="116"/>
        <v>-</v>
      </c>
      <c r="Y203" s="42" t="str">
        <f t="shared" si="117"/>
        <v>-</v>
      </c>
      <c r="Z203" s="42" t="str">
        <f t="shared" si="118"/>
        <v>-</v>
      </c>
      <c r="AA203" s="42" t="str">
        <f t="shared" si="119"/>
        <v>-</v>
      </c>
      <c r="AB203" s="42" t="str">
        <f t="shared" si="120"/>
        <v>-</v>
      </c>
      <c r="AC203" s="42" t="str">
        <f t="shared" si="135"/>
        <v>-</v>
      </c>
    </row>
    <row r="204" spans="1:29" s="41" customFormat="1" ht="28.8" outlineLevel="1" x14ac:dyDescent="0.25">
      <c r="A204" s="42" t="s">
        <v>13</v>
      </c>
      <c r="B204" s="314"/>
      <c r="C204" s="49" t="s">
        <v>136</v>
      </c>
      <c r="D204" s="195" t="str">
        <f ca="1">_xlfn.LET(_xlpm.calc,ROUND($Q204*D$201,0),_xlpm.perc,_xlpm.calc/D$201,IFERROR(IF(_xlpm.calc&lt;1000,_xlfn.CONCAT(_xlpm.calc," (",TEXT(_xlpm.perc,"0.0%"),")"),_xlfn.CONCAT(TEXT(_xlpm.calc,"0,000")," (",TEXT(_xlpm.perc,"0.0%"),")")),"-"))</f>
        <v>-</v>
      </c>
      <c r="E204" s="65" t="str" cm="1">
        <f t="array" ref="E204">_xlfn.LET(_xlpm.calc,IFERROR(ROWS(_xlfn.UNIQUE(_xlfn._xlws.FILTER(ID_Period_End,(Period_End &gt;= E$4) * (Period_End &lt;= E$5) * (IFERROR(SEARCH(E$1, Key_Gps),0)&gt;0) * (pp_r_diff &lt; 0)))),0),_xlpm.perc,_xlpm.calc/E$201,IFERROR(IF(_xlpm.calc&lt;1000,_xlfn.CONCAT(_xlpm.calc," (",TEXT(_xlpm.perc,"0.0%"),")"),_xlfn.CONCAT(TEXT(_xlpm.calc,"0,000")," (",TEXT(_xlpm.perc,"0.0%"),")")),"-"))</f>
        <v>-</v>
      </c>
      <c r="F204" s="65" t="str" cm="1">
        <f t="array" ref="F204">_xlfn.LET(_xlpm.calc,IFERROR(ROWS(_xlfn.UNIQUE(_xlfn._xlws.FILTER(ID_Period_End,(Period_End &gt;= F$4) * (Period_End &lt;= F$5) * (IFERROR(SEARCH(F$1, Key_Gps),0)&gt;0) * (pp_r_diff &lt; 0)))),0),_xlpm.perc,_xlpm.calc/F$201,IFERROR(IF(_xlpm.calc&lt;1000,_xlfn.CONCAT(_xlpm.calc," (",TEXT(_xlpm.perc,"0.0%"),")"),_xlfn.CONCAT(TEXT(_xlpm.calc,"0,000")," (",TEXT(_xlpm.perc,"0.0%"),")")),"-"))</f>
        <v>-</v>
      </c>
      <c r="G204" s="65" t="str" cm="1">
        <f t="array" ref="G204">_xlfn.LET(_xlpm.calc,IFERROR(ROWS(_xlfn.UNIQUE(_xlfn._xlws.FILTER(ID_Period_End,(Period_End &gt;= G$4) * (Period_End &lt;= G$5) * (IFERROR(SEARCH(G$1, Key_Gps),0)&gt;0) * (pp_r_diff &lt; 0)))),0),_xlpm.perc,_xlpm.calc/G$201,IFERROR(IF(_xlpm.calc&lt;1000,_xlfn.CONCAT(_xlpm.calc," (",TEXT(_xlpm.perc,"0.0%"),")"),_xlfn.CONCAT(TEXT(_xlpm.calc,"0,000")," (",TEXT(_xlpm.perc,"0.0%"),")")),"-"))</f>
        <v>-</v>
      </c>
      <c r="H204" s="65" t="str" cm="1">
        <f t="array" ref="H204">_xlfn.LET(_xlpm.calc,IFERROR(ROWS(_xlfn.UNIQUE(_xlfn._xlws.FILTER(ID_Period_End,(Period_End &gt;= H$4) * (Period_End &lt;= H$5) * (IFERROR(SEARCH(H$1, Key_Gps),0)&gt;0) * (pp_r_diff &lt; 0)))),0),_xlpm.perc,_xlpm.calc/H$201,IFERROR(IF(_xlpm.calc&lt;1000,_xlfn.CONCAT(_xlpm.calc," (",TEXT(_xlpm.perc,"0.0%"),")"),_xlfn.CONCAT(TEXT(_xlpm.calc,"0,000")," (",TEXT(_xlpm.perc,"0.0%"),")")),"-"))</f>
        <v>-</v>
      </c>
      <c r="I204" s="65" t="str" cm="1">
        <f t="array" ref="I204">_xlfn.LET(_xlpm.calc,IFERROR(ROWS(_xlfn.UNIQUE(_xlfn._xlws.FILTER(ID_Period_End,(Period_End &gt;= I$4) * (Period_End &lt;= I$5) * (IFERROR(SEARCH(I$1, Key_Gps),0)&gt;0) * (pp_r_diff &lt; 0)))),0),_xlpm.perc,_xlpm.calc/I$201,IFERROR(IF(_xlpm.calc&lt;1000,_xlfn.CONCAT(_xlpm.calc," (",TEXT(_xlpm.perc,"0.0%"),")"),_xlfn.CONCAT(TEXT(_xlpm.calc,"0,000")," (",TEXT(_xlpm.perc,"0.0%"),")")),"-"))</f>
        <v>-</v>
      </c>
      <c r="J204" s="65" t="str" cm="1">
        <f t="array" ref="J204">_xlfn.LET(_xlpm.calc,IFERROR(ROWS(_xlfn.UNIQUE(_xlfn._xlws.FILTER(ID_Period_End,(Period_End &gt;= J$4) * (Period_End &lt;= J$5) * (IFERROR(SEARCH(J$1, Key_Gps),0)&gt;0) * (pp_r_diff &lt; 0)))),0),_xlpm.perc,_xlpm.calc/J$201,IFERROR(IF(_xlpm.calc&lt;1000,_xlfn.CONCAT(_xlpm.calc," (",TEXT(_xlpm.perc,"0.0%"),")"),_xlfn.CONCAT(TEXT(_xlpm.calc,"0,000")," (",TEXT(_xlpm.perc,"0.0%"),")")),"-"))</f>
        <v>-</v>
      </c>
      <c r="K204" s="65" t="str" cm="1">
        <f t="array" ref="K204">_xlfn.LET(_xlpm.calc,IFERROR(ROWS(_xlfn.UNIQUE(_xlfn._xlws.FILTER(ID_Period_End,(Period_End &gt;= K$4) * (Period_End &lt;= K$5) * (IFERROR(SEARCH(K$1, Key_Gps),0)&gt;0) * (pp_r_diff &lt; 0)))),0),_xlpm.perc,_xlpm.calc/K$201,IFERROR(IF(_xlpm.calc&lt;1000,_xlfn.CONCAT(_xlpm.calc," (",TEXT(_xlpm.perc,"0.0%"),")"),_xlfn.CONCAT(TEXT(_xlpm.calc,"0,000")," (",TEXT(_xlpm.perc,"0.0%"),")")),"-"))</f>
        <v>-</v>
      </c>
      <c r="L204" s="65" t="str" cm="1">
        <f t="array" ref="L204">_xlfn.LET(_xlpm.calc,IFERROR(ROWS(_xlfn.UNIQUE(_xlfn._xlws.FILTER(ID_Period_End,(Period_End &gt;= L$4) * (Period_End &lt;= L$5) * (IFERROR(SEARCH(L$1, Key_Gps),0)&gt;0) * (pp_r_diff &lt; 0)))),0),_xlpm.perc,_xlpm.calc/L$201,IFERROR(IF(_xlpm.calc&lt;1000,_xlfn.CONCAT(_xlpm.calc," (",TEXT(_xlpm.perc,"0.0%"),")"),_xlfn.CONCAT(TEXT(_xlpm.calc,"0,000")," (",TEXT(_xlpm.perc,"0.0%"),")")),"-"))</f>
        <v>-</v>
      </c>
      <c r="M204" s="155" t="str" cm="1">
        <f t="array" ref="M204">_xlfn.LET(_xlpm.calc,IFERROR(ROWS(_xlfn.UNIQUE(_xlfn._xlws.FILTER(ID_Period_End,(Period_End &gt;= M$4) * (Period_End &lt;= M$5) * (IFERROR(SEARCH(M$1, Key_Gps),0)&gt;0) * (pp_r_diff &lt; 0)))),0),_xlpm.perc,_xlpm.calc/M$201,IFERROR(IF(_xlpm.calc&lt;1000,_xlfn.CONCAT(_xlpm.calc," (",TEXT(_xlpm.perc,"0.0%"),")"),_xlfn.CONCAT(TEXT(_xlpm.calc,"0,000")," (",TEXT(_xlpm.perc,"0.0%"),")")),"-"))</f>
        <v>-</v>
      </c>
      <c r="N204" s="96" t="s">
        <v>159</v>
      </c>
      <c r="O204" s="74"/>
      <c r="P204" s="42"/>
      <c r="Q204" s="75" t="str">
        <f t="shared" si="110"/>
        <v/>
      </c>
      <c r="R204" s="76" t="e">
        <f t="shared" si="111"/>
        <v>#VALUE!</v>
      </c>
      <c r="S204" s="64">
        <f t="shared" si="126"/>
        <v>1</v>
      </c>
      <c r="T204" s="42" t="str">
        <f t="shared" ca="1" si="132"/>
        <v>-</v>
      </c>
      <c r="U204" s="42" t="str">
        <f t="shared" si="133"/>
        <v>-</v>
      </c>
      <c r="V204" s="42" t="str">
        <f t="shared" si="134"/>
        <v>-</v>
      </c>
      <c r="W204" s="42" t="str">
        <f t="shared" si="115"/>
        <v>-</v>
      </c>
      <c r="X204" s="42" t="str">
        <f t="shared" si="116"/>
        <v>-</v>
      </c>
      <c r="Y204" s="42" t="str">
        <f t="shared" si="117"/>
        <v>-</v>
      </c>
      <c r="Z204" s="42" t="str">
        <f t="shared" si="118"/>
        <v>-</v>
      </c>
      <c r="AA204" s="42" t="str">
        <f t="shared" si="119"/>
        <v>-</v>
      </c>
      <c r="AB204" s="42" t="str">
        <f t="shared" si="120"/>
        <v>-</v>
      </c>
      <c r="AC204" s="42" t="str">
        <f t="shared" si="135"/>
        <v>-</v>
      </c>
    </row>
    <row r="205" spans="1:29" s="41" customFormat="1" ht="28.8" outlineLevel="1" x14ac:dyDescent="0.25">
      <c r="A205" s="42" t="s">
        <v>13</v>
      </c>
      <c r="B205" s="314"/>
      <c r="C205" s="49" t="s">
        <v>137</v>
      </c>
      <c r="D205" s="195" t="str">
        <f ca="1">_xlfn.LET(_xlpm.calc,ROUND($Q205*D$201,0),_xlpm.perc,_xlpm.calc/D$201,IFERROR(IF(_xlpm.calc&lt;1000,_xlfn.CONCAT(_xlpm.calc," (",TEXT(_xlpm.perc,"0.0%"),")"),_xlfn.CONCAT(TEXT(_xlpm.calc,"0,000")," (",TEXT(_xlpm.perc,"0.0%"),")")),"-"))</f>
        <v>-</v>
      </c>
      <c r="E205" s="65" t="str" cm="1">
        <f t="array" ref="E205">_xlfn.LET(_xlpm.calc,IFERROR(ROWS(_xlfn.UNIQUE(_xlfn._xlws.FILTER(ID_Period_End,(Period_End &gt;= E$4) * (Period_End &lt;= E$5) * (IFERROR(SEARCH(E$1, Key_Gps),0)&gt;0) * (pp_r_diff &gt; 0)))),0),_xlpm.perc,_xlpm.calc/E$201,IFERROR(IF(_xlpm.calc&lt;1000,_xlfn.CONCAT(_xlpm.calc," (",TEXT(_xlpm.perc,"0.0%"),")"),_xlfn.CONCAT(TEXT(_xlpm.calc,"0,000")," (",TEXT(_xlpm.perc,"0.0%"),")")),"-"))</f>
        <v>-</v>
      </c>
      <c r="F205" s="65" t="str" cm="1">
        <f t="array" ref="F205">_xlfn.LET(_xlpm.calc,IFERROR(ROWS(_xlfn.UNIQUE(_xlfn._xlws.FILTER(ID_Period_End,(Period_End &gt;= F$4) * (Period_End &lt;= F$5) * (IFERROR(SEARCH(F$1, Key_Gps),0)&gt;0) * (pp_r_diff &gt; 0)))),0),_xlpm.perc,_xlpm.calc/F$201,IFERROR(IF(_xlpm.calc&lt;1000,_xlfn.CONCAT(_xlpm.calc," (",TEXT(_xlpm.perc,"0.0%"),")"),_xlfn.CONCAT(TEXT(_xlpm.calc,"0,000")," (",TEXT(_xlpm.perc,"0.0%"),")")),"-"))</f>
        <v>-</v>
      </c>
      <c r="G205" s="65" t="str" cm="1">
        <f t="array" ref="G205">_xlfn.LET(_xlpm.calc,IFERROR(ROWS(_xlfn.UNIQUE(_xlfn._xlws.FILTER(ID_Period_End,(Period_End &gt;= G$4) * (Period_End &lt;= G$5) * (IFERROR(SEARCH(G$1, Key_Gps),0)&gt;0) * (pp_r_diff &gt; 0)))),0),_xlpm.perc,_xlpm.calc/G$201,IFERROR(IF(_xlpm.calc&lt;1000,_xlfn.CONCAT(_xlpm.calc," (",TEXT(_xlpm.perc,"0.0%"),")"),_xlfn.CONCAT(TEXT(_xlpm.calc,"0,000")," (",TEXT(_xlpm.perc,"0.0%"),")")),"-"))</f>
        <v>-</v>
      </c>
      <c r="H205" s="65" t="str" cm="1">
        <f t="array" ref="H205">_xlfn.LET(_xlpm.calc,IFERROR(ROWS(_xlfn.UNIQUE(_xlfn._xlws.FILTER(ID_Period_End,(Period_End &gt;= H$4) * (Period_End &lt;= H$5) * (IFERROR(SEARCH(H$1, Key_Gps),0)&gt;0) * (pp_r_diff &gt; 0)))),0),_xlpm.perc,_xlpm.calc/H$201,IFERROR(IF(_xlpm.calc&lt;1000,_xlfn.CONCAT(_xlpm.calc," (",TEXT(_xlpm.perc,"0.0%"),")"),_xlfn.CONCAT(TEXT(_xlpm.calc,"0,000")," (",TEXT(_xlpm.perc,"0.0%"),")")),"-"))</f>
        <v>-</v>
      </c>
      <c r="I205" s="65" t="str" cm="1">
        <f t="array" ref="I205">_xlfn.LET(_xlpm.calc,IFERROR(ROWS(_xlfn.UNIQUE(_xlfn._xlws.FILTER(ID_Period_End,(Period_End &gt;= I$4) * (Period_End &lt;= I$5) * (IFERROR(SEARCH(I$1, Key_Gps),0)&gt;0) * (pp_r_diff &gt; 0)))),0),_xlpm.perc,_xlpm.calc/I$201,IFERROR(IF(_xlpm.calc&lt;1000,_xlfn.CONCAT(_xlpm.calc," (",TEXT(_xlpm.perc,"0.0%"),")"),_xlfn.CONCAT(TEXT(_xlpm.calc,"0,000")," (",TEXT(_xlpm.perc,"0.0%"),")")),"-"))</f>
        <v>-</v>
      </c>
      <c r="J205" s="65" t="str" cm="1">
        <f t="array" ref="J205">_xlfn.LET(_xlpm.calc,IFERROR(ROWS(_xlfn.UNIQUE(_xlfn._xlws.FILTER(ID_Period_End,(Period_End &gt;= J$4) * (Period_End &lt;= J$5) * (IFERROR(SEARCH(J$1, Key_Gps),0)&gt;0) * (pp_r_diff &gt; 0)))),0),_xlpm.perc,_xlpm.calc/J$201,IFERROR(IF(_xlpm.calc&lt;1000,_xlfn.CONCAT(_xlpm.calc," (",TEXT(_xlpm.perc,"0.0%"),")"),_xlfn.CONCAT(TEXT(_xlpm.calc,"0,000")," (",TEXT(_xlpm.perc,"0.0%"),")")),"-"))</f>
        <v>-</v>
      </c>
      <c r="K205" s="65" t="str" cm="1">
        <f t="array" ref="K205">_xlfn.LET(_xlpm.calc,IFERROR(ROWS(_xlfn.UNIQUE(_xlfn._xlws.FILTER(ID_Period_End,(Period_End &gt;= K$4) * (Period_End &lt;= K$5) * (IFERROR(SEARCH(K$1, Key_Gps),0)&gt;0) * (pp_r_diff &gt; 0)))),0),_xlpm.perc,_xlpm.calc/K$201,IFERROR(IF(_xlpm.calc&lt;1000,_xlfn.CONCAT(_xlpm.calc," (",TEXT(_xlpm.perc,"0.0%"),")"),_xlfn.CONCAT(TEXT(_xlpm.calc,"0,000")," (",TEXT(_xlpm.perc,"0.0%"),")")),"-"))</f>
        <v>-</v>
      </c>
      <c r="L205" s="65" t="str" cm="1">
        <f t="array" ref="L205">_xlfn.LET(_xlpm.calc,IFERROR(ROWS(_xlfn.UNIQUE(_xlfn._xlws.FILTER(ID_Period_End,(Period_End &gt;= L$4) * (Period_End &lt;= L$5) * (IFERROR(SEARCH(L$1, Key_Gps),0)&gt;0) * (pp_r_diff &gt; 0)))),0),_xlpm.perc,_xlpm.calc/L$201,IFERROR(IF(_xlpm.calc&lt;1000,_xlfn.CONCAT(_xlpm.calc," (",TEXT(_xlpm.perc,"0.0%"),")"),_xlfn.CONCAT(TEXT(_xlpm.calc,"0,000")," (",TEXT(_xlpm.perc,"0.0%"),")")),"-"))</f>
        <v>-</v>
      </c>
      <c r="M205" s="155" t="str" cm="1">
        <f t="array" ref="M205">_xlfn.LET(_xlpm.calc,IFERROR(ROWS(_xlfn.UNIQUE(_xlfn._xlws.FILTER(ID_Period_End,(Period_End &gt;= M$4) * (Period_End &lt;= M$5) * (IFERROR(SEARCH(M$1, Key_Gps),0)&gt;0) * (pp_r_diff &gt; 0)))),0),_xlpm.perc,_xlpm.calc/M$201,IFERROR(IF(_xlpm.calc&lt;1000,_xlfn.CONCAT(_xlpm.calc," (",TEXT(_xlpm.perc,"0.0%"),")"),_xlfn.CONCAT(TEXT(_xlpm.calc,"0,000")," (",TEXT(_xlpm.perc,"0.0%"),")")),"-"))</f>
        <v>-</v>
      </c>
      <c r="N205" s="96" t="s">
        <v>159</v>
      </c>
      <c r="O205" s="74"/>
      <c r="P205" s="42"/>
      <c r="Q205" s="75" t="str">
        <f t="shared" si="110"/>
        <v/>
      </c>
      <c r="R205" s="76" t="e">
        <f t="shared" si="111"/>
        <v>#VALUE!</v>
      </c>
      <c r="S205" s="64">
        <f t="shared" si="126"/>
        <v>1</v>
      </c>
      <c r="T205" s="42" t="str">
        <f t="shared" ca="1" si="132"/>
        <v>-</v>
      </c>
      <c r="U205" s="42" t="str">
        <f t="shared" si="133"/>
        <v>-</v>
      </c>
      <c r="V205" s="42" t="str">
        <f t="shared" si="134"/>
        <v>-</v>
      </c>
      <c r="W205" s="42" t="str">
        <f t="shared" si="115"/>
        <v>-</v>
      </c>
      <c r="X205" s="42" t="str">
        <f t="shared" si="116"/>
        <v>-</v>
      </c>
      <c r="Y205" s="42" t="str">
        <f t="shared" si="117"/>
        <v>-</v>
      </c>
      <c r="Z205" s="42" t="str">
        <f t="shared" si="118"/>
        <v>-</v>
      </c>
      <c r="AA205" s="42" t="str">
        <f t="shared" si="119"/>
        <v>-</v>
      </c>
      <c r="AB205" s="42" t="str">
        <f t="shared" si="120"/>
        <v>-</v>
      </c>
      <c r="AC205" s="42" t="str">
        <f t="shared" si="135"/>
        <v>-</v>
      </c>
    </row>
    <row r="206" spans="1:29" s="41" customFormat="1" ht="28.8" outlineLevel="1" x14ac:dyDescent="0.25">
      <c r="A206" s="42" t="s">
        <v>13</v>
      </c>
      <c r="B206" s="314"/>
      <c r="C206" s="49" t="s">
        <v>138</v>
      </c>
      <c r="D206" s="195" t="str">
        <f ca="1">_xlfn.LET(_xlpm.calc,ROUND($Q206*D$201,0),_xlpm.perc,_xlpm.calc/D$201,IFERROR(IF(_xlpm.calc&lt;1000,_xlfn.CONCAT(_xlpm.calc," (",TEXT(_xlpm.perc,"0.0%"),")"),_xlfn.CONCAT(TEXT(_xlpm.calc,"0,000")," (",TEXT(_xlpm.perc,"0.0%"),")")),"-"))</f>
        <v>-</v>
      </c>
      <c r="E206" s="65" t="str" cm="1">
        <f t="array" ref="E206">_xlfn.LET(_xlpm.calc,IFERROR(ROWS(_xlfn.UNIQUE(_xlfn._xlws.FILTER(ID_Period_End,(Period_End &gt;= E$4) * (Period_End &lt;= E$5) * (IFERROR(SEARCH(E$1, Key_Gps),0)&gt;0) * (pp_r_diff = 0)))),0) - (E$201-E201),_xlpm.perc,_xlpm.calc/E$201,IFERROR(IF(_xlpm.calc&lt;1000,_xlfn.CONCAT(_xlpm.calc," (",TEXT(_xlpm.perc,"0.0%"),")"),_xlfn.CONCAT(TEXT(_xlpm.calc,"0,000")," (",TEXT(_xlpm.perc,"0.0%"),")")),"-"))</f>
        <v>-</v>
      </c>
      <c r="F206" s="65" t="str" cm="1">
        <f t="array" ref="F206">_xlfn.LET(_xlpm.calc,IFERROR(ROWS(_xlfn.UNIQUE(_xlfn._xlws.FILTER(ID_Period_End,(Period_End &gt;= F$4) * (Period_End &lt;= F$5) * (IFERROR(SEARCH(F$1, Key_Gps),0)&gt;0) * (pp_r_diff = 0)))),0) - (F$201-F201),_xlpm.perc,_xlpm.calc/F$201,IFERROR(IF(_xlpm.calc&lt;1000,_xlfn.CONCAT(_xlpm.calc," (",TEXT(_xlpm.perc,"0.0%"),")"),_xlfn.CONCAT(TEXT(_xlpm.calc,"0,000")," (",TEXT(_xlpm.perc,"0.0%"),")")),"-"))</f>
        <v>-</v>
      </c>
      <c r="G206" s="65" t="str" cm="1">
        <f t="array" ref="G206">_xlfn.LET(_xlpm.calc,IFERROR(ROWS(_xlfn.UNIQUE(_xlfn._xlws.FILTER(ID_Period_End,(Period_End &gt;= G$4) * (Period_End &lt;= G$5) * (IFERROR(SEARCH(G$1, Key_Gps),0)&gt;0) * (pp_r_diff = 0)))),0) - (G$201-G201),_xlpm.perc,_xlpm.calc/G$201,IFERROR(IF(_xlpm.calc&lt;1000,_xlfn.CONCAT(_xlpm.calc," (",TEXT(_xlpm.perc,"0.0%"),")"),_xlfn.CONCAT(TEXT(_xlpm.calc,"0,000")," (",TEXT(_xlpm.perc,"0.0%"),")")),"-"))</f>
        <v>-</v>
      </c>
      <c r="H206" s="65" t="str" cm="1">
        <f t="array" ref="H206">_xlfn.LET(_xlpm.calc,IFERROR(ROWS(_xlfn.UNIQUE(_xlfn._xlws.FILTER(ID_Period_End,(Period_End &gt;= H$4) * (Period_End &lt;= H$5) * (IFERROR(SEARCH(H$1, Key_Gps),0)&gt;0) * (pp_r_diff = 0)))),0) - (H$201-H201),_xlpm.perc,_xlpm.calc/H$201,IFERROR(IF(_xlpm.calc&lt;1000,_xlfn.CONCAT(_xlpm.calc," (",TEXT(_xlpm.perc,"0.0%"),")"),_xlfn.CONCAT(TEXT(_xlpm.calc,"0,000")," (",TEXT(_xlpm.perc,"0.0%"),")")),"-"))</f>
        <v>-</v>
      </c>
      <c r="I206" s="65" t="str" cm="1">
        <f t="array" ref="I206">_xlfn.LET(_xlpm.calc,IFERROR(ROWS(_xlfn.UNIQUE(_xlfn._xlws.FILTER(ID_Period_End,(Period_End &gt;= I$4) * (Period_End &lt;= I$5) * (IFERROR(SEARCH(I$1, Key_Gps),0)&gt;0) * (pp_r_diff = 0)))),0) - (I$201-I201),_xlpm.perc,_xlpm.calc/I$201,IFERROR(IF(_xlpm.calc&lt;1000,_xlfn.CONCAT(_xlpm.calc," (",TEXT(_xlpm.perc,"0.0%"),")"),_xlfn.CONCAT(TEXT(_xlpm.calc,"0,000")," (",TEXT(_xlpm.perc,"0.0%"),")")),"-"))</f>
        <v>-</v>
      </c>
      <c r="J206" s="65" t="str" cm="1">
        <f t="array" ref="J206">_xlfn.LET(_xlpm.calc,IFERROR(ROWS(_xlfn.UNIQUE(_xlfn._xlws.FILTER(ID_Period_End,(Period_End &gt;= J$4) * (Period_End &lt;= J$5) * (IFERROR(SEARCH(J$1, Key_Gps),0)&gt;0) * (pp_r_diff = 0)))),0) - (J$201-J201),_xlpm.perc,_xlpm.calc/J$201,IFERROR(IF(_xlpm.calc&lt;1000,_xlfn.CONCAT(_xlpm.calc," (",TEXT(_xlpm.perc,"0.0%"),")"),_xlfn.CONCAT(TEXT(_xlpm.calc,"0,000")," (",TEXT(_xlpm.perc,"0.0%"),")")),"-"))</f>
        <v>-</v>
      </c>
      <c r="K206" s="65" t="str" cm="1">
        <f t="array" ref="K206">_xlfn.LET(_xlpm.calc,IFERROR(ROWS(_xlfn.UNIQUE(_xlfn._xlws.FILTER(ID_Period_End,(Period_End &gt;= K$4) * (Period_End &lt;= K$5) * (IFERROR(SEARCH(K$1, Key_Gps),0)&gt;0) * (pp_r_diff = 0)))),0) - (K$201-K201),_xlpm.perc,_xlpm.calc/K$201,IFERROR(IF(_xlpm.calc&lt;1000,_xlfn.CONCAT(_xlpm.calc," (",TEXT(_xlpm.perc,"0.0%"),")"),_xlfn.CONCAT(TEXT(_xlpm.calc,"0,000")," (",TEXT(_xlpm.perc,"0.0%"),")")),"-"))</f>
        <v>-</v>
      </c>
      <c r="L206" s="65" t="str" cm="1">
        <f t="array" ref="L206">_xlfn.LET(_xlpm.calc,IFERROR(ROWS(_xlfn.UNIQUE(_xlfn._xlws.FILTER(ID_Period_End,(Period_End &gt;= L$4) * (Period_End &lt;= L$5) * (IFERROR(SEARCH(L$1, Key_Gps),0)&gt;0) * (pp_r_diff = 0)))),0) - (L$201-L201),_xlpm.perc,_xlpm.calc/L$201,IFERROR(IF(_xlpm.calc&lt;1000,_xlfn.CONCAT(_xlpm.calc," (",TEXT(_xlpm.perc,"0.0%"),")"),_xlfn.CONCAT(TEXT(_xlpm.calc,"0,000")," (",TEXT(_xlpm.perc,"0.0%"),")")),"-"))</f>
        <v>-</v>
      </c>
      <c r="M206" s="155" t="str" cm="1">
        <f t="array" ref="M206">_xlfn.LET(_xlpm.calc,IFERROR(ROWS(_xlfn.UNIQUE(_xlfn._xlws.FILTER(ID_Period_End,(Period_End &gt;= M$4) * (Period_End &lt;= M$5) * (IFERROR(SEARCH(M$1, Key_Gps),0)&gt;0) * (pp_r_diff = 0)))),0) - (M$201-M201),_xlpm.perc,_xlpm.calc/M$201,IFERROR(IF(_xlpm.calc&lt;1000,_xlfn.CONCAT(_xlpm.calc," (",TEXT(_xlpm.perc,"0.0%"),")"),_xlfn.CONCAT(TEXT(_xlpm.calc,"0,000")," (",TEXT(_xlpm.perc,"0.0%"),")")),"-"))</f>
        <v>-</v>
      </c>
      <c r="N206" s="96" t="s">
        <v>159</v>
      </c>
      <c r="O206" s="74"/>
      <c r="P206" s="42"/>
      <c r="Q206" s="75" t="str">
        <f t="shared" si="110"/>
        <v/>
      </c>
      <c r="R206" s="76" t="e">
        <f t="shared" si="111"/>
        <v>#VALUE!</v>
      </c>
      <c r="S206" s="64">
        <f t="shared" si="126"/>
        <v>1</v>
      </c>
      <c r="T206" s="42" t="str">
        <f t="shared" ca="1" si="132"/>
        <v>-</v>
      </c>
      <c r="U206" s="42" t="str">
        <f t="shared" si="133"/>
        <v>-</v>
      </c>
      <c r="V206" s="42" t="str">
        <f t="shared" si="134"/>
        <v>-</v>
      </c>
      <c r="W206" s="42" t="str">
        <f t="shared" si="115"/>
        <v>-</v>
      </c>
      <c r="X206" s="42" t="str">
        <f t="shared" si="116"/>
        <v>-</v>
      </c>
      <c r="Y206" s="42" t="str">
        <f t="shared" si="117"/>
        <v>-</v>
      </c>
      <c r="Z206" s="42" t="str">
        <f t="shared" si="118"/>
        <v>-</v>
      </c>
      <c r="AA206" s="42" t="str">
        <f t="shared" si="119"/>
        <v>-</v>
      </c>
      <c r="AB206" s="42" t="str">
        <f t="shared" si="120"/>
        <v>-</v>
      </c>
      <c r="AC206" s="42" t="str">
        <f t="shared" si="135"/>
        <v>-</v>
      </c>
    </row>
    <row r="207" spans="1:29" s="41" customFormat="1" ht="28.8" outlineLevel="1" x14ac:dyDescent="0.25">
      <c r="A207" s="42" t="s">
        <v>13</v>
      </c>
      <c r="B207" s="314"/>
      <c r="C207" s="49" t="s">
        <v>139</v>
      </c>
      <c r="D207" s="197" t="e">
        <f ca="1">E207/E$185*D$185</f>
        <v>#NAME?</v>
      </c>
      <c r="E207" s="78" t="e">
        <f t="shared" ref="E207:M207" si="141">SUMIFS(r_diff,r_diff,"&lt;0",Date,"&gt;="&amp;E$4,Date,"&lt;="&amp;E$5,Key_Gps,"*"&amp;E$1&amp;"*")</f>
        <v>#NAME?</v>
      </c>
      <c r="F207" s="78" t="e">
        <f t="shared" si="141"/>
        <v>#NAME?</v>
      </c>
      <c r="G207" s="78" t="e">
        <f t="shared" si="141"/>
        <v>#NAME?</v>
      </c>
      <c r="H207" s="78" t="e">
        <f t="shared" si="141"/>
        <v>#NAME?</v>
      </c>
      <c r="I207" s="78" t="e">
        <f t="shared" si="141"/>
        <v>#NAME?</v>
      </c>
      <c r="J207" s="78" t="e">
        <f t="shared" si="141"/>
        <v>#NAME?</v>
      </c>
      <c r="K207" s="78" t="e">
        <f t="shared" si="141"/>
        <v>#NAME?</v>
      </c>
      <c r="L207" s="78" t="e">
        <f t="shared" si="141"/>
        <v>#NAME?</v>
      </c>
      <c r="M207" s="164" t="e">
        <f t="shared" si="141"/>
        <v>#NAME?</v>
      </c>
      <c r="N207" s="96"/>
      <c r="O207" s="74"/>
      <c r="P207" s="42"/>
      <c r="Q207" s="75" t="str">
        <f t="shared" si="110"/>
        <v/>
      </c>
      <c r="R207" s="76" t="str">
        <f t="shared" si="111"/>
        <v/>
      </c>
      <c r="S207" s="64" t="str">
        <f t="shared" si="126"/>
        <v/>
      </c>
      <c r="T207" s="42" t="str">
        <f t="shared" si="132"/>
        <v/>
      </c>
      <c r="U207" s="42" t="str">
        <f t="shared" si="133"/>
        <v/>
      </c>
      <c r="V207" s="42" t="str">
        <f t="shared" si="134"/>
        <v/>
      </c>
      <c r="W207" s="42" t="str">
        <f t="shared" si="115"/>
        <v/>
      </c>
      <c r="X207" s="42" t="str">
        <f t="shared" si="116"/>
        <v/>
      </c>
      <c r="Y207" s="42" t="str">
        <f t="shared" si="117"/>
        <v/>
      </c>
      <c r="Z207" s="42" t="str">
        <f t="shared" si="118"/>
        <v/>
      </c>
      <c r="AA207" s="42" t="str">
        <f t="shared" si="119"/>
        <v/>
      </c>
      <c r="AB207" s="42" t="str">
        <f t="shared" si="120"/>
        <v/>
      </c>
      <c r="AC207" s="42" t="str">
        <f t="shared" si="135"/>
        <v/>
      </c>
    </row>
    <row r="208" spans="1:29" s="41" customFormat="1" ht="28.8" outlineLevel="1" x14ac:dyDescent="0.25">
      <c r="A208" s="42" t="s">
        <v>13</v>
      </c>
      <c r="B208" s="315"/>
      <c r="C208" s="49" t="s">
        <v>140</v>
      </c>
      <c r="D208" s="197" t="e">
        <f ca="1">E208/E$185*D$185</f>
        <v>#NAME?</v>
      </c>
      <c r="E208" s="78" t="e">
        <f t="shared" ref="E208:M208" si="142">SUMIFS(r_diff,r_diff,"&gt;0",Date,"&gt;="&amp;E$4,Date,"&lt;="&amp;E$5,Key_Gps,"*"&amp;E$1&amp;"*")</f>
        <v>#NAME?</v>
      </c>
      <c r="F208" s="78" t="e">
        <f t="shared" si="142"/>
        <v>#NAME?</v>
      </c>
      <c r="G208" s="78" t="e">
        <f t="shared" si="142"/>
        <v>#NAME?</v>
      </c>
      <c r="H208" s="78" t="e">
        <f t="shared" si="142"/>
        <v>#NAME?</v>
      </c>
      <c r="I208" s="78" t="e">
        <f t="shared" si="142"/>
        <v>#NAME?</v>
      </c>
      <c r="J208" s="78" t="e">
        <f t="shared" si="142"/>
        <v>#NAME?</v>
      </c>
      <c r="K208" s="78" t="e">
        <f t="shared" si="142"/>
        <v>#NAME?</v>
      </c>
      <c r="L208" s="78" t="e">
        <f t="shared" si="142"/>
        <v>#NAME?</v>
      </c>
      <c r="M208" s="164" t="e">
        <f t="shared" si="142"/>
        <v>#NAME?</v>
      </c>
      <c r="N208" s="96"/>
      <c r="O208" s="74"/>
      <c r="P208" s="42"/>
      <c r="Q208" s="75" t="str">
        <f t="shared" si="110"/>
        <v/>
      </c>
      <c r="R208" s="76" t="str">
        <f t="shared" si="111"/>
        <v/>
      </c>
      <c r="S208" s="64" t="str">
        <f t="shared" si="126"/>
        <v/>
      </c>
      <c r="T208" s="42" t="str">
        <f t="shared" si="132"/>
        <v/>
      </c>
      <c r="U208" s="42" t="str">
        <f t="shared" si="133"/>
        <v/>
      </c>
      <c r="V208" s="42" t="str">
        <f t="shared" si="134"/>
        <v/>
      </c>
      <c r="W208" s="42" t="str">
        <f t="shared" si="115"/>
        <v/>
      </c>
      <c r="X208" s="42" t="str">
        <f t="shared" si="116"/>
        <v/>
      </c>
      <c r="Y208" s="42" t="str">
        <f t="shared" si="117"/>
        <v/>
      </c>
      <c r="Z208" s="42" t="str">
        <f t="shared" si="118"/>
        <v/>
      </c>
      <c r="AA208" s="42" t="str">
        <f t="shared" si="119"/>
        <v/>
      </c>
      <c r="AB208" s="42" t="str">
        <f t="shared" si="120"/>
        <v/>
      </c>
      <c r="AC208" s="42" t="str">
        <f t="shared" si="135"/>
        <v/>
      </c>
    </row>
    <row r="209" spans="1:29" s="41" customFormat="1" ht="28.8" outlineLevel="1" x14ac:dyDescent="0.25">
      <c r="A209" s="42" t="s">
        <v>13</v>
      </c>
      <c r="B209" s="315"/>
      <c r="C209" s="49" t="s">
        <v>160</v>
      </c>
      <c r="D209" s="197" t="e">
        <f ca="1">E209/E$185*D$185</f>
        <v>#NAME?</v>
      </c>
      <c r="E209" s="78" t="e">
        <f t="shared" ref="E209:M209" si="143">SUMIFS(r_diff,Date,"&gt;="&amp;E$4,Date,"&lt;="&amp;E$5,Key_Gps,"*"&amp;E$1&amp;"*")</f>
        <v>#NAME?</v>
      </c>
      <c r="F209" s="78" t="e">
        <f t="shared" si="143"/>
        <v>#NAME?</v>
      </c>
      <c r="G209" s="78" t="e">
        <f t="shared" si="143"/>
        <v>#NAME?</v>
      </c>
      <c r="H209" s="78" t="e">
        <f t="shared" si="143"/>
        <v>#NAME?</v>
      </c>
      <c r="I209" s="78" t="e">
        <f t="shared" si="143"/>
        <v>#NAME?</v>
      </c>
      <c r="J209" s="78" t="e">
        <f t="shared" si="143"/>
        <v>#NAME?</v>
      </c>
      <c r="K209" s="78" t="e">
        <f t="shared" si="143"/>
        <v>#NAME?</v>
      </c>
      <c r="L209" s="78" t="e">
        <f t="shared" si="143"/>
        <v>#NAME?</v>
      </c>
      <c r="M209" s="164" t="e">
        <f t="shared" si="143"/>
        <v>#NAME?</v>
      </c>
      <c r="N209" s="96"/>
      <c r="O209" s="74"/>
      <c r="P209" s="42"/>
      <c r="Q209" s="75" t="str">
        <f t="shared" si="110"/>
        <v/>
      </c>
      <c r="R209" s="76" t="e">
        <f t="shared" si="111"/>
        <v>#NAME?</v>
      </c>
      <c r="S209" s="64">
        <f t="shared" si="126"/>
        <v>1</v>
      </c>
      <c r="T209" s="42" t="e">
        <f t="shared" ca="1" si="132"/>
        <v>#NAME?</v>
      </c>
      <c r="U209" s="42" t="e">
        <f t="shared" si="133"/>
        <v>#NAME?</v>
      </c>
      <c r="V209" s="42" t="e">
        <f t="shared" si="134"/>
        <v>#NAME?</v>
      </c>
      <c r="W209" s="42" t="e">
        <f t="shared" si="115"/>
        <v>#NAME?</v>
      </c>
      <c r="X209" s="42" t="e">
        <f t="shared" si="116"/>
        <v>#NAME?</v>
      </c>
      <c r="Y209" s="42" t="e">
        <f t="shared" si="117"/>
        <v>#NAME?</v>
      </c>
      <c r="Z209" s="42" t="e">
        <f t="shared" si="118"/>
        <v>#NAME?</v>
      </c>
      <c r="AA209" s="42" t="e">
        <f t="shared" si="119"/>
        <v>#NAME?</v>
      </c>
      <c r="AB209" s="42" t="e">
        <f t="shared" si="120"/>
        <v>#NAME?</v>
      </c>
      <c r="AC209" s="42" t="e">
        <f t="shared" si="135"/>
        <v>#NAME?</v>
      </c>
    </row>
    <row r="210" spans="1:29" x14ac:dyDescent="0.25">
      <c r="A210" s="42">
        <v>1</v>
      </c>
      <c r="C210" s="58"/>
      <c r="D210" s="190"/>
      <c r="E210" s="97"/>
      <c r="F210" s="58"/>
      <c r="G210" s="58"/>
      <c r="H210" s="58"/>
      <c r="I210" s="58"/>
      <c r="J210" s="58"/>
      <c r="K210" s="58"/>
      <c r="L210" s="58"/>
      <c r="O210" s="74"/>
      <c r="Q210" s="75" t="str">
        <f t="shared" si="110"/>
        <v/>
      </c>
      <c r="R210" s="76" t="str">
        <f t="shared" si="111"/>
        <v/>
      </c>
      <c r="S210" s="64" t="str">
        <f t="shared" si="126"/>
        <v/>
      </c>
      <c r="T210" s="42" t="str">
        <f t="shared" si="132"/>
        <v/>
      </c>
      <c r="U210" s="42" t="str">
        <f t="shared" si="133"/>
        <v/>
      </c>
      <c r="V210" s="42" t="str">
        <f t="shared" si="134"/>
        <v/>
      </c>
      <c r="W210" s="42" t="str">
        <f t="shared" si="115"/>
        <v/>
      </c>
      <c r="X210" s="42" t="str">
        <f t="shared" si="116"/>
        <v/>
      </c>
      <c r="Y210" s="42" t="str">
        <f t="shared" si="117"/>
        <v/>
      </c>
      <c r="Z210" s="42" t="str">
        <f t="shared" si="118"/>
        <v/>
      </c>
      <c r="AA210" s="42" t="str">
        <f t="shared" si="119"/>
        <v/>
      </c>
      <c r="AB210" s="42" t="str">
        <f t="shared" si="120"/>
        <v/>
      </c>
      <c r="AC210" s="42" t="str">
        <f t="shared" si="135"/>
        <v/>
      </c>
    </row>
    <row r="211" spans="1:29" ht="28.8" outlineLevel="1" x14ac:dyDescent="0.25">
      <c r="A211" s="42" t="s">
        <v>13</v>
      </c>
      <c r="B211" s="324" t="s">
        <v>161</v>
      </c>
      <c r="C211" s="51" t="s">
        <v>15</v>
      </c>
      <c r="D211" s="193">
        <f t="shared" ref="D211:K213" si="144">_xlfn.LET(_xlpm.calc,_xlfn.XLOOKUP($C211,$C:$C,D:D),IF(IFERROR(SEARCH(" ",_xlpm.calc),0)&gt;0,IFERROR(VALUE(LEFT(_xlpm.calc,SEARCH(" ",_xlpm.calc))),"-"),IFERROR(_xlpm.calc,"-")))</f>
        <v>43466</v>
      </c>
      <c r="E211" s="52" t="str">
        <f t="shared" si="144"/>
        <v>-</v>
      </c>
      <c r="F211" s="52" t="str">
        <f t="shared" si="144"/>
        <v>-</v>
      </c>
      <c r="G211" s="52" t="str">
        <f t="shared" si="144"/>
        <v>-</v>
      </c>
      <c r="H211" s="52" t="str">
        <f t="shared" si="144"/>
        <v>-</v>
      </c>
      <c r="I211" s="52" t="str">
        <f t="shared" si="144"/>
        <v>-</v>
      </c>
      <c r="J211" s="52" t="str">
        <f t="shared" si="144"/>
        <v>-</v>
      </c>
      <c r="K211" s="52" t="str">
        <f t="shared" si="144"/>
        <v>-</v>
      </c>
      <c r="L211" s="52" t="str">
        <f t="shared" ref="L211:M213" si="145">_xlfn.LET(_xlpm.calc,_xlfn.XLOOKUP($C211,$C:$C,L:L),IF(IFERROR(SEARCH(" ",_xlpm.calc),0)&gt;0,IFERROR(VALUE(LEFT(_xlpm.calc,SEARCH(" ",_xlpm.calc))),"-"),IFERROR(_xlpm.calc,"-")))</f>
        <v>-</v>
      </c>
      <c r="M211" s="154" t="str">
        <f t="shared" si="145"/>
        <v>-</v>
      </c>
      <c r="N211" s="84" t="s">
        <v>24</v>
      </c>
      <c r="O211" s="74"/>
      <c r="Q211" s="75" t="str">
        <f t="shared" si="110"/>
        <v/>
      </c>
      <c r="R211" s="76" t="str">
        <f t="shared" si="111"/>
        <v/>
      </c>
      <c r="S211" s="64" t="str">
        <f t="shared" si="126"/>
        <v/>
      </c>
      <c r="T211" s="42" t="str">
        <f t="shared" si="132"/>
        <v/>
      </c>
      <c r="U211" s="42" t="str">
        <f t="shared" si="133"/>
        <v/>
      </c>
      <c r="V211" s="42" t="str">
        <f t="shared" si="134"/>
        <v/>
      </c>
      <c r="W211" s="42" t="str">
        <f t="shared" si="115"/>
        <v/>
      </c>
      <c r="X211" s="42" t="str">
        <f t="shared" si="116"/>
        <v/>
      </c>
      <c r="Y211" s="42" t="str">
        <f t="shared" si="117"/>
        <v/>
      </c>
      <c r="Z211" s="42" t="str">
        <f t="shared" si="118"/>
        <v/>
      </c>
      <c r="AA211" s="42" t="str">
        <f t="shared" si="119"/>
        <v/>
      </c>
      <c r="AB211" s="42" t="str">
        <f t="shared" si="120"/>
        <v/>
      </c>
      <c r="AC211" s="42" t="str">
        <f t="shared" si="135"/>
        <v/>
      </c>
    </row>
    <row r="212" spans="1:29" ht="28.8" outlineLevel="1" x14ac:dyDescent="0.25">
      <c r="A212" s="42" t="s">
        <v>13</v>
      </c>
      <c r="B212" s="325"/>
      <c r="C212" s="49" t="s">
        <v>16</v>
      </c>
      <c r="D212" s="193">
        <f t="shared" ca="1" si="144"/>
        <v>46083</v>
      </c>
      <c r="E212" s="52" t="str">
        <f t="shared" si="144"/>
        <v>-</v>
      </c>
      <c r="F212" s="52" t="str">
        <f t="shared" si="144"/>
        <v>-</v>
      </c>
      <c r="G212" s="52" t="str">
        <f t="shared" si="144"/>
        <v>-</v>
      </c>
      <c r="H212" s="52" t="str">
        <f t="shared" si="144"/>
        <v>-</v>
      </c>
      <c r="I212" s="52" t="str">
        <f t="shared" si="144"/>
        <v>-</v>
      </c>
      <c r="J212" s="52" t="str">
        <f t="shared" si="144"/>
        <v>-</v>
      </c>
      <c r="K212" s="52" t="str">
        <f t="shared" si="144"/>
        <v>-</v>
      </c>
      <c r="L212" s="52" t="str">
        <f t="shared" si="145"/>
        <v>-</v>
      </c>
      <c r="M212" s="154" t="str">
        <f t="shared" si="145"/>
        <v>-</v>
      </c>
      <c r="N212" s="96"/>
      <c r="O212" s="74"/>
      <c r="Q212" s="75" t="str">
        <f t="shared" si="110"/>
        <v/>
      </c>
      <c r="R212" s="76" t="str">
        <f t="shared" si="111"/>
        <v/>
      </c>
      <c r="S212" s="64" t="str">
        <f t="shared" si="126"/>
        <v/>
      </c>
      <c r="T212" s="42" t="str">
        <f t="shared" si="132"/>
        <v/>
      </c>
      <c r="U212" s="42" t="str">
        <f t="shared" si="133"/>
        <v/>
      </c>
      <c r="V212" s="42" t="str">
        <f t="shared" si="134"/>
        <v/>
      </c>
      <c r="W212" s="42" t="str">
        <f t="shared" si="115"/>
        <v/>
      </c>
      <c r="X212" s="42" t="str">
        <f t="shared" si="116"/>
        <v/>
      </c>
      <c r="Y212" s="42" t="str">
        <f t="shared" si="117"/>
        <v/>
      </c>
      <c r="Z212" s="42" t="str">
        <f t="shared" si="118"/>
        <v/>
      </c>
      <c r="AA212" s="42" t="str">
        <f t="shared" si="119"/>
        <v/>
      </c>
      <c r="AB212" s="42" t="str">
        <f t="shared" si="120"/>
        <v/>
      </c>
      <c r="AC212" s="42" t="str">
        <f t="shared" si="135"/>
        <v/>
      </c>
    </row>
    <row r="213" spans="1:29" ht="28.8" outlineLevel="1" x14ac:dyDescent="0.25">
      <c r="A213" s="42" t="s">
        <v>13</v>
      </c>
      <c r="B213" s="325"/>
      <c r="C213" s="49" t="s">
        <v>17</v>
      </c>
      <c r="D213" s="195">
        <f t="shared" si="144"/>
        <v>0</v>
      </c>
      <c r="E213" s="65">
        <f t="shared" si="144"/>
        <v>0</v>
      </c>
      <c r="F213" s="65">
        <f t="shared" si="144"/>
        <v>0</v>
      </c>
      <c r="G213" s="65">
        <f t="shared" si="144"/>
        <v>0</v>
      </c>
      <c r="H213" s="65">
        <f t="shared" si="144"/>
        <v>0</v>
      </c>
      <c r="I213" s="65">
        <f t="shared" si="144"/>
        <v>0</v>
      </c>
      <c r="J213" s="65">
        <f t="shared" si="144"/>
        <v>0</v>
      </c>
      <c r="K213" s="65">
        <f t="shared" si="144"/>
        <v>0</v>
      </c>
      <c r="L213" s="65">
        <f t="shared" si="145"/>
        <v>0</v>
      </c>
      <c r="M213" s="155">
        <f t="shared" si="145"/>
        <v>0</v>
      </c>
      <c r="N213" s="96"/>
      <c r="O213" s="74"/>
      <c r="Q213" s="75" t="str">
        <f t="shared" si="110"/>
        <v/>
      </c>
      <c r="R213" s="76" t="str">
        <f t="shared" si="111"/>
        <v/>
      </c>
      <c r="S213" s="64" t="str">
        <f t="shared" si="126"/>
        <v/>
      </c>
      <c r="T213" s="42" t="str">
        <f t="shared" si="132"/>
        <v/>
      </c>
      <c r="U213" s="42" t="str">
        <f t="shared" si="133"/>
        <v/>
      </c>
      <c r="V213" s="42" t="str">
        <f t="shared" si="134"/>
        <v/>
      </c>
      <c r="W213" s="42" t="str">
        <f t="shared" si="115"/>
        <v/>
      </c>
      <c r="X213" s="42" t="str">
        <f t="shared" si="116"/>
        <v/>
      </c>
      <c r="Y213" s="42" t="str">
        <f t="shared" si="117"/>
        <v/>
      </c>
      <c r="Z213" s="42" t="str">
        <f t="shared" si="118"/>
        <v/>
      </c>
      <c r="AA213" s="42" t="str">
        <f t="shared" si="119"/>
        <v/>
      </c>
      <c r="AB213" s="42" t="str">
        <f t="shared" si="120"/>
        <v/>
      </c>
      <c r="AC213" s="42" t="str">
        <f t="shared" si="135"/>
        <v/>
      </c>
    </row>
    <row r="214" spans="1:29" ht="28.8" outlineLevel="1" x14ac:dyDescent="0.25">
      <c r="A214" s="42" t="s">
        <v>13</v>
      </c>
      <c r="B214" s="325"/>
      <c r="C214" s="49" t="s">
        <v>565</v>
      </c>
      <c r="D214" s="195" t="str">
        <f>_xlfn.LET(_xlpm.calc,ROUND($Q214*D213,0),_xlpm.perc,_xlpm.calc/D213,IFERROR(IF(_xlpm.calc&lt;1000,_xlfn.CONCAT(_xlpm.calc," (",TEXT(_xlpm.perc,"0.0%"),")"),_xlfn.CONCAT(TEXT(_xlpm.calc,"0,000")," (",TEXT(_xlpm.perc,"0.0%"),")")),"-"))</f>
        <v>-</v>
      </c>
      <c r="E214" s="56" t="str" cm="1">
        <f t="array" ref="E214">_xlfn.LET(_xlpm.calc,IFERROR(ROWS(_xlfn.UNIQUE(_xlfn._xlws.FILTER(ID,(Date &gt;= E$4) * (Date &lt;= E$5) * (IFERROR(SEARCH(E$1, Key_Gps),0)&gt;0) * (mpv_shift = 1)))),0),_xlpm.perc,_xlpm.calc/E213,IFERROR(IF(_xlpm.calc&lt;1000,_xlfn.CONCAT(_xlpm.calc," (",TEXT(_xlpm.perc,"0.0%"),")"),_xlfn.CONCAT(TEXT(_xlpm.calc,"0,000")," (",TEXT(_xlpm.perc,"0.0%"),")")),"-"))</f>
        <v>-</v>
      </c>
      <c r="F214" s="65" t="str" cm="1">
        <f t="array" ref="F214">_xlfn.LET(_xlpm.calc,IFERROR(ROWS(_xlfn.UNIQUE(_xlfn._xlws.FILTER(ID,(Date &gt;= F$4) * (Date &lt;= F$5) * (IFERROR(SEARCH(F$1, Key_Gps),0)&gt;0) * (mpv_shift = 1)))),0),_xlpm.perc,_xlpm.calc/F213,IFERROR(IF(_xlpm.calc&lt;1000,_xlfn.CONCAT(_xlpm.calc," (",TEXT(_xlpm.perc,"0.0%"),")"),_xlfn.CONCAT(TEXT(_xlpm.calc,"0,000")," (",TEXT(_xlpm.perc,"0.0%"),")")),"-"))</f>
        <v>-</v>
      </c>
      <c r="G214" s="65" t="str" cm="1">
        <f t="array" ref="G214">_xlfn.LET(_xlpm.calc,IFERROR(ROWS(_xlfn.UNIQUE(_xlfn._xlws.FILTER(ID,(Date &gt;= G$4) * (Date &lt;= G$5) * (IFERROR(SEARCH(G$1, Key_Gps),0)&gt;0) * (mpv_shift = 1)))),0),_xlpm.perc,_xlpm.calc/G213,IFERROR(IF(_xlpm.calc&lt;1000,_xlfn.CONCAT(_xlpm.calc," (",TEXT(_xlpm.perc,"0.0%"),")"),_xlfn.CONCAT(TEXT(_xlpm.calc,"0,000")," (",TEXT(_xlpm.perc,"0.0%"),")")),"-"))</f>
        <v>-</v>
      </c>
      <c r="H214" s="65" t="str" cm="1">
        <f t="array" ref="H214">_xlfn.LET(_xlpm.calc,IFERROR(ROWS(_xlfn.UNIQUE(_xlfn._xlws.FILTER(ID,(Date &gt;= H$4) * (Date &lt;= H$5) * (IFERROR(SEARCH(H$1, Key_Gps),0)&gt;0) * (mpv_shift = 1)))),0),_xlpm.perc,_xlpm.calc/H213,IFERROR(IF(_xlpm.calc&lt;1000,_xlfn.CONCAT(_xlpm.calc," (",TEXT(_xlpm.perc,"0.0%"),")"),_xlfn.CONCAT(TEXT(_xlpm.calc,"0,000")," (",TEXT(_xlpm.perc,"0.0%"),")")),"-"))</f>
        <v>-</v>
      </c>
      <c r="I214" s="65" t="str" cm="1">
        <f t="array" ref="I214">_xlfn.LET(_xlpm.calc,IFERROR(ROWS(_xlfn.UNIQUE(_xlfn._xlws.FILTER(ID,(Date &gt;= I$4) * (Date &lt;= I$5) * (IFERROR(SEARCH(I$1, Key_Gps),0)&gt;0) * (mpv_shift = 1)))),0),_xlpm.perc,_xlpm.calc/I213,IFERROR(IF(_xlpm.calc&lt;1000,_xlfn.CONCAT(_xlpm.calc," (",TEXT(_xlpm.perc,"0.0%"),")"),_xlfn.CONCAT(TEXT(_xlpm.calc,"0,000")," (",TEXT(_xlpm.perc,"0.0%"),")")),"-"))</f>
        <v>-</v>
      </c>
      <c r="J214" s="65" t="str" cm="1">
        <f t="array" ref="J214">_xlfn.LET(_xlpm.calc,IFERROR(ROWS(_xlfn.UNIQUE(_xlfn._xlws.FILTER(ID,(Date &gt;= J$4) * (Date &lt;= J$5) * (IFERROR(SEARCH(J$1, Key_Gps),0)&gt;0) * (mpv_shift = 1)))),0),_xlpm.perc,_xlpm.calc/J213,IFERROR(IF(_xlpm.calc&lt;1000,_xlfn.CONCAT(_xlpm.calc," (",TEXT(_xlpm.perc,"0.0%"),")"),_xlfn.CONCAT(TEXT(_xlpm.calc,"0,000")," (",TEXT(_xlpm.perc,"0.0%"),")")),"-"))</f>
        <v>-</v>
      </c>
      <c r="K214" s="65" t="str" cm="1">
        <f t="array" ref="K214">_xlfn.LET(_xlpm.calc,IFERROR(ROWS(_xlfn.UNIQUE(_xlfn._xlws.FILTER(ID,(Date &gt;= K$4) * (Date &lt;= K$5) * (IFERROR(SEARCH(K$1, Key_Gps),0)&gt;0) * (mpv_shift = 1)))),0),_xlpm.perc,_xlpm.calc/K213,IFERROR(IF(_xlpm.calc&lt;1000,_xlfn.CONCAT(_xlpm.calc," (",TEXT(_xlpm.perc,"0.0%"),")"),_xlfn.CONCAT(TEXT(_xlpm.calc,"0,000")," (",TEXT(_xlpm.perc,"0.0%"),")")),"-"))</f>
        <v>-</v>
      </c>
      <c r="L214" s="65" t="str" cm="1">
        <f t="array" ref="L214">_xlfn.LET(_xlpm.calc,IFERROR(ROWS(_xlfn.UNIQUE(_xlfn._xlws.FILTER(ID,(Date &gt;= L$4) * (Date &lt;= L$5) * (IFERROR(SEARCH(L$1, Key_Gps),0)&gt;0) * (mpv_shift = 1)))),0),_xlpm.perc,_xlpm.calc/L213,IFERROR(IF(_xlpm.calc&lt;1000,_xlfn.CONCAT(_xlpm.calc," (",TEXT(_xlpm.perc,"0.0%"),")"),_xlfn.CONCAT(TEXT(_xlpm.calc,"0,000")," (",TEXT(_xlpm.perc,"0.0%"),")")),"-"))</f>
        <v>-</v>
      </c>
      <c r="M214" s="155" t="str" cm="1">
        <f t="array" ref="M214">_xlfn.LET(_xlpm.calc,IFERROR(ROWS(_xlfn.UNIQUE(_xlfn._xlws.FILTER(ID,(Date &gt;= M$4) * (Date &lt;= M$5) * (IFERROR(SEARCH(M$1, Key_Gps),0)&gt;0) * (mpv_shift = 1)))),0),_xlpm.perc,_xlpm.calc/M213,IFERROR(IF(_xlpm.calc&lt;1000,_xlfn.CONCAT(_xlpm.calc," (",TEXT(_xlpm.perc,"0.0%"),")"),_xlfn.CONCAT(TEXT(_xlpm.calc,"0,000")," (",TEXT(_xlpm.perc,"0.0%"),")")),"-"))</f>
        <v>-</v>
      </c>
      <c r="N214" s="96"/>
      <c r="O214" s="74"/>
      <c r="Q214" s="75" t="str">
        <f t="shared" ref="Q214:Q260" si="146">IF(IFERROR(SEARCH("(",E214),0)=0,"",VALUE(SUBSTITUTE(RIGHT(E214,LEN(E214)-SEARCH("(",E214)),")","")))</f>
        <v/>
      </c>
      <c r="R214" s="76" t="str">
        <f t="shared" ref="R214:R260" si="147">IF(U214="","",SUM(V214:AB214)-U214)</f>
        <v/>
      </c>
      <c r="S214" s="64" t="str">
        <f t="shared" si="126"/>
        <v/>
      </c>
      <c r="T214" s="42" t="str">
        <f t="shared" ref="T214:T245" si="148">IF($S214&lt;&gt;1,"",IF(IFERROR(SEARCH("(",D214),0)=0,D214,VALUE(TRIM(LEFT(D214,SEARCH(" (",D214))))))</f>
        <v/>
      </c>
      <c r="U214" s="42" t="str">
        <f t="shared" ref="U214:U245" si="149">IF($S214&lt;&gt;1,"",IF(IFERROR(SEARCH("(",E214),0)=0,E214,VALUE(TRIM(LEFT(E214,SEARCH(" (",E214))))))</f>
        <v/>
      </c>
      <c r="V214" s="42" t="str">
        <f t="shared" ref="V214:V245" si="150">IF($S214&lt;&gt;1,"",IF(IFERROR(SEARCH("(",F214),0)=0,F214,VALUE(TRIM(LEFT(F214,SEARCH(" (",F214))))))</f>
        <v/>
      </c>
      <c r="W214" s="42" t="str">
        <f t="shared" ref="W214:W277" si="151">IF($S214&lt;&gt;1,"",IF(IFERROR(SEARCH("(",G214),0)=0,G214,VALUE(TRIM(LEFT(G214,SEARCH(" (",G214))))))</f>
        <v/>
      </c>
      <c r="X214" s="42" t="str">
        <f t="shared" ref="X214:X277" si="152">IF($S214&lt;&gt;1,"",IF(IFERROR(SEARCH("(",H214),0)=0,H214,VALUE(TRIM(LEFT(H214,SEARCH(" (",H214))))))</f>
        <v/>
      </c>
      <c r="Y214" s="42" t="str">
        <f t="shared" ref="Y214:Y277" si="153">IF($S214&lt;&gt;1,"",IF(IFERROR(SEARCH("(",I214),0)=0,I214,VALUE(TRIM(LEFT(I214,SEARCH(" (",I214))))))</f>
        <v/>
      </c>
      <c r="Z214" s="42" t="str">
        <f t="shared" ref="Z214:Z277" si="154">IF($S214&lt;&gt;1,"",IF(IFERROR(SEARCH("(",J214),0)=0,J214,VALUE(TRIM(LEFT(J214,SEARCH(" (",J214))))))</f>
        <v/>
      </c>
      <c r="AA214" s="42" t="str">
        <f t="shared" ref="AA214:AA277" si="155">IF($S214&lt;&gt;1,"",IF(IFERROR(SEARCH("(",K214),0)=0,K214,VALUE(TRIM(LEFT(K214,SEARCH(" (",K214))))))</f>
        <v/>
      </c>
      <c r="AB214" s="42" t="str">
        <f t="shared" ref="AB214:AB277" si="156">IF($S214&lt;&gt;1,"",IF(IFERROR(SEARCH("(",L214),0)=0,L214,VALUE(TRIM(LEFT(L214,SEARCH(" (",L214))))))</f>
        <v/>
      </c>
      <c r="AC214" s="42" t="str">
        <f t="shared" ref="AC214:AC245" si="157">IF($S214&lt;&gt;1,"",IF(IFERROR(SEARCH("(",M214),0)=0,M214,VALUE(TRIM(LEFT(M214,SEARCH(" (",M214))))))</f>
        <v/>
      </c>
    </row>
    <row r="215" spans="1:29" ht="28.8" outlineLevel="1" x14ac:dyDescent="0.25">
      <c r="A215" s="42" t="s">
        <v>13</v>
      </c>
      <c r="B215" s="325"/>
      <c r="C215" s="49" t="s">
        <v>76</v>
      </c>
      <c r="D215" s="199" t="str">
        <f t="shared" ref="D215:K217" si="158">_xlfn.LET(_xlpm.calc,_xlfn.XLOOKUP($C215,$C:$C,D:D),IF(IFERROR(SEARCH(" ",_xlpm.calc),0)&gt;0,IFERROR(VALUE(LEFT(_xlpm.calc,SEARCH(" ",_xlpm.calc))),"-"),IFERROR(_xlpm.calc,"-")))</f>
        <v>-</v>
      </c>
      <c r="E215" s="98" t="str">
        <f t="shared" si="158"/>
        <v>-</v>
      </c>
      <c r="F215" s="98" t="str">
        <f t="shared" si="158"/>
        <v>-</v>
      </c>
      <c r="G215" s="98" t="str">
        <f t="shared" si="158"/>
        <v>-</v>
      </c>
      <c r="H215" s="98" t="str">
        <f t="shared" si="158"/>
        <v>-</v>
      </c>
      <c r="I215" s="98" t="str">
        <f t="shared" si="158"/>
        <v>-</v>
      </c>
      <c r="J215" s="98" t="str">
        <f t="shared" si="158"/>
        <v>-</v>
      </c>
      <c r="K215" s="98" t="str">
        <f t="shared" si="158"/>
        <v>-</v>
      </c>
      <c r="L215" s="98" t="str">
        <f t="shared" ref="L215:M217" si="159">_xlfn.LET(_xlpm.calc,_xlfn.XLOOKUP($C215,$C:$C,L:L),IF(IFERROR(SEARCH(" ",_xlpm.calc),0)&gt;0,IFERROR(VALUE(LEFT(_xlpm.calc,SEARCH(" ",_xlpm.calc))),"-"),IFERROR(_xlpm.calc,"-")))</f>
        <v>-</v>
      </c>
      <c r="M215" s="166" t="str">
        <f t="shared" si="159"/>
        <v>-</v>
      </c>
      <c r="N215" s="96"/>
      <c r="O215" s="74"/>
      <c r="Q215" s="75" t="str">
        <f t="shared" si="146"/>
        <v/>
      </c>
      <c r="R215" s="76" t="str">
        <f t="shared" si="147"/>
        <v/>
      </c>
      <c r="S215" s="64" t="str">
        <f t="shared" si="126"/>
        <v/>
      </c>
      <c r="T215" s="42" t="str">
        <f t="shared" si="148"/>
        <v/>
      </c>
      <c r="U215" s="42" t="str">
        <f t="shared" si="149"/>
        <v/>
      </c>
      <c r="V215" s="42" t="str">
        <f t="shared" si="150"/>
        <v/>
      </c>
      <c r="W215" s="42" t="str">
        <f t="shared" si="151"/>
        <v/>
      </c>
      <c r="X215" s="42" t="str">
        <f t="shared" si="152"/>
        <v/>
      </c>
      <c r="Y215" s="42" t="str">
        <f t="shared" si="153"/>
        <v/>
      </c>
      <c r="Z215" s="42" t="str">
        <f t="shared" si="154"/>
        <v/>
      </c>
      <c r="AA215" s="42" t="str">
        <f t="shared" si="155"/>
        <v/>
      </c>
      <c r="AB215" s="42" t="str">
        <f t="shared" si="156"/>
        <v/>
      </c>
      <c r="AC215" s="42" t="str">
        <f t="shared" si="157"/>
        <v/>
      </c>
    </row>
    <row r="216" spans="1:29" ht="28.8" outlineLevel="1" x14ac:dyDescent="0.25">
      <c r="A216" s="42" t="s">
        <v>13</v>
      </c>
      <c r="B216" s="325"/>
      <c r="C216" s="49" t="s">
        <v>65</v>
      </c>
      <c r="D216" s="195" t="str">
        <f t="shared" ca="1" si="158"/>
        <v>-</v>
      </c>
      <c r="E216" s="65" t="str">
        <f t="shared" si="158"/>
        <v>-</v>
      </c>
      <c r="F216" s="65" t="str">
        <f t="shared" si="158"/>
        <v>-</v>
      </c>
      <c r="G216" s="65" t="str">
        <f t="shared" si="158"/>
        <v>-</v>
      </c>
      <c r="H216" s="65" t="str">
        <f t="shared" si="158"/>
        <v>-</v>
      </c>
      <c r="I216" s="65" t="str">
        <f t="shared" si="158"/>
        <v>-</v>
      </c>
      <c r="J216" s="65" t="str">
        <f t="shared" si="158"/>
        <v>-</v>
      </c>
      <c r="K216" s="65" t="str">
        <f t="shared" si="158"/>
        <v>-</v>
      </c>
      <c r="L216" s="65" t="str">
        <f t="shared" si="159"/>
        <v>-</v>
      </c>
      <c r="M216" s="155" t="str">
        <f t="shared" si="159"/>
        <v>-</v>
      </c>
      <c r="N216" s="96"/>
      <c r="O216" s="74"/>
      <c r="Q216" s="75" t="str">
        <f t="shared" si="146"/>
        <v/>
      </c>
      <c r="R216" s="76" t="e">
        <f t="shared" si="147"/>
        <v>#VALUE!</v>
      </c>
      <c r="S216" s="64">
        <f t="shared" si="126"/>
        <v>1</v>
      </c>
      <c r="T216" s="42" t="str">
        <f t="shared" ca="1" si="148"/>
        <v>-</v>
      </c>
      <c r="U216" s="42" t="str">
        <f t="shared" si="149"/>
        <v>-</v>
      </c>
      <c r="V216" s="42" t="str">
        <f t="shared" si="150"/>
        <v>-</v>
      </c>
      <c r="W216" s="42" t="str">
        <f t="shared" si="151"/>
        <v>-</v>
      </c>
      <c r="X216" s="42" t="str">
        <f t="shared" si="152"/>
        <v>-</v>
      </c>
      <c r="Y216" s="42" t="str">
        <f t="shared" si="153"/>
        <v>-</v>
      </c>
      <c r="Z216" s="42" t="str">
        <f t="shared" si="154"/>
        <v>-</v>
      </c>
      <c r="AA216" s="42" t="str">
        <f t="shared" si="155"/>
        <v>-</v>
      </c>
      <c r="AB216" s="42" t="str">
        <f t="shared" si="156"/>
        <v>-</v>
      </c>
      <c r="AC216" s="42" t="str">
        <f t="shared" si="157"/>
        <v>-</v>
      </c>
    </row>
    <row r="217" spans="1:29" ht="28.8" outlineLevel="1" x14ac:dyDescent="0.25">
      <c r="A217" s="42" t="s">
        <v>13</v>
      </c>
      <c r="B217" s="325"/>
      <c r="C217" s="49" t="s">
        <v>572</v>
      </c>
      <c r="D217" s="195" t="str">
        <f t="shared" ca="1" si="158"/>
        <v>-</v>
      </c>
      <c r="E217" s="65" t="str">
        <f t="shared" si="158"/>
        <v>-</v>
      </c>
      <c r="F217" s="65" t="str">
        <f t="shared" si="158"/>
        <v>-</v>
      </c>
      <c r="G217" s="65" t="str">
        <f t="shared" si="158"/>
        <v>-</v>
      </c>
      <c r="H217" s="65" t="str">
        <f t="shared" si="158"/>
        <v>-</v>
      </c>
      <c r="I217" s="65" t="str">
        <f t="shared" si="158"/>
        <v>-</v>
      </c>
      <c r="J217" s="65" t="str">
        <f t="shared" si="158"/>
        <v>-</v>
      </c>
      <c r="K217" s="65" t="str">
        <f t="shared" si="158"/>
        <v>-</v>
      </c>
      <c r="L217" s="65" t="str">
        <f t="shared" si="159"/>
        <v>-</v>
      </c>
      <c r="M217" s="155" t="str">
        <f t="shared" si="159"/>
        <v>-</v>
      </c>
      <c r="N217" s="96"/>
      <c r="O217" s="74"/>
      <c r="Q217" s="75" t="str">
        <f t="shared" si="146"/>
        <v/>
      </c>
      <c r="R217" s="76" t="e">
        <f t="shared" si="147"/>
        <v>#VALUE!</v>
      </c>
      <c r="S217" s="64">
        <f t="shared" si="126"/>
        <v>1</v>
      </c>
      <c r="T217" s="42" t="str">
        <f t="shared" ca="1" si="148"/>
        <v>-</v>
      </c>
      <c r="U217" s="42" t="str">
        <f t="shared" si="149"/>
        <v>-</v>
      </c>
      <c r="V217" s="42" t="str">
        <f t="shared" si="150"/>
        <v>-</v>
      </c>
      <c r="W217" s="42" t="str">
        <f t="shared" si="151"/>
        <v>-</v>
      </c>
      <c r="X217" s="42" t="str">
        <f t="shared" si="152"/>
        <v>-</v>
      </c>
      <c r="Y217" s="42" t="str">
        <f t="shared" si="153"/>
        <v>-</v>
      </c>
      <c r="Z217" s="42" t="str">
        <f t="shared" si="154"/>
        <v>-</v>
      </c>
      <c r="AA217" s="42" t="str">
        <f t="shared" si="155"/>
        <v>-</v>
      </c>
      <c r="AB217" s="42" t="str">
        <f t="shared" si="156"/>
        <v>-</v>
      </c>
      <c r="AC217" s="42" t="str">
        <f t="shared" si="157"/>
        <v>-</v>
      </c>
    </row>
    <row r="218" spans="1:29" ht="28.8" outlineLevel="1" x14ac:dyDescent="0.25">
      <c r="A218" s="42" t="s">
        <v>13</v>
      </c>
      <c r="B218" s="325"/>
      <c r="C218" s="49" t="s">
        <v>162</v>
      </c>
      <c r="D218" s="204" t="e">
        <f ca="1">D217*D215</f>
        <v>#VALUE!</v>
      </c>
      <c r="E218" s="99">
        <f t="shared" ref="E218:E223" si="160">SUM(F218:L218)</f>
        <v>0</v>
      </c>
      <c r="F218" s="99" t="str">
        <f t="shared" ref="F218:I218" si="161">IFERROR(F217*F215,"-")</f>
        <v>-</v>
      </c>
      <c r="G218" s="99" t="str">
        <f t="shared" si="161"/>
        <v>-</v>
      </c>
      <c r="H218" s="99" t="str">
        <f t="shared" si="161"/>
        <v>-</v>
      </c>
      <c r="I218" s="99" t="str">
        <f t="shared" si="161"/>
        <v>-</v>
      </c>
      <c r="J218" s="99" t="str">
        <f>IFERROR(J217*J215,"-")</f>
        <v>-</v>
      </c>
      <c r="K218" s="99" t="str">
        <f>IFERROR(K217*K215,"-")</f>
        <v>-</v>
      </c>
      <c r="L218" s="99" t="str">
        <f>IFERROR(L217*L215,"-")</f>
        <v>-</v>
      </c>
      <c r="M218" s="159" t="str">
        <f>IFERROR(M217*M215,"-")</f>
        <v>-</v>
      </c>
      <c r="N218" s="96"/>
      <c r="O218" s="74"/>
      <c r="P218" s="42" t="s">
        <v>163</v>
      </c>
      <c r="Q218" s="75" t="str">
        <f t="shared" si="146"/>
        <v/>
      </c>
      <c r="R218" s="76">
        <f t="shared" si="147"/>
        <v>0</v>
      </c>
      <c r="S218" s="64">
        <f t="shared" si="126"/>
        <v>1</v>
      </c>
      <c r="T218" s="42" t="e">
        <f t="shared" ca="1" si="148"/>
        <v>#VALUE!</v>
      </c>
      <c r="U218" s="42">
        <f t="shared" si="149"/>
        <v>0</v>
      </c>
      <c r="V218" s="42" t="str">
        <f t="shared" si="150"/>
        <v>-</v>
      </c>
      <c r="W218" s="42" t="str">
        <f t="shared" si="151"/>
        <v>-</v>
      </c>
      <c r="X218" s="42" t="str">
        <f t="shared" si="152"/>
        <v>-</v>
      </c>
      <c r="Y218" s="42" t="str">
        <f t="shared" si="153"/>
        <v>-</v>
      </c>
      <c r="Z218" s="42" t="str">
        <f t="shared" si="154"/>
        <v>-</v>
      </c>
      <c r="AA218" s="42" t="str">
        <f t="shared" si="155"/>
        <v>-</v>
      </c>
      <c r="AB218" s="42" t="str">
        <f t="shared" si="156"/>
        <v>-</v>
      </c>
      <c r="AC218" s="42" t="str">
        <f t="shared" si="157"/>
        <v>-</v>
      </c>
    </row>
    <row r="219" spans="1:29" ht="28.8" outlineLevel="1" x14ac:dyDescent="0.25">
      <c r="A219" s="42" t="s">
        <v>13</v>
      </c>
      <c r="B219" s="325"/>
      <c r="C219" s="49" t="s">
        <v>164</v>
      </c>
      <c r="D219" s="204" t="str">
        <f ca="1">IFERROR(MAX(E219,DATEDIF(AVERAGE(D$4:D$5),ref!$B$3,"M")*(1/12*7%)*D218),"-")</f>
        <v>-</v>
      </c>
      <c r="E219" s="99">
        <f t="shared" ca="1" si="160"/>
        <v>0</v>
      </c>
      <c r="F219" s="99" t="str">
        <f ca="1">IFERROR(DATEDIF(AVERAGE(F$4:F$5),ref!$B$3,"M")*(1/12*7%)*F218,"-")</f>
        <v>-</v>
      </c>
      <c r="G219" s="99" t="str">
        <f ca="1">IFERROR(DATEDIF(AVERAGE(G$4:G$5),ref!$B$3,"M")*(1/12*7%)*G218,"-")</f>
        <v>-</v>
      </c>
      <c r="H219" s="99" t="str">
        <f ca="1">IFERROR(DATEDIF(AVERAGE(H$4:H$5),ref!$B$3,"M")*(1/12*7%)*H218,"-")</f>
        <v>-</v>
      </c>
      <c r="I219" s="99" t="str">
        <f ca="1">IFERROR(DATEDIF(AVERAGE(I$4:I$5),ref!$B$3,"M")*(1/12*7%)*I218,"-")</f>
        <v>-</v>
      </c>
      <c r="J219" s="99" t="str">
        <f ca="1">IFERROR(DATEDIF(AVERAGE(J$4:J$5),ref!$B$3,"M")*(1/12*7%)*J218,"-")</f>
        <v>-</v>
      </c>
      <c r="K219" s="99" t="str">
        <f ca="1">IFERROR(DATEDIF(AVERAGE(K$4:K$5),ref!$B$3,"M")*(1/12*7%)*K218,"-")</f>
        <v>-</v>
      </c>
      <c r="L219" s="99" t="str">
        <f ca="1">IFERROR(DATEDIF(AVERAGE(L$4:L$5),ref!$B$3,"M")*(1/12*7%)*L218,"-")</f>
        <v>-</v>
      </c>
      <c r="M219" s="159" t="str">
        <f ca="1">IFERROR(DATEDIF(AVERAGE(M$4:M$5),ref!$B$3,"M")*(1/12*7%)*M218,"-")</f>
        <v>-</v>
      </c>
      <c r="N219" s="96" t="str">
        <f ca="1">_xlfn.CONCAT("Interest calculated thru ",TEXT(ref!$B$3,"m/d/yyyy"),".")</f>
        <v>Interest calculated thru 3/2/2026.</v>
      </c>
      <c r="O219" s="74"/>
      <c r="P219" s="42" t="s">
        <v>165</v>
      </c>
      <c r="Q219" s="75" t="str">
        <f t="shared" ca="1" si="146"/>
        <v/>
      </c>
      <c r="R219" s="76" t="str">
        <f t="shared" si="147"/>
        <v/>
      </c>
      <c r="S219" s="64" t="str">
        <f t="shared" si="126"/>
        <v/>
      </c>
      <c r="T219" s="42" t="str">
        <f t="shared" si="148"/>
        <v/>
      </c>
      <c r="U219" s="42" t="str">
        <f t="shared" si="149"/>
        <v/>
      </c>
      <c r="V219" s="42" t="str">
        <f t="shared" si="150"/>
        <v/>
      </c>
      <c r="W219" s="42" t="str">
        <f t="shared" si="151"/>
        <v/>
      </c>
      <c r="X219" s="42" t="str">
        <f t="shared" si="152"/>
        <v/>
      </c>
      <c r="Y219" s="42" t="str">
        <f t="shared" si="153"/>
        <v/>
      </c>
      <c r="Z219" s="42" t="str">
        <f t="shared" si="154"/>
        <v/>
      </c>
      <c r="AA219" s="42" t="str">
        <f t="shared" si="155"/>
        <v/>
      </c>
      <c r="AB219" s="42" t="str">
        <f t="shared" si="156"/>
        <v/>
      </c>
      <c r="AC219" s="42" t="str">
        <f t="shared" si="157"/>
        <v/>
      </c>
    </row>
    <row r="220" spans="1:29" ht="28.8" outlineLevel="1" x14ac:dyDescent="0.25">
      <c r="A220" s="42" t="s">
        <v>13</v>
      </c>
      <c r="B220" s="325"/>
      <c r="C220" s="49" t="s">
        <v>166</v>
      </c>
      <c r="D220" s="204" t="e">
        <f ca="1">SUM(D218:D219)</f>
        <v>#VALUE!</v>
      </c>
      <c r="E220" s="99">
        <f t="shared" ca="1" si="160"/>
        <v>0</v>
      </c>
      <c r="F220" s="99">
        <f t="shared" ref="F220:H220" ca="1" si="162">SUM(F218:F219)</f>
        <v>0</v>
      </c>
      <c r="G220" s="99">
        <f t="shared" ca="1" si="162"/>
        <v>0</v>
      </c>
      <c r="H220" s="99">
        <f t="shared" ca="1" si="162"/>
        <v>0</v>
      </c>
      <c r="I220" s="99">
        <f ca="1">SUM(I218:I219)</f>
        <v>0</v>
      </c>
      <c r="J220" s="99">
        <f ca="1">SUM(J218:J219)</f>
        <v>0</v>
      </c>
      <c r="K220" s="99">
        <f ca="1">SUM(K218:K219)</f>
        <v>0</v>
      </c>
      <c r="L220" s="99">
        <f ca="1">SUM(L218:L219)</f>
        <v>0</v>
      </c>
      <c r="M220" s="159">
        <f ca="1">SUM(M218:M219)</f>
        <v>0</v>
      </c>
      <c r="N220" s="96"/>
      <c r="O220" s="74"/>
      <c r="P220" s="42" t="s">
        <v>167</v>
      </c>
      <c r="Q220" s="75" t="str">
        <f t="shared" ca="1" si="146"/>
        <v/>
      </c>
      <c r="R220" s="76" t="str">
        <f t="shared" si="147"/>
        <v/>
      </c>
      <c r="S220" s="64" t="str">
        <f t="shared" si="126"/>
        <v/>
      </c>
      <c r="T220" s="42" t="str">
        <f t="shared" si="148"/>
        <v/>
      </c>
      <c r="U220" s="42" t="str">
        <f t="shared" si="149"/>
        <v/>
      </c>
      <c r="V220" s="42" t="str">
        <f t="shared" si="150"/>
        <v/>
      </c>
      <c r="W220" s="42" t="str">
        <f t="shared" si="151"/>
        <v/>
      </c>
      <c r="X220" s="42" t="str">
        <f t="shared" si="152"/>
        <v/>
      </c>
      <c r="Y220" s="42" t="str">
        <f t="shared" si="153"/>
        <v/>
      </c>
      <c r="Z220" s="42" t="str">
        <f t="shared" si="154"/>
        <v/>
      </c>
      <c r="AA220" s="42" t="str">
        <f t="shared" si="155"/>
        <v/>
      </c>
      <c r="AB220" s="42" t="str">
        <f t="shared" si="156"/>
        <v/>
      </c>
      <c r="AC220" s="42" t="str">
        <f t="shared" si="157"/>
        <v/>
      </c>
    </row>
    <row r="221" spans="1:29" outlineLevel="1" x14ac:dyDescent="0.25">
      <c r="A221" s="42">
        <v>1</v>
      </c>
      <c r="B221" s="326"/>
      <c r="C221" s="171" t="str">
        <f>_xlfn.CONCAT(TEXT($O$221,"0%")," violation rate: ",SUBSTITUTE(C218,"Meal period","MP"))</f>
        <v>100% violation rate: MP damages (shifts &gt;5 hrs)</v>
      </c>
      <c r="D221" s="205" t="str">
        <f ca="1">IFERROR(ROUND(D216*$O221,0)*D215,"-")</f>
        <v>-</v>
      </c>
      <c r="E221" s="172">
        <f t="shared" si="160"/>
        <v>0</v>
      </c>
      <c r="F221" s="172" t="str">
        <f t="shared" ref="F221:M221" si="163">IFERROR(ROUND(F216*$O221,0)*F215,"-")</f>
        <v>-</v>
      </c>
      <c r="G221" s="172" t="str">
        <f t="shared" si="163"/>
        <v>-</v>
      </c>
      <c r="H221" s="172" t="str">
        <f t="shared" si="163"/>
        <v>-</v>
      </c>
      <c r="I221" s="172" t="str">
        <f t="shared" si="163"/>
        <v>-</v>
      </c>
      <c r="J221" s="172" t="str">
        <f t="shared" si="163"/>
        <v>-</v>
      </c>
      <c r="K221" s="172" t="str">
        <f t="shared" si="163"/>
        <v>-</v>
      </c>
      <c r="L221" s="172" t="str">
        <f t="shared" si="163"/>
        <v>-</v>
      </c>
      <c r="M221" s="173" t="str">
        <f t="shared" si="163"/>
        <v>-</v>
      </c>
      <c r="N221" s="174"/>
      <c r="O221" s="108">
        <v>1</v>
      </c>
      <c r="P221" s="42" t="s">
        <v>168</v>
      </c>
      <c r="Q221" s="75" t="str">
        <f t="shared" si="146"/>
        <v/>
      </c>
      <c r="R221" s="76">
        <f t="shared" si="147"/>
        <v>0</v>
      </c>
      <c r="S221" s="64">
        <f t="shared" si="126"/>
        <v>1</v>
      </c>
      <c r="T221" s="42" t="str">
        <f t="shared" ca="1" si="148"/>
        <v>-</v>
      </c>
      <c r="U221" s="42">
        <f t="shared" si="149"/>
        <v>0</v>
      </c>
      <c r="V221" s="42" t="str">
        <f t="shared" si="150"/>
        <v>-</v>
      </c>
      <c r="W221" s="42" t="str">
        <f t="shared" si="151"/>
        <v>-</v>
      </c>
      <c r="X221" s="42" t="str">
        <f t="shared" si="152"/>
        <v>-</v>
      </c>
      <c r="Y221" s="42" t="str">
        <f t="shared" si="153"/>
        <v>-</v>
      </c>
      <c r="Z221" s="42" t="str">
        <f t="shared" si="154"/>
        <v>-</v>
      </c>
      <c r="AA221" s="42" t="str">
        <f t="shared" si="155"/>
        <v>-</v>
      </c>
      <c r="AB221" s="42" t="str">
        <f t="shared" si="156"/>
        <v>-</v>
      </c>
      <c r="AC221" s="42" t="str">
        <f t="shared" si="157"/>
        <v>-</v>
      </c>
    </row>
    <row r="222" spans="1:29" outlineLevel="1" x14ac:dyDescent="0.25">
      <c r="A222" s="42">
        <v>1</v>
      </c>
      <c r="B222" s="326"/>
      <c r="C222" s="171" t="str">
        <f>_xlfn.CONCAT(TEXT($O$221,"0%")," violation rate: ",SUBSTITUTE(C219,"Meal period","MP"))</f>
        <v>100% violation rate: Interest (7% per annum)</v>
      </c>
      <c r="D222" s="205" t="str">
        <f ca="1">IFERROR(MAX(E222,DATEDIF(AVERAGE(D$4:D$5),ref!$B$3,"M")*(1/12*7%)*D221),"-")</f>
        <v>-</v>
      </c>
      <c r="E222" s="172">
        <f t="shared" ca="1" si="160"/>
        <v>0</v>
      </c>
      <c r="F222" s="172" t="str">
        <f ca="1">IFERROR(DATEDIF(AVERAGE(F$4:F$5),ref!$B$3,"M")*(1/12*7%)*F221,"-")</f>
        <v>-</v>
      </c>
      <c r="G222" s="172" t="str">
        <f ca="1">IFERROR(DATEDIF(AVERAGE(G$4:G$5),ref!$B$3,"M")*(1/12*7%)*G221,"-")</f>
        <v>-</v>
      </c>
      <c r="H222" s="172" t="str">
        <f ca="1">IFERROR(DATEDIF(AVERAGE(H$4:H$5),ref!$B$3,"M")*(1/12*7%)*H221,"-")</f>
        <v>-</v>
      </c>
      <c r="I222" s="172" t="str">
        <f ca="1">IFERROR(DATEDIF(AVERAGE(I$4:I$5),ref!$B$3,"M")*(1/12*7%)*I221,"-")</f>
        <v>-</v>
      </c>
      <c r="J222" s="172" t="str">
        <f ca="1">IFERROR(DATEDIF(AVERAGE(J$4:J$5),ref!$B$3,"M")*(1/12*7%)*J221,"-")</f>
        <v>-</v>
      </c>
      <c r="K222" s="172" t="str">
        <f ca="1">IFERROR(DATEDIF(AVERAGE(K$4:K$5),ref!$B$3,"M")*(1/12*7%)*K221,"-")</f>
        <v>-</v>
      </c>
      <c r="L222" s="172" t="str">
        <f ca="1">IFERROR(DATEDIF(AVERAGE(L$4:L$5),ref!$B$3,"M")*(1/12*7%)*L221,"-")</f>
        <v>-</v>
      </c>
      <c r="M222" s="173" t="str">
        <f ca="1">IFERROR(DATEDIF(AVERAGE(M$4:M$5),ref!$B$3,"M")*(1/12*7%)*M221,"-")</f>
        <v>-</v>
      </c>
      <c r="N222" s="174"/>
      <c r="O222" s="74"/>
      <c r="P222" s="42" t="s">
        <v>169</v>
      </c>
      <c r="Q222" s="75" t="str">
        <f t="shared" ca="1" si="146"/>
        <v/>
      </c>
      <c r="R222" s="76" t="str">
        <f t="shared" si="147"/>
        <v/>
      </c>
      <c r="S222" s="64" t="str">
        <f t="shared" si="126"/>
        <v/>
      </c>
      <c r="T222" s="42" t="str">
        <f t="shared" si="148"/>
        <v/>
      </c>
      <c r="U222" s="42" t="str">
        <f t="shared" si="149"/>
        <v/>
      </c>
      <c r="V222" s="42" t="str">
        <f t="shared" si="150"/>
        <v/>
      </c>
      <c r="W222" s="42" t="str">
        <f t="shared" si="151"/>
        <v/>
      </c>
      <c r="X222" s="42" t="str">
        <f t="shared" si="152"/>
        <v/>
      </c>
      <c r="Y222" s="42" t="str">
        <f t="shared" si="153"/>
        <v/>
      </c>
      <c r="Z222" s="42" t="str">
        <f t="shared" si="154"/>
        <v/>
      </c>
      <c r="AA222" s="42" t="str">
        <f t="shared" si="155"/>
        <v/>
      </c>
      <c r="AB222" s="42" t="str">
        <f t="shared" si="156"/>
        <v/>
      </c>
      <c r="AC222" s="42" t="str">
        <f t="shared" si="157"/>
        <v/>
      </c>
    </row>
    <row r="223" spans="1:29" outlineLevel="1" x14ac:dyDescent="0.25">
      <c r="A223" s="42">
        <v>1</v>
      </c>
      <c r="B223" s="326"/>
      <c r="C223" s="171" t="str">
        <f>_xlfn.CONCAT(TEXT($O$221,"0%")," violation rate: ",SUBSTITUTE(C220,"Meal period","MP"))</f>
        <v>100% violation rate: MP damages (shifts &gt;5 hrs) with interest</v>
      </c>
      <c r="D223" s="205">
        <f ca="1">SUM(D221:D222)</f>
        <v>0</v>
      </c>
      <c r="E223" s="172">
        <f t="shared" ca="1" si="160"/>
        <v>0</v>
      </c>
      <c r="F223" s="172">
        <f ca="1">SUM(F221:F222)</f>
        <v>0</v>
      </c>
      <c r="G223" s="172">
        <f t="shared" ref="G223:H223" ca="1" si="164">SUM(G221:G222)</f>
        <v>0</v>
      </c>
      <c r="H223" s="172">
        <f t="shared" ca="1" si="164"/>
        <v>0</v>
      </c>
      <c r="I223" s="172">
        <f ca="1">SUM(I221:I222)</f>
        <v>0</v>
      </c>
      <c r="J223" s="172">
        <f ca="1">SUM(J221:J222)</f>
        <v>0</v>
      </c>
      <c r="K223" s="172">
        <f ca="1">SUM(K221:K222)</f>
        <v>0</v>
      </c>
      <c r="L223" s="172">
        <f ca="1">SUM(L221:L222)</f>
        <v>0</v>
      </c>
      <c r="M223" s="173">
        <f ca="1">SUM(M221:M222)</f>
        <v>0</v>
      </c>
      <c r="N223" s="174"/>
      <c r="O223" s="74"/>
      <c r="P223" s="42" t="s">
        <v>170</v>
      </c>
      <c r="Q223" s="75" t="str">
        <f t="shared" ca="1" si="146"/>
        <v/>
      </c>
      <c r="R223" s="76" t="str">
        <f t="shared" si="147"/>
        <v/>
      </c>
      <c r="S223" s="64" t="str">
        <f t="shared" si="126"/>
        <v/>
      </c>
      <c r="T223" s="42" t="str">
        <f t="shared" si="148"/>
        <v/>
      </c>
      <c r="U223" s="42" t="str">
        <f t="shared" si="149"/>
        <v/>
      </c>
      <c r="V223" s="42" t="str">
        <f t="shared" si="150"/>
        <v/>
      </c>
      <c r="W223" s="42" t="str">
        <f t="shared" si="151"/>
        <v/>
      </c>
      <c r="X223" s="42" t="str">
        <f t="shared" si="152"/>
        <v/>
      </c>
      <c r="Y223" s="42" t="str">
        <f t="shared" si="153"/>
        <v/>
      </c>
      <c r="Z223" s="42" t="str">
        <f t="shared" si="154"/>
        <v/>
      </c>
      <c r="AA223" s="42" t="str">
        <f t="shared" si="155"/>
        <v/>
      </c>
      <c r="AB223" s="42" t="str">
        <f t="shared" si="156"/>
        <v/>
      </c>
      <c r="AC223" s="42" t="str">
        <f t="shared" si="157"/>
        <v/>
      </c>
    </row>
    <row r="224" spans="1:29" x14ac:dyDescent="0.25">
      <c r="A224" s="42">
        <v>1</v>
      </c>
      <c r="C224" s="58"/>
      <c r="D224" s="190"/>
      <c r="E224" s="97"/>
      <c r="O224" s="74"/>
      <c r="Q224" s="75" t="str">
        <f t="shared" si="146"/>
        <v/>
      </c>
      <c r="R224" s="76" t="str">
        <f t="shared" si="147"/>
        <v/>
      </c>
      <c r="S224" s="64" t="str">
        <f t="shared" si="126"/>
        <v/>
      </c>
      <c r="T224" s="42" t="str">
        <f t="shared" si="148"/>
        <v/>
      </c>
      <c r="U224" s="42" t="str">
        <f t="shared" si="149"/>
        <v/>
      </c>
      <c r="V224" s="42" t="str">
        <f t="shared" si="150"/>
        <v/>
      </c>
      <c r="W224" s="42" t="str">
        <f t="shared" si="151"/>
        <v/>
      </c>
      <c r="X224" s="42" t="str">
        <f t="shared" si="152"/>
        <v/>
      </c>
      <c r="Y224" s="42" t="str">
        <f t="shared" si="153"/>
        <v/>
      </c>
      <c r="Z224" s="42" t="str">
        <f t="shared" si="154"/>
        <v/>
      </c>
      <c r="AA224" s="42" t="str">
        <f t="shared" si="155"/>
        <v/>
      </c>
      <c r="AB224" s="42" t="str">
        <f t="shared" si="156"/>
        <v/>
      </c>
      <c r="AC224" s="42" t="str">
        <f t="shared" si="157"/>
        <v/>
      </c>
    </row>
    <row r="225" spans="1:29" ht="28.8" outlineLevel="1" x14ac:dyDescent="0.25">
      <c r="A225" s="42" t="s">
        <v>13</v>
      </c>
      <c r="B225" s="324" t="s">
        <v>171</v>
      </c>
      <c r="C225" s="51" t="s">
        <v>15</v>
      </c>
      <c r="D225" s="193">
        <f t="shared" ref="D225:K230" si="165">_xlfn.LET(_xlpm.calc,_xlfn.XLOOKUP($C225,$C:$C,D:D),IF(IFERROR(SEARCH(" ",_xlpm.calc),0)&gt;0,IFERROR(VALUE(LEFT(_xlpm.calc,SEARCH(" ",_xlpm.calc))),"-"),IFERROR(_xlpm.calc,"-")))</f>
        <v>43466</v>
      </c>
      <c r="E225" s="52" t="str">
        <f t="shared" si="165"/>
        <v>-</v>
      </c>
      <c r="F225" s="52" t="str">
        <f t="shared" si="165"/>
        <v>-</v>
      </c>
      <c r="G225" s="52" t="str">
        <f t="shared" si="165"/>
        <v>-</v>
      </c>
      <c r="H225" s="52" t="str">
        <f t="shared" si="165"/>
        <v>-</v>
      </c>
      <c r="I225" s="52" t="str">
        <f t="shared" si="165"/>
        <v>-</v>
      </c>
      <c r="J225" s="52" t="str">
        <f t="shared" si="165"/>
        <v>-</v>
      </c>
      <c r="K225" s="52" t="str">
        <f t="shared" si="165"/>
        <v>-</v>
      </c>
      <c r="L225" s="52" t="str">
        <f t="shared" ref="L225:M230" si="166">_xlfn.LET(_xlpm.calc,_xlfn.XLOOKUP($C225,$C:$C,L:L),IF(IFERROR(SEARCH(" ",_xlpm.calc),0)&gt;0,IFERROR(VALUE(LEFT(_xlpm.calc,SEARCH(" ",_xlpm.calc))),"-"),IFERROR(_xlpm.calc,"-")))</f>
        <v>-</v>
      </c>
      <c r="M225" s="154" t="str">
        <f t="shared" si="166"/>
        <v>-</v>
      </c>
      <c r="N225" s="84" t="s">
        <v>32</v>
      </c>
      <c r="O225" s="74"/>
      <c r="Q225" s="75" t="str">
        <f t="shared" si="146"/>
        <v/>
      </c>
      <c r="R225" s="76" t="str">
        <f t="shared" si="147"/>
        <v/>
      </c>
      <c r="S225" s="64" t="str">
        <f t="shared" si="126"/>
        <v/>
      </c>
      <c r="T225" s="42" t="str">
        <f t="shared" si="148"/>
        <v/>
      </c>
      <c r="U225" s="42" t="str">
        <f t="shared" si="149"/>
        <v/>
      </c>
      <c r="V225" s="42" t="str">
        <f t="shared" si="150"/>
        <v/>
      </c>
      <c r="W225" s="42" t="str">
        <f t="shared" si="151"/>
        <v/>
      </c>
      <c r="X225" s="42" t="str">
        <f t="shared" si="152"/>
        <v/>
      </c>
      <c r="Y225" s="42" t="str">
        <f t="shared" si="153"/>
        <v/>
      </c>
      <c r="Z225" s="42" t="str">
        <f t="shared" si="154"/>
        <v/>
      </c>
      <c r="AA225" s="42" t="str">
        <f t="shared" si="155"/>
        <v/>
      </c>
      <c r="AB225" s="42" t="str">
        <f t="shared" si="156"/>
        <v/>
      </c>
      <c r="AC225" s="42" t="str">
        <f t="shared" si="157"/>
        <v/>
      </c>
    </row>
    <row r="226" spans="1:29" ht="28.8" outlineLevel="1" x14ac:dyDescent="0.25">
      <c r="A226" s="42" t="s">
        <v>13</v>
      </c>
      <c r="B226" s="325"/>
      <c r="C226" s="49" t="s">
        <v>16</v>
      </c>
      <c r="D226" s="193">
        <f t="shared" ca="1" si="165"/>
        <v>46083</v>
      </c>
      <c r="E226" s="52" t="str">
        <f t="shared" si="165"/>
        <v>-</v>
      </c>
      <c r="F226" s="52" t="str">
        <f t="shared" si="165"/>
        <v>-</v>
      </c>
      <c r="G226" s="52" t="str">
        <f t="shared" si="165"/>
        <v>-</v>
      </c>
      <c r="H226" s="52" t="str">
        <f t="shared" si="165"/>
        <v>-</v>
      </c>
      <c r="I226" s="52" t="str">
        <f t="shared" si="165"/>
        <v>-</v>
      </c>
      <c r="J226" s="52" t="str">
        <f t="shared" si="165"/>
        <v>-</v>
      </c>
      <c r="K226" s="52" t="str">
        <f t="shared" si="165"/>
        <v>-</v>
      </c>
      <c r="L226" s="52" t="str">
        <f t="shared" si="166"/>
        <v>-</v>
      </c>
      <c r="M226" s="154" t="str">
        <f t="shared" si="166"/>
        <v>-</v>
      </c>
      <c r="N226" s="96"/>
      <c r="O226" s="74"/>
      <c r="Q226" s="75" t="str">
        <f t="shared" si="146"/>
        <v/>
      </c>
      <c r="R226" s="76" t="str">
        <f t="shared" si="147"/>
        <v/>
      </c>
      <c r="S226" s="64" t="str">
        <f t="shared" si="126"/>
        <v/>
      </c>
      <c r="T226" s="42" t="str">
        <f t="shared" si="148"/>
        <v/>
      </c>
      <c r="U226" s="42" t="str">
        <f t="shared" si="149"/>
        <v/>
      </c>
      <c r="V226" s="42" t="str">
        <f t="shared" si="150"/>
        <v/>
      </c>
      <c r="W226" s="42" t="str">
        <f t="shared" si="151"/>
        <v/>
      </c>
      <c r="X226" s="42" t="str">
        <f t="shared" si="152"/>
        <v/>
      </c>
      <c r="Y226" s="42" t="str">
        <f t="shared" si="153"/>
        <v/>
      </c>
      <c r="Z226" s="42" t="str">
        <f t="shared" si="154"/>
        <v/>
      </c>
      <c r="AA226" s="42" t="str">
        <f t="shared" si="155"/>
        <v/>
      </c>
      <c r="AB226" s="42" t="str">
        <f t="shared" si="156"/>
        <v/>
      </c>
      <c r="AC226" s="42" t="str">
        <f t="shared" si="157"/>
        <v/>
      </c>
    </row>
    <row r="227" spans="1:29" ht="28.8" outlineLevel="1" x14ac:dyDescent="0.25">
      <c r="A227" s="42" t="s">
        <v>13</v>
      </c>
      <c r="B227" s="325"/>
      <c r="C227" s="49" t="s">
        <v>17</v>
      </c>
      <c r="D227" s="195">
        <f t="shared" si="165"/>
        <v>0</v>
      </c>
      <c r="E227" s="65">
        <f t="shared" si="165"/>
        <v>0</v>
      </c>
      <c r="F227" s="65">
        <f t="shared" si="165"/>
        <v>0</v>
      </c>
      <c r="G227" s="65">
        <f t="shared" si="165"/>
        <v>0</v>
      </c>
      <c r="H227" s="65">
        <f t="shared" si="165"/>
        <v>0</v>
      </c>
      <c r="I227" s="65">
        <f t="shared" si="165"/>
        <v>0</v>
      </c>
      <c r="J227" s="65">
        <f t="shared" si="165"/>
        <v>0</v>
      </c>
      <c r="K227" s="65">
        <f t="shared" si="165"/>
        <v>0</v>
      </c>
      <c r="L227" s="65">
        <f t="shared" si="166"/>
        <v>0</v>
      </c>
      <c r="M227" s="155">
        <f t="shared" si="166"/>
        <v>0</v>
      </c>
      <c r="N227" s="96"/>
      <c r="O227" s="74"/>
      <c r="Q227" s="75" t="str">
        <f t="shared" si="146"/>
        <v/>
      </c>
      <c r="R227" s="76" t="str">
        <f t="shared" si="147"/>
        <v/>
      </c>
      <c r="S227" s="64" t="str">
        <f t="shared" si="126"/>
        <v/>
      </c>
      <c r="T227" s="42" t="str">
        <f t="shared" si="148"/>
        <v/>
      </c>
      <c r="U227" s="42" t="str">
        <f t="shared" si="149"/>
        <v/>
      </c>
      <c r="V227" s="42" t="str">
        <f t="shared" si="150"/>
        <v/>
      </c>
      <c r="W227" s="42" t="str">
        <f t="shared" si="151"/>
        <v/>
      </c>
      <c r="X227" s="42" t="str">
        <f t="shared" si="152"/>
        <v/>
      </c>
      <c r="Y227" s="42" t="str">
        <f t="shared" si="153"/>
        <v/>
      </c>
      <c r="Z227" s="42" t="str">
        <f t="shared" si="154"/>
        <v/>
      </c>
      <c r="AA227" s="42" t="str">
        <f t="shared" si="155"/>
        <v/>
      </c>
      <c r="AB227" s="42" t="str">
        <f t="shared" si="156"/>
        <v/>
      </c>
      <c r="AC227" s="42" t="str">
        <f t="shared" si="157"/>
        <v/>
      </c>
    </row>
    <row r="228" spans="1:29" ht="28.8" outlineLevel="1" x14ac:dyDescent="0.25">
      <c r="A228" s="42" t="s">
        <v>13</v>
      </c>
      <c r="B228" s="325"/>
      <c r="C228" s="49" t="s">
        <v>566</v>
      </c>
      <c r="D228" s="195" t="str">
        <f t="shared" si="165"/>
        <v>-</v>
      </c>
      <c r="E228" s="56" t="str">
        <f t="shared" si="165"/>
        <v>-</v>
      </c>
      <c r="F228" s="65" t="str">
        <f t="shared" si="165"/>
        <v>-</v>
      </c>
      <c r="G228" s="65" t="str">
        <f t="shared" si="165"/>
        <v>-</v>
      </c>
      <c r="H228" s="65" t="str">
        <f t="shared" si="165"/>
        <v>-</v>
      </c>
      <c r="I228" s="65" t="str">
        <f t="shared" si="165"/>
        <v>-</v>
      </c>
      <c r="J228" s="65" t="str">
        <f t="shared" si="165"/>
        <v>-</v>
      </c>
      <c r="K228" s="65" t="str">
        <f t="shared" si="165"/>
        <v>-</v>
      </c>
      <c r="L228" s="65" t="str">
        <f t="shared" si="166"/>
        <v>-</v>
      </c>
      <c r="M228" s="155" t="str">
        <f t="shared" si="166"/>
        <v>-</v>
      </c>
      <c r="N228" s="96"/>
      <c r="O228" s="74"/>
      <c r="Q228" s="75" t="str">
        <f t="shared" si="146"/>
        <v/>
      </c>
      <c r="R228" s="76" t="str">
        <f t="shared" si="147"/>
        <v/>
      </c>
      <c r="S228" s="64" t="str">
        <f t="shared" si="126"/>
        <v/>
      </c>
      <c r="T228" s="42" t="str">
        <f t="shared" si="148"/>
        <v/>
      </c>
      <c r="U228" s="42" t="str">
        <f t="shared" si="149"/>
        <v/>
      </c>
      <c r="V228" s="42" t="str">
        <f t="shared" si="150"/>
        <v/>
      </c>
      <c r="W228" s="42" t="str">
        <f t="shared" si="151"/>
        <v/>
      </c>
      <c r="X228" s="42" t="str">
        <f t="shared" si="152"/>
        <v/>
      </c>
      <c r="Y228" s="42" t="str">
        <f t="shared" si="153"/>
        <v/>
      </c>
      <c r="Z228" s="42" t="str">
        <f t="shared" si="154"/>
        <v/>
      </c>
      <c r="AA228" s="42" t="str">
        <f t="shared" si="155"/>
        <v/>
      </c>
      <c r="AB228" s="42" t="str">
        <f t="shared" si="156"/>
        <v/>
      </c>
      <c r="AC228" s="42" t="str">
        <f t="shared" si="157"/>
        <v/>
      </c>
    </row>
    <row r="229" spans="1:29" ht="28.8" outlineLevel="1" x14ac:dyDescent="0.25">
      <c r="A229" s="42" t="s">
        <v>13</v>
      </c>
      <c r="B229" s="325"/>
      <c r="C229" s="49" t="s">
        <v>76</v>
      </c>
      <c r="D229" s="199" t="str">
        <f t="shared" si="165"/>
        <v>-</v>
      </c>
      <c r="E229" s="98" t="str">
        <f t="shared" si="165"/>
        <v>-</v>
      </c>
      <c r="F229" s="98" t="str">
        <f t="shared" si="165"/>
        <v>-</v>
      </c>
      <c r="G229" s="98" t="str">
        <f t="shared" si="165"/>
        <v>-</v>
      </c>
      <c r="H229" s="98" t="str">
        <f t="shared" si="165"/>
        <v>-</v>
      </c>
      <c r="I229" s="98" t="str">
        <f t="shared" si="165"/>
        <v>-</v>
      </c>
      <c r="J229" s="98" t="str">
        <f t="shared" si="165"/>
        <v>-</v>
      </c>
      <c r="K229" s="98" t="str">
        <f t="shared" si="165"/>
        <v>-</v>
      </c>
      <c r="L229" s="98" t="str">
        <f t="shared" si="166"/>
        <v>-</v>
      </c>
      <c r="M229" s="166" t="str">
        <f t="shared" si="166"/>
        <v>-</v>
      </c>
      <c r="N229" s="96"/>
      <c r="O229" s="74"/>
      <c r="Q229" s="75" t="str">
        <f t="shared" si="146"/>
        <v/>
      </c>
      <c r="R229" s="76" t="str">
        <f t="shared" si="147"/>
        <v/>
      </c>
      <c r="S229" s="64" t="str">
        <f t="shared" si="126"/>
        <v/>
      </c>
      <c r="T229" s="42" t="str">
        <f t="shared" si="148"/>
        <v/>
      </c>
      <c r="U229" s="42" t="str">
        <f t="shared" si="149"/>
        <v/>
      </c>
      <c r="V229" s="42" t="str">
        <f t="shared" si="150"/>
        <v/>
      </c>
      <c r="W229" s="42" t="str">
        <f t="shared" si="151"/>
        <v/>
      </c>
      <c r="X229" s="42" t="str">
        <f t="shared" si="152"/>
        <v/>
      </c>
      <c r="Y229" s="42" t="str">
        <f t="shared" si="153"/>
        <v/>
      </c>
      <c r="Z229" s="42" t="str">
        <f t="shared" si="154"/>
        <v/>
      </c>
      <c r="AA229" s="42" t="str">
        <f t="shared" si="155"/>
        <v/>
      </c>
      <c r="AB229" s="42" t="str">
        <f t="shared" si="156"/>
        <v/>
      </c>
      <c r="AC229" s="42" t="str">
        <f t="shared" si="157"/>
        <v/>
      </c>
    </row>
    <row r="230" spans="1:29" ht="28.8" outlineLevel="1" x14ac:dyDescent="0.25">
      <c r="A230" s="42" t="s">
        <v>13</v>
      </c>
      <c r="B230" s="325"/>
      <c r="C230" s="49" t="s">
        <v>67</v>
      </c>
      <c r="D230" s="195" t="str">
        <f t="shared" ca="1" si="165"/>
        <v>-</v>
      </c>
      <c r="E230" s="65" t="str">
        <f t="shared" si="165"/>
        <v>-</v>
      </c>
      <c r="F230" s="65" t="str">
        <f t="shared" si="165"/>
        <v>-</v>
      </c>
      <c r="G230" s="65" t="str">
        <f t="shared" si="165"/>
        <v>-</v>
      </c>
      <c r="H230" s="65" t="str">
        <f t="shared" si="165"/>
        <v>-</v>
      </c>
      <c r="I230" s="65" t="str">
        <f t="shared" si="165"/>
        <v>-</v>
      </c>
      <c r="J230" s="65" t="str">
        <f t="shared" si="165"/>
        <v>-</v>
      </c>
      <c r="K230" s="65" t="str">
        <f t="shared" si="165"/>
        <v>-</v>
      </c>
      <c r="L230" s="65" t="str">
        <f t="shared" si="166"/>
        <v>-</v>
      </c>
      <c r="M230" s="155" t="str">
        <f t="shared" si="166"/>
        <v>-</v>
      </c>
      <c r="N230" s="96"/>
      <c r="O230" s="74"/>
      <c r="Q230" s="75" t="str">
        <f t="shared" si="146"/>
        <v/>
      </c>
      <c r="R230" s="76" t="e">
        <f t="shared" si="147"/>
        <v>#VALUE!</v>
      </c>
      <c r="S230" s="64">
        <f t="shared" si="126"/>
        <v>1</v>
      </c>
      <c r="T230" s="42" t="str">
        <f t="shared" ca="1" si="148"/>
        <v>-</v>
      </c>
      <c r="U230" s="42" t="str">
        <f t="shared" si="149"/>
        <v>-</v>
      </c>
      <c r="V230" s="42" t="str">
        <f t="shared" si="150"/>
        <v>-</v>
      </c>
      <c r="W230" s="42" t="str">
        <f t="shared" si="151"/>
        <v>-</v>
      </c>
      <c r="X230" s="42" t="str">
        <f t="shared" si="152"/>
        <v>-</v>
      </c>
      <c r="Y230" s="42" t="str">
        <f t="shared" si="153"/>
        <v>-</v>
      </c>
      <c r="Z230" s="42" t="str">
        <f t="shared" si="154"/>
        <v>-</v>
      </c>
      <c r="AA230" s="42" t="str">
        <f t="shared" si="155"/>
        <v>-</v>
      </c>
      <c r="AB230" s="42" t="str">
        <f t="shared" si="156"/>
        <v>-</v>
      </c>
      <c r="AC230" s="42" t="str">
        <f t="shared" si="157"/>
        <v>-</v>
      </c>
    </row>
    <row r="231" spans="1:29" ht="28.8" outlineLevel="1" x14ac:dyDescent="0.25">
      <c r="A231" s="42" t="s">
        <v>13</v>
      </c>
      <c r="B231" s="325"/>
      <c r="C231" s="49" t="s">
        <v>570</v>
      </c>
      <c r="D231" s="195" t="str">
        <f t="shared" ref="D231:K231" ca="1" si="167">_xlfn.LET(_xlpm.calc,_xlfn.XLOOKUP($C231,$C:$C,D:D),IFERROR(VALUE(LEFT(_xlpm.calc,SEARCH(" ",_xlpm.calc))),"-"))</f>
        <v>-</v>
      </c>
      <c r="E231" s="65" t="str">
        <f t="shared" si="167"/>
        <v>-</v>
      </c>
      <c r="F231" s="65" t="str">
        <f t="shared" si="167"/>
        <v>-</v>
      </c>
      <c r="G231" s="65" t="str">
        <f t="shared" si="167"/>
        <v>-</v>
      </c>
      <c r="H231" s="65" t="str">
        <f t="shared" si="167"/>
        <v>-</v>
      </c>
      <c r="I231" s="65" t="str">
        <f t="shared" si="167"/>
        <v>-</v>
      </c>
      <c r="J231" s="65" t="str">
        <f t="shared" si="167"/>
        <v>-</v>
      </c>
      <c r="K231" s="65" t="str">
        <f t="shared" si="167"/>
        <v>-</v>
      </c>
      <c r="L231" s="65" t="str">
        <f>_xlfn.LET(_xlpm.calc,_xlfn.XLOOKUP($C231,$C:$C,L:L),IFERROR(VALUE(LEFT(_xlpm.calc,SEARCH(" ",_xlpm.calc))),"-"))</f>
        <v>-</v>
      </c>
      <c r="M231" s="155" t="str">
        <f>_xlfn.LET(_xlpm.calc,_xlfn.XLOOKUP($C231,$C:$C,M:M),IFERROR(VALUE(LEFT(_xlpm.calc,SEARCH(" ",_xlpm.calc))),"-"))</f>
        <v>-</v>
      </c>
      <c r="N231" s="96"/>
      <c r="O231" s="74"/>
      <c r="Q231" s="75" t="str">
        <f t="shared" si="146"/>
        <v/>
      </c>
      <c r="R231" s="76" t="e">
        <f t="shared" si="147"/>
        <v>#VALUE!</v>
      </c>
      <c r="S231" s="64">
        <f t="shared" si="126"/>
        <v>1</v>
      </c>
      <c r="T231" s="42" t="str">
        <f t="shared" ca="1" si="148"/>
        <v>-</v>
      </c>
      <c r="U231" s="42" t="str">
        <f t="shared" si="149"/>
        <v>-</v>
      </c>
      <c r="V231" s="42" t="str">
        <f t="shared" si="150"/>
        <v>-</v>
      </c>
      <c r="W231" s="42" t="str">
        <f t="shared" si="151"/>
        <v>-</v>
      </c>
      <c r="X231" s="42" t="str">
        <f t="shared" si="152"/>
        <v>-</v>
      </c>
      <c r="Y231" s="42" t="str">
        <f t="shared" si="153"/>
        <v>-</v>
      </c>
      <c r="Z231" s="42" t="str">
        <f t="shared" si="154"/>
        <v>-</v>
      </c>
      <c r="AA231" s="42" t="str">
        <f t="shared" si="155"/>
        <v>-</v>
      </c>
      <c r="AB231" s="42" t="str">
        <f t="shared" si="156"/>
        <v>-</v>
      </c>
      <c r="AC231" s="42" t="str">
        <f t="shared" si="157"/>
        <v>-</v>
      </c>
    </row>
    <row r="232" spans="1:29" ht="28.8" outlineLevel="1" x14ac:dyDescent="0.25">
      <c r="A232" s="42" t="s">
        <v>13</v>
      </c>
      <c r="B232" s="325"/>
      <c r="C232" s="49" t="s">
        <v>172</v>
      </c>
      <c r="D232" s="204" t="e">
        <f ca="1">D231*D229</f>
        <v>#VALUE!</v>
      </c>
      <c r="E232" s="99">
        <f t="shared" ref="E232:E237" si="168">SUM(F232:L232)</f>
        <v>0</v>
      </c>
      <c r="F232" s="99" t="str">
        <f t="shared" ref="F232:I232" si="169">IFERROR(F231*F229,"-")</f>
        <v>-</v>
      </c>
      <c r="G232" s="99" t="str">
        <f t="shared" si="169"/>
        <v>-</v>
      </c>
      <c r="H232" s="99" t="str">
        <f t="shared" si="169"/>
        <v>-</v>
      </c>
      <c r="I232" s="99" t="str">
        <f t="shared" si="169"/>
        <v>-</v>
      </c>
      <c r="J232" s="99" t="str">
        <f>IFERROR(J231*J229,"-")</f>
        <v>-</v>
      </c>
      <c r="K232" s="99" t="str">
        <f>IFERROR(K231*K229,"-")</f>
        <v>-</v>
      </c>
      <c r="L232" s="99" t="str">
        <f>IFERROR(L231*L229,"-")</f>
        <v>-</v>
      </c>
      <c r="M232" s="159" t="str">
        <f>IFERROR(M231*M229,"-")</f>
        <v>-</v>
      </c>
      <c r="N232" s="96"/>
      <c r="O232" s="74"/>
      <c r="P232" s="42" t="s">
        <v>173</v>
      </c>
      <c r="Q232" s="75" t="str">
        <f t="shared" si="146"/>
        <v/>
      </c>
      <c r="R232" s="76">
        <f t="shared" si="147"/>
        <v>0</v>
      </c>
      <c r="S232" s="64">
        <f t="shared" si="126"/>
        <v>1</v>
      </c>
      <c r="T232" s="42" t="e">
        <f t="shared" ca="1" si="148"/>
        <v>#VALUE!</v>
      </c>
      <c r="U232" s="42">
        <f t="shared" si="149"/>
        <v>0</v>
      </c>
      <c r="V232" s="42" t="str">
        <f t="shared" si="150"/>
        <v>-</v>
      </c>
      <c r="W232" s="42" t="str">
        <f t="shared" si="151"/>
        <v>-</v>
      </c>
      <c r="X232" s="42" t="str">
        <f t="shared" si="152"/>
        <v>-</v>
      </c>
      <c r="Y232" s="42" t="str">
        <f t="shared" si="153"/>
        <v>-</v>
      </c>
      <c r="Z232" s="42" t="str">
        <f t="shared" si="154"/>
        <v>-</v>
      </c>
      <c r="AA232" s="42" t="str">
        <f t="shared" si="155"/>
        <v>-</v>
      </c>
      <c r="AB232" s="42" t="str">
        <f t="shared" si="156"/>
        <v>-</v>
      </c>
      <c r="AC232" s="42" t="str">
        <f t="shared" si="157"/>
        <v>-</v>
      </c>
    </row>
    <row r="233" spans="1:29" ht="28.8" outlineLevel="1" x14ac:dyDescent="0.25">
      <c r="A233" s="42" t="s">
        <v>13</v>
      </c>
      <c r="B233" s="325"/>
      <c r="C233" s="49" t="s">
        <v>164</v>
      </c>
      <c r="D233" s="204" t="str">
        <f ca="1">IFERROR(MAX(E233,DATEDIF(AVERAGE(D$4:D$5),ref!$B$3,"M")*(1/12*7%)*D232),"-")</f>
        <v>-</v>
      </c>
      <c r="E233" s="99">
        <f t="shared" ca="1" si="168"/>
        <v>0</v>
      </c>
      <c r="F233" s="99" t="str">
        <f ca="1">IFERROR(DATEDIF(AVERAGE(F$4:F$5),ref!$B$3,"M")*(1/12*7%)*F232,"-")</f>
        <v>-</v>
      </c>
      <c r="G233" s="99" t="str">
        <f ca="1">IFERROR(DATEDIF(AVERAGE(G$4:G$5),ref!$B$3,"M")*(1/12*7%)*G232,"-")</f>
        <v>-</v>
      </c>
      <c r="H233" s="99" t="str">
        <f ca="1">IFERROR(DATEDIF(AVERAGE(H$4:H$5),ref!$B$3,"M")*(1/12*7%)*H232,"-")</f>
        <v>-</v>
      </c>
      <c r="I233" s="99" t="str">
        <f ca="1">IFERROR(DATEDIF(AVERAGE(I$4:I$5),ref!$B$3,"M")*(1/12*7%)*I232,"-")</f>
        <v>-</v>
      </c>
      <c r="J233" s="99" t="str">
        <f ca="1">IFERROR(DATEDIF(AVERAGE(J$4:J$5),ref!$B$3,"M")*(1/12*7%)*J232,"-")</f>
        <v>-</v>
      </c>
      <c r="K233" s="99" t="str">
        <f ca="1">IFERROR(DATEDIF(AVERAGE(K$4:K$5),ref!$B$3,"M")*(1/12*7%)*K232,"-")</f>
        <v>-</v>
      </c>
      <c r="L233" s="99" t="str">
        <f ca="1">IFERROR(DATEDIF(AVERAGE(L$4:L$5),ref!$B$3,"M")*(1/12*7%)*L232,"-")</f>
        <v>-</v>
      </c>
      <c r="M233" s="159" t="str">
        <f ca="1">IFERROR(DATEDIF(AVERAGE(M$4:M$5),ref!$B$3,"M")*(1/12*7%)*M232,"-")</f>
        <v>-</v>
      </c>
      <c r="N233" s="96" t="str">
        <f ca="1">_xlfn.CONCAT("Interest calculated thru ",TEXT(ref!$B$3,"m/d/yyyy"),".")</f>
        <v>Interest calculated thru 3/2/2026.</v>
      </c>
      <c r="O233" s="74"/>
      <c r="P233" s="42" t="s">
        <v>174</v>
      </c>
      <c r="Q233" s="75" t="str">
        <f t="shared" ca="1" si="146"/>
        <v/>
      </c>
      <c r="R233" s="76" t="str">
        <f t="shared" si="147"/>
        <v/>
      </c>
      <c r="S233" s="64" t="str">
        <f t="shared" si="126"/>
        <v/>
      </c>
      <c r="T233" s="42" t="str">
        <f t="shared" si="148"/>
        <v/>
      </c>
      <c r="U233" s="42" t="str">
        <f t="shared" si="149"/>
        <v/>
      </c>
      <c r="V233" s="42" t="str">
        <f t="shared" si="150"/>
        <v/>
      </c>
      <c r="W233" s="42" t="str">
        <f t="shared" si="151"/>
        <v/>
      </c>
      <c r="X233" s="42" t="str">
        <f t="shared" si="152"/>
        <v/>
      </c>
      <c r="Y233" s="42" t="str">
        <f t="shared" si="153"/>
        <v/>
      </c>
      <c r="Z233" s="42" t="str">
        <f t="shared" si="154"/>
        <v/>
      </c>
      <c r="AA233" s="42" t="str">
        <f t="shared" si="155"/>
        <v/>
      </c>
      <c r="AB233" s="42" t="str">
        <f t="shared" si="156"/>
        <v/>
      </c>
      <c r="AC233" s="42" t="str">
        <f t="shared" si="157"/>
        <v/>
      </c>
    </row>
    <row r="234" spans="1:29" ht="28.8" outlineLevel="1" x14ac:dyDescent="0.25">
      <c r="A234" s="42" t="s">
        <v>13</v>
      </c>
      <c r="B234" s="325"/>
      <c r="C234" s="49" t="s">
        <v>175</v>
      </c>
      <c r="D234" s="204" t="e">
        <f ca="1">SUM(D232:D233)</f>
        <v>#VALUE!</v>
      </c>
      <c r="E234" s="99">
        <f t="shared" ca="1" si="168"/>
        <v>0</v>
      </c>
      <c r="F234" s="99">
        <f t="shared" ref="F234:H234" ca="1" si="170">SUM(F232:F233)</f>
        <v>0</v>
      </c>
      <c r="G234" s="99">
        <f t="shared" ca="1" si="170"/>
        <v>0</v>
      </c>
      <c r="H234" s="99">
        <f t="shared" ca="1" si="170"/>
        <v>0</v>
      </c>
      <c r="I234" s="99">
        <f ca="1">SUM(I232:I233)</f>
        <v>0</v>
      </c>
      <c r="J234" s="99">
        <f ca="1">SUM(J232:J233)</f>
        <v>0</v>
      </c>
      <c r="K234" s="99">
        <f ca="1">SUM(K232:K233)</f>
        <v>0</v>
      </c>
      <c r="L234" s="99">
        <f ca="1">SUM(L232:L233)</f>
        <v>0</v>
      </c>
      <c r="M234" s="159">
        <f ca="1">SUM(M232:M233)</f>
        <v>0</v>
      </c>
      <c r="N234" s="96"/>
      <c r="O234" s="74"/>
      <c r="P234" s="42" t="s">
        <v>176</v>
      </c>
      <c r="Q234" s="75" t="str">
        <f t="shared" ca="1" si="146"/>
        <v/>
      </c>
      <c r="R234" s="76" t="str">
        <f t="shared" si="147"/>
        <v/>
      </c>
      <c r="S234" s="64" t="str">
        <f t="shared" si="126"/>
        <v/>
      </c>
      <c r="T234" s="42" t="str">
        <f t="shared" si="148"/>
        <v/>
      </c>
      <c r="U234" s="42" t="str">
        <f t="shared" si="149"/>
        <v/>
      </c>
      <c r="V234" s="42" t="str">
        <f t="shared" si="150"/>
        <v/>
      </c>
      <c r="W234" s="42" t="str">
        <f t="shared" si="151"/>
        <v/>
      </c>
      <c r="X234" s="42" t="str">
        <f t="shared" si="152"/>
        <v/>
      </c>
      <c r="Y234" s="42" t="str">
        <f t="shared" si="153"/>
        <v/>
      </c>
      <c r="Z234" s="42" t="str">
        <f t="shared" si="154"/>
        <v/>
      </c>
      <c r="AA234" s="42" t="str">
        <f t="shared" si="155"/>
        <v/>
      </c>
      <c r="AB234" s="42" t="str">
        <f t="shared" si="156"/>
        <v/>
      </c>
      <c r="AC234" s="42" t="str">
        <f t="shared" si="157"/>
        <v/>
      </c>
    </row>
    <row r="235" spans="1:29" outlineLevel="1" x14ac:dyDescent="0.25">
      <c r="A235" s="42">
        <v>1</v>
      </c>
      <c r="B235" s="326"/>
      <c r="C235" s="171" t="str">
        <f>_xlfn.CONCAT(TEXT($O$235,"0%")," violation rate: ",SUBSTITUTE(C232,"Meal period","MP"))</f>
        <v>100% violation rate: MP damages (shifts &gt;6 hrs)</v>
      </c>
      <c r="D235" s="205" t="str">
        <f ca="1">IFERROR(ROUND(D229*$O235,0)*D230,"-")</f>
        <v>-</v>
      </c>
      <c r="E235" s="172">
        <f t="shared" si="168"/>
        <v>0</v>
      </c>
      <c r="F235" s="172" t="str">
        <f t="shared" ref="F235:M235" si="171">IFERROR(ROUND(F229*$O235,0)*F230,"-")</f>
        <v>-</v>
      </c>
      <c r="G235" s="172" t="str">
        <f t="shared" si="171"/>
        <v>-</v>
      </c>
      <c r="H235" s="172" t="str">
        <f t="shared" si="171"/>
        <v>-</v>
      </c>
      <c r="I235" s="172" t="str">
        <f t="shared" si="171"/>
        <v>-</v>
      </c>
      <c r="J235" s="172" t="str">
        <f t="shared" si="171"/>
        <v>-</v>
      </c>
      <c r="K235" s="172" t="str">
        <f t="shared" si="171"/>
        <v>-</v>
      </c>
      <c r="L235" s="172" t="str">
        <f t="shared" si="171"/>
        <v>-</v>
      </c>
      <c r="M235" s="173" t="str">
        <f t="shared" si="171"/>
        <v>-</v>
      </c>
      <c r="N235" s="174"/>
      <c r="O235" s="108">
        <v>1</v>
      </c>
      <c r="P235" s="42" t="s">
        <v>177</v>
      </c>
      <c r="Q235" s="75" t="str">
        <f t="shared" si="146"/>
        <v/>
      </c>
      <c r="R235" s="76">
        <f t="shared" si="147"/>
        <v>0</v>
      </c>
      <c r="S235" s="64">
        <f t="shared" si="126"/>
        <v>1</v>
      </c>
      <c r="T235" s="42" t="str">
        <f t="shared" ca="1" si="148"/>
        <v>-</v>
      </c>
      <c r="U235" s="42">
        <f t="shared" si="149"/>
        <v>0</v>
      </c>
      <c r="V235" s="42" t="str">
        <f t="shared" si="150"/>
        <v>-</v>
      </c>
      <c r="W235" s="42" t="str">
        <f t="shared" si="151"/>
        <v>-</v>
      </c>
      <c r="X235" s="42" t="str">
        <f t="shared" si="152"/>
        <v>-</v>
      </c>
      <c r="Y235" s="42" t="str">
        <f t="shared" si="153"/>
        <v>-</v>
      </c>
      <c r="Z235" s="42" t="str">
        <f t="shared" si="154"/>
        <v>-</v>
      </c>
      <c r="AA235" s="42" t="str">
        <f t="shared" si="155"/>
        <v>-</v>
      </c>
      <c r="AB235" s="42" t="str">
        <f t="shared" si="156"/>
        <v>-</v>
      </c>
      <c r="AC235" s="42" t="str">
        <f t="shared" si="157"/>
        <v>-</v>
      </c>
    </row>
    <row r="236" spans="1:29" outlineLevel="1" x14ac:dyDescent="0.25">
      <c r="A236" s="42">
        <v>1</v>
      </c>
      <c r="B236" s="326"/>
      <c r="C236" s="171" t="str">
        <f>_xlfn.CONCAT(TEXT($O$235,"0%")," violation rate: ",SUBSTITUTE(C233,"Meal period","MP"))</f>
        <v>100% violation rate: Interest (7% per annum)</v>
      </c>
      <c r="D236" s="205" t="str">
        <f ca="1">IFERROR(MAX(E236,DATEDIF(AVERAGE(D$4:D$5),ref!$B$3,"M")*(1/12*7%)*D235),"-")</f>
        <v>-</v>
      </c>
      <c r="E236" s="172">
        <f t="shared" ca="1" si="168"/>
        <v>0</v>
      </c>
      <c r="F236" s="172" t="str">
        <f ca="1">IFERROR(DATEDIF(AVERAGE(F$4:F$5),ref!$B$3,"M")*(1/12*7%)*F235,"-")</f>
        <v>-</v>
      </c>
      <c r="G236" s="172" t="str">
        <f ca="1">IFERROR(DATEDIF(AVERAGE(G$4:G$5),ref!$B$3,"M")*(1/12*7%)*G235,"-")</f>
        <v>-</v>
      </c>
      <c r="H236" s="172" t="str">
        <f ca="1">IFERROR(DATEDIF(AVERAGE(H$4:H$5),ref!$B$3,"M")*(1/12*7%)*H235,"-")</f>
        <v>-</v>
      </c>
      <c r="I236" s="172" t="str">
        <f ca="1">IFERROR(DATEDIF(AVERAGE(I$4:I$5),ref!$B$3,"M")*(1/12*7%)*I235,"-")</f>
        <v>-</v>
      </c>
      <c r="J236" s="172" t="str">
        <f ca="1">IFERROR(DATEDIF(AVERAGE(J$4:J$5),ref!$B$3,"M")*(1/12*7%)*J235,"-")</f>
        <v>-</v>
      </c>
      <c r="K236" s="172" t="str">
        <f ca="1">IFERROR(DATEDIF(AVERAGE(K$4:K$5),ref!$B$3,"M")*(1/12*7%)*K235,"-")</f>
        <v>-</v>
      </c>
      <c r="L236" s="172" t="str">
        <f ca="1">IFERROR(DATEDIF(AVERAGE(L$4:L$5),ref!$B$3,"M")*(1/12*7%)*L235,"-")</f>
        <v>-</v>
      </c>
      <c r="M236" s="173" t="str">
        <f ca="1">IFERROR(DATEDIF(AVERAGE(M$4:M$5),ref!$B$3,"M")*(1/12*7%)*M235,"-")</f>
        <v>-</v>
      </c>
      <c r="N236" s="174"/>
      <c r="O236" s="74"/>
      <c r="P236" s="42" t="s">
        <v>178</v>
      </c>
      <c r="Q236" s="75" t="str">
        <f t="shared" ca="1" si="146"/>
        <v/>
      </c>
      <c r="R236" s="76" t="str">
        <f t="shared" si="147"/>
        <v/>
      </c>
      <c r="S236" s="64" t="str">
        <f t="shared" si="126"/>
        <v/>
      </c>
      <c r="T236" s="42" t="str">
        <f t="shared" si="148"/>
        <v/>
      </c>
      <c r="U236" s="42" t="str">
        <f t="shared" si="149"/>
        <v/>
      </c>
      <c r="V236" s="42" t="str">
        <f t="shared" si="150"/>
        <v/>
      </c>
      <c r="W236" s="42" t="str">
        <f t="shared" si="151"/>
        <v/>
      </c>
      <c r="X236" s="42" t="str">
        <f t="shared" si="152"/>
        <v/>
      </c>
      <c r="Y236" s="42" t="str">
        <f t="shared" si="153"/>
        <v/>
      </c>
      <c r="Z236" s="42" t="str">
        <f t="shared" si="154"/>
        <v/>
      </c>
      <c r="AA236" s="42" t="str">
        <f t="shared" si="155"/>
        <v/>
      </c>
      <c r="AB236" s="42" t="str">
        <f t="shared" si="156"/>
        <v/>
      </c>
      <c r="AC236" s="42" t="str">
        <f t="shared" si="157"/>
        <v/>
      </c>
    </row>
    <row r="237" spans="1:29" outlineLevel="1" x14ac:dyDescent="0.25">
      <c r="A237" s="42">
        <v>1</v>
      </c>
      <c r="B237" s="326"/>
      <c r="C237" s="171" t="str">
        <f>_xlfn.CONCAT(TEXT($O$235,"0%")," violation rate: ",SUBSTITUTE(C234,"Meal period","MP"))</f>
        <v>100% violation rate: MP damages (shifts &gt;6 hrs) with interest</v>
      </c>
      <c r="D237" s="205">
        <f ca="1">SUM(D235:D236)</f>
        <v>0</v>
      </c>
      <c r="E237" s="172">
        <f t="shared" ca="1" si="168"/>
        <v>0</v>
      </c>
      <c r="F237" s="172">
        <f ca="1">SUM(F235:F236)</f>
        <v>0</v>
      </c>
      <c r="G237" s="172">
        <f t="shared" ref="G237:H237" ca="1" si="172">SUM(G235:G236)</f>
        <v>0</v>
      </c>
      <c r="H237" s="172">
        <f t="shared" ca="1" si="172"/>
        <v>0</v>
      </c>
      <c r="I237" s="172">
        <f ca="1">SUM(I235:I236)</f>
        <v>0</v>
      </c>
      <c r="J237" s="172">
        <f ca="1">SUM(J235:J236)</f>
        <v>0</v>
      </c>
      <c r="K237" s="172">
        <f ca="1">SUM(K235:K236)</f>
        <v>0</v>
      </c>
      <c r="L237" s="172">
        <f ca="1">SUM(L235:L236)</f>
        <v>0</v>
      </c>
      <c r="M237" s="173">
        <f ca="1">SUM(M235:M236)</f>
        <v>0</v>
      </c>
      <c r="N237" s="174"/>
      <c r="O237" s="74"/>
      <c r="P237" s="42" t="s">
        <v>179</v>
      </c>
      <c r="Q237" s="75" t="str">
        <f t="shared" ca="1" si="146"/>
        <v/>
      </c>
      <c r="R237" s="76" t="str">
        <f t="shared" si="147"/>
        <v/>
      </c>
      <c r="S237" s="64" t="str">
        <f t="shared" si="126"/>
        <v/>
      </c>
      <c r="T237" s="42" t="str">
        <f t="shared" si="148"/>
        <v/>
      </c>
      <c r="U237" s="42" t="str">
        <f t="shared" si="149"/>
        <v/>
      </c>
      <c r="V237" s="42" t="str">
        <f t="shared" si="150"/>
        <v/>
      </c>
      <c r="W237" s="42" t="str">
        <f t="shared" si="151"/>
        <v/>
      </c>
      <c r="X237" s="42" t="str">
        <f t="shared" si="152"/>
        <v/>
      </c>
      <c r="Y237" s="42" t="str">
        <f t="shared" si="153"/>
        <v/>
      </c>
      <c r="Z237" s="42" t="str">
        <f t="shared" si="154"/>
        <v/>
      </c>
      <c r="AA237" s="42" t="str">
        <f t="shared" si="155"/>
        <v/>
      </c>
      <c r="AB237" s="42" t="str">
        <f t="shared" si="156"/>
        <v/>
      </c>
      <c r="AC237" s="42" t="str">
        <f t="shared" si="157"/>
        <v/>
      </c>
    </row>
    <row r="238" spans="1:29" x14ac:dyDescent="0.25">
      <c r="A238" s="42">
        <v>1</v>
      </c>
      <c r="C238" s="58"/>
      <c r="D238" s="190"/>
      <c r="E238" s="97"/>
      <c r="O238" s="74"/>
      <c r="Q238" s="75" t="str">
        <f t="shared" si="146"/>
        <v/>
      </c>
      <c r="R238" s="76" t="str">
        <f t="shared" si="147"/>
        <v/>
      </c>
      <c r="S238" s="64" t="str">
        <f t="shared" si="126"/>
        <v/>
      </c>
      <c r="T238" s="42" t="str">
        <f t="shared" si="148"/>
        <v/>
      </c>
      <c r="U238" s="42" t="str">
        <f t="shared" si="149"/>
        <v/>
      </c>
      <c r="V238" s="42" t="str">
        <f t="shared" si="150"/>
        <v/>
      </c>
      <c r="W238" s="42" t="str">
        <f t="shared" si="151"/>
        <v/>
      </c>
      <c r="X238" s="42" t="str">
        <f t="shared" si="152"/>
        <v/>
      </c>
      <c r="Y238" s="42" t="str">
        <f t="shared" si="153"/>
        <v/>
      </c>
      <c r="Z238" s="42" t="str">
        <f t="shared" si="154"/>
        <v/>
      </c>
      <c r="AA238" s="42" t="str">
        <f t="shared" si="155"/>
        <v/>
      </c>
      <c r="AB238" s="42" t="str">
        <f t="shared" si="156"/>
        <v/>
      </c>
      <c r="AC238" s="42" t="str">
        <f t="shared" si="157"/>
        <v/>
      </c>
    </row>
    <row r="239" spans="1:29" ht="28.8" outlineLevel="1" x14ac:dyDescent="0.25">
      <c r="A239" s="42" t="s">
        <v>13</v>
      </c>
      <c r="B239" s="320" t="s">
        <v>180</v>
      </c>
      <c r="C239" s="51" t="s">
        <v>15</v>
      </c>
      <c r="D239" s="193">
        <f t="shared" ref="D239:K241" si="173">_xlfn.LET(_xlpm.calc,_xlfn.XLOOKUP($C239,$C:$C,D:D),_xlpm.calc)</f>
        <v>43466</v>
      </c>
      <c r="E239" s="52" t="e">
        <f t="shared" si="173"/>
        <v>#NAME?</v>
      </c>
      <c r="F239" s="52" t="e">
        <f t="shared" si="173"/>
        <v>#NAME?</v>
      </c>
      <c r="G239" s="52" t="e">
        <f t="shared" si="173"/>
        <v>#NAME?</v>
      </c>
      <c r="H239" s="52" t="e">
        <f t="shared" si="173"/>
        <v>#NAME?</v>
      </c>
      <c r="I239" s="52" t="e">
        <f t="shared" si="173"/>
        <v>#NAME?</v>
      </c>
      <c r="J239" s="52" t="e">
        <f t="shared" si="173"/>
        <v>#NAME?</v>
      </c>
      <c r="K239" s="52" t="e">
        <f t="shared" si="173"/>
        <v>#NAME?</v>
      </c>
      <c r="L239" s="52" t="e">
        <f t="shared" ref="L239:M241" si="174">_xlfn.LET(_xlpm.calc,_xlfn.XLOOKUP($C239,$C:$C,L:L),_xlpm.calc)</f>
        <v>#NAME?</v>
      </c>
      <c r="M239" s="154" t="e">
        <f t="shared" si="174"/>
        <v>#NAME?</v>
      </c>
      <c r="N239" s="96"/>
      <c r="O239" s="74"/>
      <c r="Q239" s="75" t="str">
        <f t="shared" si="146"/>
        <v/>
      </c>
      <c r="R239" s="76" t="str">
        <f t="shared" si="147"/>
        <v/>
      </c>
      <c r="S239" s="64" t="str">
        <f t="shared" si="126"/>
        <v/>
      </c>
      <c r="T239" s="42" t="str">
        <f t="shared" si="148"/>
        <v/>
      </c>
      <c r="U239" s="42" t="str">
        <f t="shared" si="149"/>
        <v/>
      </c>
      <c r="V239" s="42" t="str">
        <f t="shared" si="150"/>
        <v/>
      </c>
      <c r="W239" s="42" t="str">
        <f t="shared" si="151"/>
        <v/>
      </c>
      <c r="X239" s="42" t="str">
        <f t="shared" si="152"/>
        <v/>
      </c>
      <c r="Y239" s="42" t="str">
        <f t="shared" si="153"/>
        <v/>
      </c>
      <c r="Z239" s="42" t="str">
        <f t="shared" si="154"/>
        <v/>
      </c>
      <c r="AA239" s="42" t="str">
        <f t="shared" si="155"/>
        <v/>
      </c>
      <c r="AB239" s="42" t="str">
        <f t="shared" si="156"/>
        <v/>
      </c>
      <c r="AC239" s="42" t="str">
        <f t="shared" si="157"/>
        <v/>
      </c>
    </row>
    <row r="240" spans="1:29" ht="28.8" outlineLevel="1" x14ac:dyDescent="0.25">
      <c r="A240" s="42" t="s">
        <v>13</v>
      </c>
      <c r="B240" s="321"/>
      <c r="C240" s="49" t="s">
        <v>16</v>
      </c>
      <c r="D240" s="193">
        <f t="shared" ca="1" si="173"/>
        <v>46083</v>
      </c>
      <c r="E240" s="52" t="e">
        <f t="shared" si="173"/>
        <v>#NAME?</v>
      </c>
      <c r="F240" s="52" t="e">
        <f t="shared" si="173"/>
        <v>#NAME?</v>
      </c>
      <c r="G240" s="52" t="e">
        <f t="shared" si="173"/>
        <v>#NAME?</v>
      </c>
      <c r="H240" s="52" t="e">
        <f t="shared" si="173"/>
        <v>#NAME?</v>
      </c>
      <c r="I240" s="52" t="e">
        <f t="shared" si="173"/>
        <v>#NAME?</v>
      </c>
      <c r="J240" s="52" t="e">
        <f t="shared" si="173"/>
        <v>#NAME?</v>
      </c>
      <c r="K240" s="52" t="e">
        <f t="shared" si="173"/>
        <v>#NAME?</v>
      </c>
      <c r="L240" s="52" t="e">
        <f t="shared" si="174"/>
        <v>#NAME?</v>
      </c>
      <c r="M240" s="154" t="e">
        <f t="shared" si="174"/>
        <v>#NAME?</v>
      </c>
      <c r="N240" s="96"/>
      <c r="O240" s="74"/>
      <c r="Q240" s="75" t="str">
        <f t="shared" si="146"/>
        <v/>
      </c>
      <c r="R240" s="76" t="str">
        <f t="shared" si="147"/>
        <v/>
      </c>
      <c r="S240" s="64" t="str">
        <f t="shared" si="126"/>
        <v/>
      </c>
      <c r="T240" s="42" t="str">
        <f t="shared" si="148"/>
        <v/>
      </c>
      <c r="U240" s="42" t="str">
        <f t="shared" si="149"/>
        <v/>
      </c>
      <c r="V240" s="42" t="str">
        <f t="shared" si="150"/>
        <v/>
      </c>
      <c r="W240" s="42" t="str">
        <f t="shared" si="151"/>
        <v/>
      </c>
      <c r="X240" s="42" t="str">
        <f t="shared" si="152"/>
        <v/>
      </c>
      <c r="Y240" s="42" t="str">
        <f t="shared" si="153"/>
        <v/>
      </c>
      <c r="Z240" s="42" t="str">
        <f t="shared" si="154"/>
        <v/>
      </c>
      <c r="AA240" s="42" t="str">
        <f t="shared" si="155"/>
        <v/>
      </c>
      <c r="AB240" s="42" t="str">
        <f t="shared" si="156"/>
        <v/>
      </c>
      <c r="AC240" s="42" t="str">
        <f t="shared" si="157"/>
        <v/>
      </c>
    </row>
    <row r="241" spans="1:29" ht="28.8" outlineLevel="1" x14ac:dyDescent="0.25">
      <c r="A241" s="42" t="s">
        <v>13</v>
      </c>
      <c r="B241" s="321"/>
      <c r="C241" s="49" t="s">
        <v>17</v>
      </c>
      <c r="D241" s="195">
        <f t="shared" si="173"/>
        <v>0</v>
      </c>
      <c r="E241" s="65">
        <f t="shared" si="173"/>
        <v>0</v>
      </c>
      <c r="F241" s="65">
        <f t="shared" si="173"/>
        <v>0</v>
      </c>
      <c r="G241" s="65">
        <f t="shared" si="173"/>
        <v>0</v>
      </c>
      <c r="H241" s="65">
        <f t="shared" si="173"/>
        <v>0</v>
      </c>
      <c r="I241" s="65">
        <f t="shared" si="173"/>
        <v>0</v>
      </c>
      <c r="J241" s="65">
        <f t="shared" si="173"/>
        <v>0</v>
      </c>
      <c r="K241" s="65">
        <f t="shared" si="173"/>
        <v>0</v>
      </c>
      <c r="L241" s="65">
        <f t="shared" si="174"/>
        <v>0</v>
      </c>
      <c r="M241" s="155">
        <f t="shared" si="174"/>
        <v>0</v>
      </c>
      <c r="N241" s="96"/>
      <c r="O241" s="74"/>
      <c r="Q241" s="75" t="str">
        <f t="shared" si="146"/>
        <v/>
      </c>
      <c r="R241" s="76" t="str">
        <f t="shared" si="147"/>
        <v/>
      </c>
      <c r="S241" s="64" t="str">
        <f t="shared" si="126"/>
        <v/>
      </c>
      <c r="T241" s="42" t="str">
        <f t="shared" si="148"/>
        <v/>
      </c>
      <c r="U241" s="42" t="str">
        <f t="shared" si="149"/>
        <v/>
      </c>
      <c r="V241" s="42" t="str">
        <f t="shared" si="150"/>
        <v/>
      </c>
      <c r="W241" s="42" t="str">
        <f t="shared" si="151"/>
        <v/>
      </c>
      <c r="X241" s="42" t="str">
        <f t="shared" si="152"/>
        <v/>
      </c>
      <c r="Y241" s="42" t="str">
        <f t="shared" si="153"/>
        <v/>
      </c>
      <c r="Z241" s="42" t="str">
        <f t="shared" si="154"/>
        <v/>
      </c>
      <c r="AA241" s="42" t="str">
        <f t="shared" si="155"/>
        <v/>
      </c>
      <c r="AB241" s="42" t="str">
        <f t="shared" si="156"/>
        <v/>
      </c>
      <c r="AC241" s="42" t="str">
        <f t="shared" si="157"/>
        <v/>
      </c>
    </row>
    <row r="242" spans="1:29" ht="28.8" outlineLevel="1" x14ac:dyDescent="0.25">
      <c r="A242" s="42" t="s">
        <v>13</v>
      </c>
      <c r="B242" s="321"/>
      <c r="C242" s="49" t="s">
        <v>181</v>
      </c>
      <c r="D242" s="195" t="str">
        <f>_xlfn.LET(_xlpm.calc,ROUND($Q242*D241,0),_xlpm.perc,_xlpm.calc/D241,IFERROR(IF(_xlpm.calc&lt;1000,_xlfn.CONCAT(_xlpm.calc," (",TEXT(_xlpm.perc,"0.0%"),")"),_xlfn.CONCAT(TEXT(_xlpm.calc,"0,000")," (",TEXT(_xlpm.perc,"0.0%"),")")),"-"))</f>
        <v>-</v>
      </c>
      <c r="E242" s="56" t="str" cm="1">
        <f t="array" ref="E242">_xlfn.LET(_xlpm.calc,IFERROR(ROWS(_xlfn.UNIQUE(_xlfn._xlws.FILTER(ID,(Date &gt;= E$4) * (Date &lt;= E$5) * (IFERROR(SEARCH(E$1, Key_Gps),0)&gt;0) * (rpv_shift = 1)))),0),_xlpm.perc,_xlpm.calc/E241,IFERROR(IF(_xlpm.calc&lt;1000,_xlfn.CONCAT(_xlpm.calc," (",TEXT(_xlpm.perc,"0.0%"),")"),_xlfn.CONCAT(TEXT(_xlpm.calc,"0,000")," (",TEXT(_xlpm.perc,"0.0%"),")")),"-"))</f>
        <v>-</v>
      </c>
      <c r="F242" s="65" t="str" cm="1">
        <f t="array" ref="F242">_xlfn.LET(_xlpm.calc,IFERROR(ROWS(_xlfn.UNIQUE(_xlfn._xlws.FILTER(ID,(Date &gt;= F$4) * (Date &lt;= F$5) * (IFERROR(SEARCH(F$1, Key_Gps),0)&gt;0) * (rpv_shift = 1)))),0),_xlpm.perc,_xlpm.calc/F241,IFERROR(IF(_xlpm.calc&lt;1000,_xlfn.CONCAT(_xlpm.calc," (",TEXT(_xlpm.perc,"0.0%"),")"),_xlfn.CONCAT(TEXT(_xlpm.calc,"0,000")," (",TEXT(_xlpm.perc,"0.0%"),")")),"-"))</f>
        <v>-</v>
      </c>
      <c r="G242" s="65" t="str" cm="1">
        <f t="array" ref="G242">_xlfn.LET(_xlpm.calc,IFERROR(ROWS(_xlfn.UNIQUE(_xlfn._xlws.FILTER(ID,(Date &gt;= G$4) * (Date &lt;= G$5) * (IFERROR(SEARCH(G$1, Key_Gps),0)&gt;0) * (rpv_shift = 1)))),0),_xlpm.perc,_xlpm.calc/G241,IFERROR(IF(_xlpm.calc&lt;1000,_xlfn.CONCAT(_xlpm.calc," (",TEXT(_xlpm.perc,"0.0%"),")"),_xlfn.CONCAT(TEXT(_xlpm.calc,"0,000")," (",TEXT(_xlpm.perc,"0.0%"),")")),"-"))</f>
        <v>-</v>
      </c>
      <c r="H242" s="65" t="str" cm="1">
        <f t="array" ref="H242">_xlfn.LET(_xlpm.calc,IFERROR(ROWS(_xlfn.UNIQUE(_xlfn._xlws.FILTER(ID,(Date &gt;= H$4) * (Date &lt;= H$5) * (IFERROR(SEARCH(H$1, Key_Gps),0)&gt;0) * (rpv_shift = 1)))),0),_xlpm.perc,_xlpm.calc/H241,IFERROR(IF(_xlpm.calc&lt;1000,_xlfn.CONCAT(_xlpm.calc," (",TEXT(_xlpm.perc,"0.0%"),")"),_xlfn.CONCAT(TEXT(_xlpm.calc,"0,000")," (",TEXT(_xlpm.perc,"0.0%"),")")),"-"))</f>
        <v>-</v>
      </c>
      <c r="I242" s="65" t="str" cm="1">
        <f t="array" ref="I242">_xlfn.LET(_xlpm.calc,IFERROR(ROWS(_xlfn.UNIQUE(_xlfn._xlws.FILTER(ID,(Date &gt;= I$4) * (Date &lt;= I$5) * (IFERROR(SEARCH(I$1, Key_Gps),0)&gt;0) * (rpv_shift = 1)))),0),_xlpm.perc,_xlpm.calc/I241,IFERROR(IF(_xlpm.calc&lt;1000,_xlfn.CONCAT(_xlpm.calc," (",TEXT(_xlpm.perc,"0.0%"),")"),_xlfn.CONCAT(TEXT(_xlpm.calc,"0,000")," (",TEXT(_xlpm.perc,"0.0%"),")")),"-"))</f>
        <v>-</v>
      </c>
      <c r="J242" s="65" t="str" cm="1">
        <f t="array" ref="J242">_xlfn.LET(_xlpm.calc,IFERROR(ROWS(_xlfn.UNIQUE(_xlfn._xlws.FILTER(ID,(Date &gt;= J$4) * (Date &lt;= J$5) * (IFERROR(SEARCH(J$1, Key_Gps),0)&gt;0) * (rpv_shift = 1)))),0),_xlpm.perc,_xlpm.calc/J241,IFERROR(IF(_xlpm.calc&lt;1000,_xlfn.CONCAT(_xlpm.calc," (",TEXT(_xlpm.perc,"0.0%"),")"),_xlfn.CONCAT(TEXT(_xlpm.calc,"0,000")," (",TEXT(_xlpm.perc,"0.0%"),")")),"-"))</f>
        <v>-</v>
      </c>
      <c r="K242" s="65" t="str" cm="1">
        <f t="array" ref="K242">_xlfn.LET(_xlpm.calc,IFERROR(ROWS(_xlfn.UNIQUE(_xlfn._xlws.FILTER(ID,(Date &gt;= K$4) * (Date &lt;= K$5) * (IFERROR(SEARCH(K$1, Key_Gps),0)&gt;0) * (rpv_shift = 1)))),0),_xlpm.perc,_xlpm.calc/K241,IFERROR(IF(_xlpm.calc&lt;1000,_xlfn.CONCAT(_xlpm.calc," (",TEXT(_xlpm.perc,"0.0%"),")"),_xlfn.CONCAT(TEXT(_xlpm.calc,"0,000")," (",TEXT(_xlpm.perc,"0.0%"),")")),"-"))</f>
        <v>-</v>
      </c>
      <c r="L242" s="65" t="str" cm="1">
        <f t="array" ref="L242">_xlfn.LET(_xlpm.calc,IFERROR(ROWS(_xlfn.UNIQUE(_xlfn._xlws.FILTER(ID,(Date &gt;= L$4) * (Date &lt;= L$5) * (IFERROR(SEARCH(L$1, Key_Gps),0)&gt;0) * (rpv_shift = 1)))),0),_xlpm.perc,_xlpm.calc/L241,IFERROR(IF(_xlpm.calc&lt;1000,_xlfn.CONCAT(_xlpm.calc," (",TEXT(_xlpm.perc,"0.0%"),")"),_xlfn.CONCAT(TEXT(_xlpm.calc,"0,000")," (",TEXT(_xlpm.perc,"0.0%"),")")),"-"))</f>
        <v>-</v>
      </c>
      <c r="M242" s="155" t="str" cm="1">
        <f t="array" ref="M242">_xlfn.LET(_xlpm.calc,IFERROR(ROWS(_xlfn.UNIQUE(_xlfn._xlws.FILTER(ID,(Date &gt;= M$4) * (Date &lt;= M$5) * (IFERROR(SEARCH(M$1, Key_Gps),0)&gt;0) * (rpv_shift = 1)))),0),_xlpm.perc,_xlpm.calc/M241,IFERROR(IF(_xlpm.calc&lt;1000,_xlfn.CONCAT(_xlpm.calc," (",TEXT(_xlpm.perc,"0.0%"),")"),_xlfn.CONCAT(TEXT(_xlpm.calc,"0,000")," (",TEXT(_xlpm.perc,"0.0%"),")")),"-"))</f>
        <v>-</v>
      </c>
      <c r="N242" s="96"/>
      <c r="O242" s="74"/>
      <c r="Q242" s="75" t="str">
        <f t="shared" si="146"/>
        <v/>
      </c>
      <c r="R242" s="76" t="str">
        <f t="shared" si="147"/>
        <v/>
      </c>
      <c r="S242" s="64" t="str">
        <f t="shared" si="126"/>
        <v/>
      </c>
      <c r="T242" s="42" t="str">
        <f t="shared" si="148"/>
        <v/>
      </c>
      <c r="U242" s="42" t="str">
        <f t="shared" si="149"/>
        <v/>
      </c>
      <c r="V242" s="42" t="str">
        <f t="shared" si="150"/>
        <v/>
      </c>
      <c r="W242" s="42" t="str">
        <f t="shared" si="151"/>
        <v/>
      </c>
      <c r="X242" s="42" t="str">
        <f t="shared" si="152"/>
        <v/>
      </c>
      <c r="Y242" s="42" t="str">
        <f t="shared" si="153"/>
        <v/>
      </c>
      <c r="Z242" s="42" t="str">
        <f t="shared" si="154"/>
        <v/>
      </c>
      <c r="AA242" s="42" t="str">
        <f t="shared" si="155"/>
        <v/>
      </c>
      <c r="AB242" s="42" t="str">
        <f t="shared" si="156"/>
        <v/>
      </c>
      <c r="AC242" s="42" t="str">
        <f t="shared" si="157"/>
        <v/>
      </c>
    </row>
    <row r="243" spans="1:29" ht="28.8" outlineLevel="1" x14ac:dyDescent="0.25">
      <c r="A243" s="42" t="s">
        <v>13</v>
      </c>
      <c r="B243" s="321"/>
      <c r="C243" s="49" t="s">
        <v>76</v>
      </c>
      <c r="D243" s="199" t="str">
        <f t="shared" ref="D243:K243" si="175">_xlfn.LET(_xlpm.calc,_xlfn.XLOOKUP($C243,$C:$C,D:D),_xlpm.calc)</f>
        <v>-</v>
      </c>
      <c r="E243" s="98" t="str">
        <f t="shared" si="175"/>
        <v>-</v>
      </c>
      <c r="F243" s="98" t="str">
        <f t="shared" si="175"/>
        <v>-</v>
      </c>
      <c r="G243" s="98" t="str">
        <f t="shared" si="175"/>
        <v>-</v>
      </c>
      <c r="H243" s="98" t="str">
        <f t="shared" si="175"/>
        <v>-</v>
      </c>
      <c r="I243" s="98" t="str">
        <f t="shared" si="175"/>
        <v>-</v>
      </c>
      <c r="J243" s="98" t="str">
        <f t="shared" si="175"/>
        <v>-</v>
      </c>
      <c r="K243" s="98" t="str">
        <f t="shared" si="175"/>
        <v>-</v>
      </c>
      <c r="L243" s="98" t="str">
        <f>_xlfn.LET(_xlpm.calc,_xlfn.XLOOKUP($C243,$C:$C,L:L),_xlpm.calc)</f>
        <v>-</v>
      </c>
      <c r="M243" s="166" t="str">
        <f>_xlfn.LET(_xlpm.calc,_xlfn.XLOOKUP($C243,$C:$C,M:M),_xlpm.calc)</f>
        <v>-</v>
      </c>
      <c r="N243" s="96"/>
      <c r="O243" s="74"/>
      <c r="Q243" s="75" t="str">
        <f t="shared" si="146"/>
        <v/>
      </c>
      <c r="R243" s="76" t="str">
        <f t="shared" si="147"/>
        <v/>
      </c>
      <c r="S243" s="64" t="str">
        <f t="shared" si="126"/>
        <v/>
      </c>
      <c r="T243" s="42" t="str">
        <f t="shared" si="148"/>
        <v/>
      </c>
      <c r="U243" s="42" t="str">
        <f t="shared" si="149"/>
        <v/>
      </c>
      <c r="V243" s="42" t="str">
        <f t="shared" si="150"/>
        <v/>
      </c>
      <c r="W243" s="42" t="str">
        <f t="shared" si="151"/>
        <v/>
      </c>
      <c r="X243" s="42" t="str">
        <f t="shared" si="152"/>
        <v/>
      </c>
      <c r="Y243" s="42" t="str">
        <f t="shared" si="153"/>
        <v/>
      </c>
      <c r="Z243" s="42" t="str">
        <f t="shared" si="154"/>
        <v/>
      </c>
      <c r="AA243" s="42" t="str">
        <f t="shared" si="155"/>
        <v/>
      </c>
      <c r="AB243" s="42" t="str">
        <f t="shared" si="156"/>
        <v/>
      </c>
      <c r="AC243" s="42" t="str">
        <f t="shared" si="157"/>
        <v/>
      </c>
    </row>
    <row r="244" spans="1:29" ht="28.8" outlineLevel="1" x14ac:dyDescent="0.25">
      <c r="A244" s="42" t="s">
        <v>13</v>
      </c>
      <c r="B244" s="321"/>
      <c r="C244" s="49" t="s">
        <v>63</v>
      </c>
      <c r="D244" s="195" t="str">
        <f t="shared" ref="D244:K244" ca="1" si="176">_xlfn.LET(_xlpm.calc,_xlfn.XLOOKUP($C244,$C:$C,D:D),IFERROR(VALUE(LEFT(_xlpm.calc,SEARCH(" ",_xlpm.calc))),"-"))</f>
        <v>-</v>
      </c>
      <c r="E244" s="65" t="str">
        <f t="shared" si="176"/>
        <v>-</v>
      </c>
      <c r="F244" s="65" t="str">
        <f t="shared" si="176"/>
        <v>-</v>
      </c>
      <c r="G244" s="65" t="str">
        <f t="shared" si="176"/>
        <v>-</v>
      </c>
      <c r="H244" s="65" t="str">
        <f t="shared" si="176"/>
        <v>-</v>
      </c>
      <c r="I244" s="65" t="str">
        <f t="shared" si="176"/>
        <v>-</v>
      </c>
      <c r="J244" s="65" t="str">
        <f t="shared" si="176"/>
        <v>-</v>
      </c>
      <c r="K244" s="65" t="str">
        <f t="shared" si="176"/>
        <v>-</v>
      </c>
      <c r="L244" s="65" t="str">
        <f>_xlfn.LET(_xlpm.calc,_xlfn.XLOOKUP($C244,$C:$C,L:L),IFERROR(VALUE(LEFT(_xlpm.calc,SEARCH(" ",_xlpm.calc))),"-"))</f>
        <v>-</v>
      </c>
      <c r="M244" s="155" t="str">
        <f>_xlfn.LET(_xlpm.calc,_xlfn.XLOOKUP($C244,$C:$C,M:M),IFERROR(VALUE(LEFT(_xlpm.calc,SEARCH(" ",_xlpm.calc))),"-"))</f>
        <v>-</v>
      </c>
      <c r="N244" s="96"/>
      <c r="O244" s="74"/>
      <c r="Q244" s="75" t="str">
        <f t="shared" si="146"/>
        <v/>
      </c>
      <c r="R244" s="76" t="e">
        <f t="shared" si="147"/>
        <v>#VALUE!</v>
      </c>
      <c r="S244" s="64">
        <f t="shared" si="126"/>
        <v>1</v>
      </c>
      <c r="T244" s="42" t="str">
        <f t="shared" ca="1" si="148"/>
        <v>-</v>
      </c>
      <c r="U244" s="42" t="str">
        <f t="shared" si="149"/>
        <v>-</v>
      </c>
      <c r="V244" s="42" t="str">
        <f t="shared" si="150"/>
        <v>-</v>
      </c>
      <c r="W244" s="42" t="str">
        <f t="shared" si="151"/>
        <v>-</v>
      </c>
      <c r="X244" s="42" t="str">
        <f t="shared" si="152"/>
        <v>-</v>
      </c>
      <c r="Y244" s="42" t="str">
        <f t="shared" si="153"/>
        <v>-</v>
      </c>
      <c r="Z244" s="42" t="str">
        <f t="shared" si="154"/>
        <v>-</v>
      </c>
      <c r="AA244" s="42" t="str">
        <f t="shared" si="155"/>
        <v>-</v>
      </c>
      <c r="AB244" s="42" t="str">
        <f t="shared" si="156"/>
        <v>-</v>
      </c>
      <c r="AC244" s="42" t="str">
        <f t="shared" si="157"/>
        <v>-</v>
      </c>
    </row>
    <row r="245" spans="1:29" ht="28.8" outlineLevel="1" x14ac:dyDescent="0.25">
      <c r="A245" s="42" t="s">
        <v>13</v>
      </c>
      <c r="B245" s="321"/>
      <c r="C245" s="49" t="str">
        <f>_xlfn.CONCAT(C244," (",TEXT($O$245,"0.0%")," violation rate)")</f>
        <v>Shifts &gt;3.5 hrs ( violation rate)</v>
      </c>
      <c r="D245" s="195" t="str">
        <f ca="1">IFERROR(ROUND(D244*$O$245,0),"-")</f>
        <v>-</v>
      </c>
      <c r="E245" s="65" t="e">
        <f>ROUND(E244*$O$245,0)</f>
        <v>#VALUE!</v>
      </c>
      <c r="F245" s="65" t="str">
        <f t="shared" ref="F245:M245" si="177">IFERROR(ROUND(F244*$O$245,0),"-")</f>
        <v>-</v>
      </c>
      <c r="G245" s="65" t="str">
        <f t="shared" si="177"/>
        <v>-</v>
      </c>
      <c r="H245" s="65" t="str">
        <f t="shared" si="177"/>
        <v>-</v>
      </c>
      <c r="I245" s="65" t="str">
        <f t="shared" si="177"/>
        <v>-</v>
      </c>
      <c r="J245" s="65" t="str">
        <f t="shared" si="177"/>
        <v>-</v>
      </c>
      <c r="K245" s="65" t="str">
        <f t="shared" si="177"/>
        <v>-</v>
      </c>
      <c r="L245" s="65" t="str">
        <f t="shared" si="177"/>
        <v>-</v>
      </c>
      <c r="M245" s="155" t="str">
        <f t="shared" si="177"/>
        <v>-</v>
      </c>
      <c r="N245" s="280" t="s">
        <v>584</v>
      </c>
      <c r="O245" s="279" t="str">
        <f>$Q$95</f>
        <v/>
      </c>
      <c r="Q245" s="75" t="str">
        <f t="shared" si="146"/>
        <v/>
      </c>
      <c r="R245" s="76" t="e">
        <f t="shared" si="147"/>
        <v>#VALUE!</v>
      </c>
      <c r="S245" s="64">
        <f t="shared" si="126"/>
        <v>1</v>
      </c>
      <c r="T245" s="42" t="str">
        <f t="shared" ca="1" si="148"/>
        <v>-</v>
      </c>
      <c r="U245" s="42" t="e">
        <f t="shared" si="149"/>
        <v>#VALUE!</v>
      </c>
      <c r="V245" s="42" t="str">
        <f t="shared" si="150"/>
        <v>-</v>
      </c>
      <c r="W245" s="42" t="str">
        <f t="shared" si="151"/>
        <v>-</v>
      </c>
      <c r="X245" s="42" t="str">
        <f t="shared" si="152"/>
        <v>-</v>
      </c>
      <c r="Y245" s="42" t="str">
        <f t="shared" si="153"/>
        <v>-</v>
      </c>
      <c r="Z245" s="42" t="str">
        <f t="shared" si="154"/>
        <v>-</v>
      </c>
      <c r="AA245" s="42" t="str">
        <f t="shared" si="155"/>
        <v>-</v>
      </c>
      <c r="AB245" s="42" t="str">
        <f t="shared" si="156"/>
        <v>-</v>
      </c>
      <c r="AC245" s="42" t="str">
        <f t="shared" si="157"/>
        <v>-</v>
      </c>
    </row>
    <row r="246" spans="1:29" ht="28.8" outlineLevel="1" x14ac:dyDescent="0.25">
      <c r="A246" s="42" t="s">
        <v>13</v>
      </c>
      <c r="B246" s="321"/>
      <c r="C246" s="49" t="s">
        <v>182</v>
      </c>
      <c r="D246" s="204" t="e">
        <f ca="1">D245*D243</f>
        <v>#VALUE!</v>
      </c>
      <c r="E246" s="99">
        <f>SUM(F246:L246)</f>
        <v>0</v>
      </c>
      <c r="F246" s="99" t="str">
        <f t="shared" ref="F246:M246" si="178">IFERROR(F245*F243,"-")</f>
        <v>-</v>
      </c>
      <c r="G246" s="99" t="str">
        <f t="shared" si="178"/>
        <v>-</v>
      </c>
      <c r="H246" s="99" t="str">
        <f t="shared" si="178"/>
        <v>-</v>
      </c>
      <c r="I246" s="99" t="str">
        <f t="shared" si="178"/>
        <v>-</v>
      </c>
      <c r="J246" s="99" t="str">
        <f t="shared" ref="J246:K246" si="179">IFERROR(J245*J243,"-")</f>
        <v>-</v>
      </c>
      <c r="K246" s="99" t="str">
        <f t="shared" si="179"/>
        <v>-</v>
      </c>
      <c r="L246" s="99" t="str">
        <f t="shared" si="178"/>
        <v>-</v>
      </c>
      <c r="M246" s="159" t="str">
        <f t="shared" si="178"/>
        <v>-</v>
      </c>
      <c r="N246" s="96"/>
      <c r="O246" s="74"/>
      <c r="P246" s="100" t="s">
        <v>183</v>
      </c>
      <c r="Q246" s="75" t="str">
        <f t="shared" si="146"/>
        <v/>
      </c>
      <c r="R246" s="76">
        <f t="shared" si="147"/>
        <v>0</v>
      </c>
      <c r="S246" s="64">
        <f t="shared" si="126"/>
        <v>1</v>
      </c>
      <c r="T246" s="42" t="e">
        <f t="shared" ref="T246:T260" ca="1" si="180">IF($S246&lt;&gt;1,"",IF(IFERROR(SEARCH("(",D246),0)=0,D246,VALUE(TRIM(LEFT(D246,SEARCH(" (",D246))))))</f>
        <v>#VALUE!</v>
      </c>
      <c r="U246" s="42">
        <f t="shared" ref="U246:U260" si="181">IF($S246&lt;&gt;1,"",IF(IFERROR(SEARCH("(",E246),0)=0,E246,VALUE(TRIM(LEFT(E246,SEARCH(" (",E246))))))</f>
        <v>0</v>
      </c>
      <c r="V246" s="42" t="str">
        <f t="shared" ref="V246:V260" si="182">IF($S246&lt;&gt;1,"",IF(IFERROR(SEARCH("(",F246),0)=0,F246,VALUE(TRIM(LEFT(F246,SEARCH(" (",F246))))))</f>
        <v>-</v>
      </c>
      <c r="W246" s="42" t="str">
        <f t="shared" si="151"/>
        <v>-</v>
      </c>
      <c r="X246" s="42" t="str">
        <f t="shared" si="152"/>
        <v>-</v>
      </c>
      <c r="Y246" s="42" t="str">
        <f t="shared" si="153"/>
        <v>-</v>
      </c>
      <c r="Z246" s="42" t="str">
        <f t="shared" si="154"/>
        <v>-</v>
      </c>
      <c r="AA246" s="42" t="str">
        <f t="shared" si="155"/>
        <v>-</v>
      </c>
      <c r="AB246" s="42" t="str">
        <f t="shared" si="156"/>
        <v>-</v>
      </c>
      <c r="AC246" s="42" t="str">
        <f t="shared" ref="AC246:AC260" si="183">IF($S246&lt;&gt;1,"",IF(IFERROR(SEARCH("(",M246),0)=0,M246,VALUE(TRIM(LEFT(M246,SEARCH(" (",M246))))))</f>
        <v>-</v>
      </c>
    </row>
    <row r="247" spans="1:29" ht="28.8" outlineLevel="1" x14ac:dyDescent="0.25">
      <c r="A247" s="42" t="s">
        <v>13</v>
      </c>
      <c r="B247" s="321"/>
      <c r="C247" s="49" t="s">
        <v>164</v>
      </c>
      <c r="D247" s="204" t="str">
        <f ca="1">IFERROR(MAX(E247,DATEDIF(AVERAGE(D$4:D$5),ref!$B$3,"M")*(1/12*7%)*D246),"-")</f>
        <v>-</v>
      </c>
      <c r="E247" s="99">
        <f ca="1">SUM(F247:L247)</f>
        <v>0</v>
      </c>
      <c r="F247" s="99" t="str">
        <f ca="1">IFERROR(DATEDIF(AVERAGE(F$4:F$5),ref!$B$3,"M")*(1/12*7%)*F246,"-")</f>
        <v>-</v>
      </c>
      <c r="G247" s="99" t="str">
        <f ca="1">IFERROR(DATEDIF(AVERAGE(G$4:G$5),ref!$B$3,"M")*(1/12*7%)*G246,"-")</f>
        <v>-</v>
      </c>
      <c r="H247" s="99" t="str">
        <f ca="1">IFERROR(DATEDIF(AVERAGE(H$4:H$5),ref!$B$3,"M")*(1/12*7%)*H246,"-")</f>
        <v>-</v>
      </c>
      <c r="I247" s="99" t="str">
        <f ca="1">IFERROR(DATEDIF(AVERAGE(I$4:I$5),ref!$B$3,"M")*(1/12*7%)*I246,"-")</f>
        <v>-</v>
      </c>
      <c r="J247" s="99" t="str">
        <f ca="1">IFERROR(DATEDIF(AVERAGE(J$4:J$5),ref!$B$3,"M")*(1/12*7%)*J246,"-")</f>
        <v>-</v>
      </c>
      <c r="K247" s="99" t="str">
        <f ca="1">IFERROR(DATEDIF(AVERAGE(K$4:K$5),ref!$B$3,"M")*(1/12*7%)*K246,"-")</f>
        <v>-</v>
      </c>
      <c r="L247" s="99" t="str">
        <f ca="1">IFERROR(DATEDIF(AVERAGE(L$4:L$5),ref!$B$3,"M")*(1/12*7%)*L246,"-")</f>
        <v>-</v>
      </c>
      <c r="M247" s="159" t="str">
        <f ca="1">IFERROR(DATEDIF(AVERAGE(M$4:M$5),ref!$B$3,"M")*(1/12*7%)*M246,"-")</f>
        <v>-</v>
      </c>
      <c r="N247" s="96" t="str">
        <f ca="1">_xlfn.CONCAT("Interest calculated thru ",TEXT(ref!$B$3,"m/d/yyyy"),".")</f>
        <v>Interest calculated thru 3/2/2026.</v>
      </c>
      <c r="O247" s="74"/>
      <c r="P247" s="100" t="s">
        <v>184</v>
      </c>
      <c r="Q247" s="75" t="str">
        <f t="shared" ca="1" si="146"/>
        <v/>
      </c>
      <c r="R247" s="76" t="str">
        <f t="shared" si="147"/>
        <v/>
      </c>
      <c r="S247" s="64" t="str">
        <f t="shared" si="126"/>
        <v/>
      </c>
      <c r="T247" s="42" t="str">
        <f t="shared" si="180"/>
        <v/>
      </c>
      <c r="U247" s="42" t="str">
        <f t="shared" si="181"/>
        <v/>
      </c>
      <c r="V247" s="42" t="str">
        <f t="shared" si="182"/>
        <v/>
      </c>
      <c r="W247" s="42" t="str">
        <f t="shared" si="151"/>
        <v/>
      </c>
      <c r="X247" s="42" t="str">
        <f t="shared" si="152"/>
        <v/>
      </c>
      <c r="Y247" s="42" t="str">
        <f t="shared" si="153"/>
        <v/>
      </c>
      <c r="Z247" s="42" t="str">
        <f t="shared" si="154"/>
        <v/>
      </c>
      <c r="AA247" s="42" t="str">
        <f t="shared" si="155"/>
        <v/>
      </c>
      <c r="AB247" s="42" t="str">
        <f t="shared" si="156"/>
        <v/>
      </c>
      <c r="AC247" s="42" t="str">
        <f t="shared" si="183"/>
        <v/>
      </c>
    </row>
    <row r="248" spans="1:29" ht="28.8" outlineLevel="1" x14ac:dyDescent="0.25">
      <c r="A248" s="42" t="s">
        <v>13</v>
      </c>
      <c r="B248" s="322"/>
      <c r="C248" s="49" t="s">
        <v>185</v>
      </c>
      <c r="D248" s="204" t="e">
        <f ca="1">SUM(D246:D247)</f>
        <v>#VALUE!</v>
      </c>
      <c r="E248" s="99">
        <f ca="1">SUM(F248:L248)</f>
        <v>0</v>
      </c>
      <c r="F248" s="99">
        <f t="shared" ref="F248:H248" ca="1" si="184">SUM(F246:F247)</f>
        <v>0</v>
      </c>
      <c r="G248" s="99">
        <f t="shared" ca="1" si="184"/>
        <v>0</v>
      </c>
      <c r="H248" s="99">
        <f t="shared" ca="1" si="184"/>
        <v>0</v>
      </c>
      <c r="I248" s="99">
        <f ca="1">SUM(I246:I247)</f>
        <v>0</v>
      </c>
      <c r="J248" s="99">
        <f ca="1">SUM(J246:J247)</f>
        <v>0</v>
      </c>
      <c r="K248" s="99">
        <f ca="1">SUM(K246:K247)</f>
        <v>0</v>
      </c>
      <c r="L248" s="99">
        <f ca="1">SUM(L246:L247)</f>
        <v>0</v>
      </c>
      <c r="M248" s="159">
        <f ca="1">SUM(M246:M247)</f>
        <v>0</v>
      </c>
      <c r="N248" s="96"/>
      <c r="O248" s="74"/>
      <c r="P248" s="100" t="s">
        <v>186</v>
      </c>
      <c r="Q248" s="75" t="str">
        <f t="shared" ca="1" si="146"/>
        <v/>
      </c>
      <c r="R248" s="76" t="str">
        <f t="shared" si="147"/>
        <v/>
      </c>
      <c r="S248" s="64" t="str">
        <f t="shared" si="126"/>
        <v/>
      </c>
      <c r="T248" s="42" t="str">
        <f t="shared" si="180"/>
        <v/>
      </c>
      <c r="U248" s="42" t="str">
        <f t="shared" si="181"/>
        <v/>
      </c>
      <c r="V248" s="42" t="str">
        <f t="shared" si="182"/>
        <v/>
      </c>
      <c r="W248" s="42" t="str">
        <f t="shared" si="151"/>
        <v/>
      </c>
      <c r="X248" s="42" t="str">
        <f t="shared" si="152"/>
        <v/>
      </c>
      <c r="Y248" s="42" t="str">
        <f t="shared" si="153"/>
        <v/>
      </c>
      <c r="Z248" s="42" t="str">
        <f t="shared" si="154"/>
        <v/>
      </c>
      <c r="AA248" s="42" t="str">
        <f t="shared" si="155"/>
        <v/>
      </c>
      <c r="AB248" s="42" t="str">
        <f t="shared" si="156"/>
        <v/>
      </c>
      <c r="AC248" s="42" t="str">
        <f t="shared" si="183"/>
        <v/>
      </c>
    </row>
    <row r="249" spans="1:29" x14ac:dyDescent="0.25">
      <c r="A249" s="42">
        <v>1</v>
      </c>
      <c r="C249" s="58"/>
      <c r="D249" s="190"/>
      <c r="E249" s="97"/>
      <c r="O249" s="74"/>
      <c r="Q249" s="75" t="str">
        <f t="shared" si="146"/>
        <v/>
      </c>
      <c r="R249" s="76" t="str">
        <f t="shared" si="147"/>
        <v/>
      </c>
      <c r="S249" s="64" t="str">
        <f t="shared" si="126"/>
        <v/>
      </c>
      <c r="T249" s="42" t="str">
        <f t="shared" si="180"/>
        <v/>
      </c>
      <c r="U249" s="42" t="str">
        <f t="shared" si="181"/>
        <v/>
      </c>
      <c r="V249" s="42" t="str">
        <f t="shared" si="182"/>
        <v/>
      </c>
      <c r="W249" s="42" t="str">
        <f t="shared" si="151"/>
        <v/>
      </c>
      <c r="X249" s="42" t="str">
        <f t="shared" si="152"/>
        <v/>
      </c>
      <c r="Y249" s="42" t="str">
        <f t="shared" si="153"/>
        <v/>
      </c>
      <c r="Z249" s="42" t="str">
        <f t="shared" si="154"/>
        <v/>
      </c>
      <c r="AA249" s="42" t="str">
        <f t="shared" si="155"/>
        <v/>
      </c>
      <c r="AB249" s="42" t="str">
        <f t="shared" si="156"/>
        <v/>
      </c>
      <c r="AC249" s="42" t="str">
        <f t="shared" si="183"/>
        <v/>
      </c>
    </row>
    <row r="250" spans="1:29" ht="28.8" outlineLevel="1" x14ac:dyDescent="0.25">
      <c r="A250" s="42" t="s">
        <v>13</v>
      </c>
      <c r="B250" s="320" t="s">
        <v>187</v>
      </c>
      <c r="C250" s="51" t="s">
        <v>73</v>
      </c>
      <c r="D250" s="193">
        <f t="shared" ref="D250:K253" si="185">_xlfn.LET(_xlpm.calc,_xlfn.XLOOKUP($C250,$C:$C,D:D),_xlpm.calc)</f>
        <v>43466</v>
      </c>
      <c r="E250" s="52" t="e">
        <f t="shared" si="185"/>
        <v>#NAME?</v>
      </c>
      <c r="F250" s="52" t="e">
        <f t="shared" si="185"/>
        <v>#NAME?</v>
      </c>
      <c r="G250" s="52" t="e">
        <f t="shared" si="185"/>
        <v>#NAME?</v>
      </c>
      <c r="H250" s="52" t="e">
        <f t="shared" si="185"/>
        <v>#NAME?</v>
      </c>
      <c r="I250" s="52" t="e">
        <f t="shared" si="185"/>
        <v>#NAME?</v>
      </c>
      <c r="J250" s="52" t="e">
        <f t="shared" si="185"/>
        <v>#NAME?</v>
      </c>
      <c r="K250" s="52" t="e">
        <f t="shared" si="185"/>
        <v>#NAME?</v>
      </c>
      <c r="L250" s="52" t="e">
        <f t="shared" ref="L250:M253" si="186">_xlfn.LET(_xlpm.calc,_xlfn.XLOOKUP($C250,$C:$C,L:L),_xlpm.calc)</f>
        <v>#NAME?</v>
      </c>
      <c r="M250" s="154" t="e">
        <f t="shared" si="186"/>
        <v>#NAME?</v>
      </c>
      <c r="N250" s="96"/>
      <c r="O250" s="101">
        <v>1</v>
      </c>
      <c r="Q250" s="75" t="str">
        <f t="shared" si="146"/>
        <v/>
      </c>
      <c r="R250" s="76" t="str">
        <f t="shared" si="147"/>
        <v/>
      </c>
      <c r="S250" s="64" t="str">
        <f t="shared" si="126"/>
        <v/>
      </c>
      <c r="T250" s="42" t="str">
        <f t="shared" si="180"/>
        <v/>
      </c>
      <c r="U250" s="42" t="str">
        <f t="shared" si="181"/>
        <v/>
      </c>
      <c r="V250" s="42" t="str">
        <f t="shared" si="182"/>
        <v/>
      </c>
      <c r="W250" s="42" t="str">
        <f t="shared" si="151"/>
        <v/>
      </c>
      <c r="X250" s="42" t="str">
        <f t="shared" si="152"/>
        <v/>
      </c>
      <c r="Y250" s="42" t="str">
        <f t="shared" si="153"/>
        <v/>
      </c>
      <c r="Z250" s="42" t="str">
        <f t="shared" si="154"/>
        <v/>
      </c>
      <c r="AA250" s="42" t="str">
        <f t="shared" si="155"/>
        <v/>
      </c>
      <c r="AB250" s="42" t="str">
        <f t="shared" si="156"/>
        <v/>
      </c>
      <c r="AC250" s="42" t="str">
        <f t="shared" si="183"/>
        <v/>
      </c>
    </row>
    <row r="251" spans="1:29" ht="28.8" outlineLevel="1" x14ac:dyDescent="0.25">
      <c r="A251" s="42" t="s">
        <v>13</v>
      </c>
      <c r="B251" s="321"/>
      <c r="C251" s="49" t="s">
        <v>74</v>
      </c>
      <c r="D251" s="193">
        <f t="shared" ca="1" si="185"/>
        <v>46083</v>
      </c>
      <c r="E251" s="52" t="e">
        <f t="shared" si="185"/>
        <v>#NAME?</v>
      </c>
      <c r="F251" s="52" t="e">
        <f t="shared" si="185"/>
        <v>#NAME?</v>
      </c>
      <c r="G251" s="52" t="e">
        <f t="shared" si="185"/>
        <v>#NAME?</v>
      </c>
      <c r="H251" s="52" t="e">
        <f t="shared" si="185"/>
        <v>#NAME?</v>
      </c>
      <c r="I251" s="52" t="e">
        <f t="shared" si="185"/>
        <v>#NAME?</v>
      </c>
      <c r="J251" s="52" t="e">
        <f t="shared" si="185"/>
        <v>#NAME?</v>
      </c>
      <c r="K251" s="52" t="e">
        <f t="shared" si="185"/>
        <v>#NAME?</v>
      </c>
      <c r="L251" s="52" t="e">
        <f t="shared" si="186"/>
        <v>#NAME?</v>
      </c>
      <c r="M251" s="154" t="e">
        <f t="shared" si="186"/>
        <v>#NAME?</v>
      </c>
      <c r="N251" s="96"/>
      <c r="O251" s="74"/>
      <c r="Q251" s="75" t="str">
        <f t="shared" si="146"/>
        <v/>
      </c>
      <c r="R251" s="76" t="str">
        <f t="shared" si="147"/>
        <v/>
      </c>
      <c r="S251" s="64" t="str">
        <f t="shared" si="126"/>
        <v/>
      </c>
      <c r="T251" s="42" t="str">
        <f t="shared" si="180"/>
        <v/>
      </c>
      <c r="U251" s="42" t="str">
        <f t="shared" si="181"/>
        <v/>
      </c>
      <c r="V251" s="42" t="str">
        <f t="shared" si="182"/>
        <v/>
      </c>
      <c r="W251" s="42" t="str">
        <f t="shared" si="151"/>
        <v/>
      </c>
      <c r="X251" s="42" t="str">
        <f t="shared" si="152"/>
        <v/>
      </c>
      <c r="Y251" s="42" t="str">
        <f t="shared" si="153"/>
        <v/>
      </c>
      <c r="Z251" s="42" t="str">
        <f t="shared" si="154"/>
        <v/>
      </c>
      <c r="AA251" s="42" t="str">
        <f t="shared" si="155"/>
        <v/>
      </c>
      <c r="AB251" s="42" t="str">
        <f t="shared" si="156"/>
        <v/>
      </c>
      <c r="AC251" s="42" t="str">
        <f t="shared" si="183"/>
        <v/>
      </c>
    </row>
    <row r="252" spans="1:29" ht="28.8" outlineLevel="1" x14ac:dyDescent="0.25">
      <c r="A252" s="42" t="s">
        <v>13</v>
      </c>
      <c r="B252" s="321"/>
      <c r="C252" s="49" t="s">
        <v>75</v>
      </c>
      <c r="D252" s="195">
        <f t="shared" si="185"/>
        <v>0</v>
      </c>
      <c r="E252" s="65">
        <f t="shared" si="185"/>
        <v>0</v>
      </c>
      <c r="F252" s="65">
        <f t="shared" si="185"/>
        <v>0</v>
      </c>
      <c r="G252" s="65">
        <f t="shared" si="185"/>
        <v>0</v>
      </c>
      <c r="H252" s="65">
        <f t="shared" si="185"/>
        <v>0</v>
      </c>
      <c r="I252" s="65">
        <f t="shared" si="185"/>
        <v>0</v>
      </c>
      <c r="J252" s="65">
        <f t="shared" si="185"/>
        <v>0</v>
      </c>
      <c r="K252" s="65">
        <f t="shared" si="185"/>
        <v>0</v>
      </c>
      <c r="L252" s="65">
        <f t="shared" si="186"/>
        <v>0</v>
      </c>
      <c r="M252" s="155">
        <f t="shared" si="186"/>
        <v>0</v>
      </c>
      <c r="N252" s="96"/>
      <c r="O252" s="74"/>
      <c r="Q252" s="75" t="str">
        <f t="shared" si="146"/>
        <v/>
      </c>
      <c r="R252" s="76" t="str">
        <f t="shared" si="147"/>
        <v/>
      </c>
      <c r="S252" s="64" t="str">
        <f t="shared" si="126"/>
        <v/>
      </c>
      <c r="T252" s="42" t="str">
        <f t="shared" si="180"/>
        <v/>
      </c>
      <c r="U252" s="42" t="str">
        <f t="shared" si="181"/>
        <v/>
      </c>
      <c r="V252" s="42" t="str">
        <f t="shared" si="182"/>
        <v/>
      </c>
      <c r="W252" s="42" t="str">
        <f t="shared" si="151"/>
        <v/>
      </c>
      <c r="X252" s="42" t="str">
        <f t="shared" si="152"/>
        <v/>
      </c>
      <c r="Y252" s="42" t="str">
        <f t="shared" si="153"/>
        <v/>
      </c>
      <c r="Z252" s="42" t="str">
        <f t="shared" si="154"/>
        <v/>
      </c>
      <c r="AA252" s="42" t="str">
        <f t="shared" si="155"/>
        <v/>
      </c>
      <c r="AB252" s="42" t="str">
        <f t="shared" si="156"/>
        <v/>
      </c>
      <c r="AC252" s="42" t="str">
        <f t="shared" si="183"/>
        <v/>
      </c>
    </row>
    <row r="253" spans="1:29" ht="28.8" outlineLevel="1" x14ac:dyDescent="0.25">
      <c r="A253" s="42" t="s">
        <v>13</v>
      </c>
      <c r="B253" s="321"/>
      <c r="C253" s="49" t="s">
        <v>77</v>
      </c>
      <c r="D253" s="195" t="e">
        <f t="shared" ca="1" si="185"/>
        <v>#NAME?</v>
      </c>
      <c r="E253" s="65">
        <f t="shared" si="185"/>
        <v>0</v>
      </c>
      <c r="F253" s="65">
        <f t="shared" si="185"/>
        <v>0</v>
      </c>
      <c r="G253" s="65">
        <f t="shared" si="185"/>
        <v>0</v>
      </c>
      <c r="H253" s="65">
        <f t="shared" si="185"/>
        <v>0</v>
      </c>
      <c r="I253" s="65">
        <f t="shared" si="185"/>
        <v>0</v>
      </c>
      <c r="J253" s="65">
        <f t="shared" si="185"/>
        <v>0</v>
      </c>
      <c r="K253" s="65">
        <f t="shared" si="185"/>
        <v>0</v>
      </c>
      <c r="L253" s="65">
        <f t="shared" si="186"/>
        <v>0</v>
      </c>
      <c r="M253" s="155">
        <f t="shared" si="186"/>
        <v>0</v>
      </c>
      <c r="N253" s="96"/>
      <c r="O253" s="74"/>
      <c r="Q253" s="75" t="str">
        <f t="shared" si="146"/>
        <v/>
      </c>
      <c r="R253" s="76">
        <f t="shared" si="147"/>
        <v>0</v>
      </c>
      <c r="S253" s="64">
        <f t="shared" si="126"/>
        <v>1</v>
      </c>
      <c r="T253" s="42" t="e">
        <f t="shared" ca="1" si="180"/>
        <v>#NAME?</v>
      </c>
      <c r="U253" s="42">
        <f t="shared" si="181"/>
        <v>0</v>
      </c>
      <c r="V253" s="42">
        <f t="shared" si="182"/>
        <v>0</v>
      </c>
      <c r="W253" s="42">
        <f t="shared" si="151"/>
        <v>0</v>
      </c>
      <c r="X253" s="42">
        <f t="shared" si="152"/>
        <v>0</v>
      </c>
      <c r="Y253" s="42">
        <f t="shared" si="153"/>
        <v>0</v>
      </c>
      <c r="Z253" s="42">
        <f t="shared" si="154"/>
        <v>0</v>
      </c>
      <c r="AA253" s="42">
        <f t="shared" si="155"/>
        <v>0</v>
      </c>
      <c r="AB253" s="42">
        <f t="shared" si="156"/>
        <v>0</v>
      </c>
      <c r="AC253" s="42">
        <f t="shared" si="183"/>
        <v>0</v>
      </c>
    </row>
    <row r="254" spans="1:29" s="103" customFormat="1" outlineLevel="1" x14ac:dyDescent="0.25">
      <c r="A254" s="42">
        <v>1</v>
      </c>
      <c r="B254" s="321"/>
      <c r="C254" s="281" t="s">
        <v>686</v>
      </c>
      <c r="D254" s="283" t="e">
        <f ca="1">E254/E$253*D$253</f>
        <v>#NAME?</v>
      </c>
      <c r="E254" s="284" t="e">
        <f t="shared" ref="E254:E260" si="187">SUM(F254:L254)</f>
        <v>#NAME?</v>
      </c>
      <c r="F254" s="284" t="e" cm="1">
        <f t="array" ref="F254">IF($O$250=0,0,SUMIFS(OT_Underpayment,Pay_Period_End,"&gt;="&amp;F$250,Pay_Period_End,"&lt;="&amp;F$251,Pay_Key_Gps,"*"&amp;F$1&amp;"*",Pay_pp,1))</f>
        <v>#NAME?</v>
      </c>
      <c r="G254" s="284" t="e" cm="1">
        <f t="array" ref="G254">IF($O$250=0,0,SUMIFS(OT_Underpayment,Pay_Period_End,"&gt;="&amp;G$250,Pay_Period_End,"&lt;="&amp;G$251,Pay_Key_Gps,"*"&amp;G$1&amp;"*",Pay_pp,1))</f>
        <v>#NAME?</v>
      </c>
      <c r="H254" s="284" t="e" cm="1">
        <f t="array" ref="H254">IF($O$250=0,0,SUMIFS(OT_Underpayment,Pay_Period_End,"&gt;="&amp;H$250,Pay_Period_End,"&lt;="&amp;H$251,Pay_Key_Gps,"*"&amp;H$1&amp;"*",Pay_pp,1))</f>
        <v>#NAME?</v>
      </c>
      <c r="I254" s="284" t="e" cm="1">
        <f t="array" ref="I254">IF($O$250=0,0,SUMIFS(OT_Underpayment,Pay_Period_End,"&gt;="&amp;I$250,Pay_Period_End,"&lt;="&amp;I$251,Pay_Key_Gps,"*"&amp;I$1&amp;"*",Pay_pp,1))</f>
        <v>#NAME?</v>
      </c>
      <c r="J254" s="284" t="e" cm="1">
        <f t="array" ref="J254">IF($O$250=0,0,SUMIFS(OT_Underpayment,Pay_Period_End,"&gt;="&amp;J$250,Pay_Period_End,"&lt;="&amp;J$251,Pay_Key_Gps,"*"&amp;J$1&amp;"*",Pay_pp,1))</f>
        <v>#NAME?</v>
      </c>
      <c r="K254" s="284" t="e" cm="1">
        <f t="array" ref="K254">IF($O$250=0,0,SUMIFS(OT_Underpayment,Pay_Period_End,"&gt;="&amp;K$250,Pay_Period_End,"&lt;="&amp;K$251,Pay_Key_Gps,"*"&amp;K$1&amp;"*",Pay_pp,1))</f>
        <v>#NAME?</v>
      </c>
      <c r="L254" s="284" t="e" cm="1">
        <f t="array" ref="L254">IF($O$250=0,0,SUMIFS(OT_Underpayment,Pay_Period_End,"&gt;="&amp;L$250,Pay_Period_End,"&lt;="&amp;L$251,Pay_Key_Gps,"*"&amp;L$1&amp;"*",Pay_pp,1))</f>
        <v>#NAME?</v>
      </c>
      <c r="M254" s="285" t="e" cm="1">
        <f t="array" ref="M254">IF($O$250=0,0,SUMIFS(OT_Underpayment,Pay_Period_End,"&gt;="&amp;M$250,Pay_Period_End,"&lt;="&amp;M$251,Pay_Key_Gps,"*"&amp;M$1&amp;"*",Pay_pp,1))</f>
        <v>#NAME?</v>
      </c>
      <c r="N254" s="272"/>
      <c r="O254" s="282"/>
      <c r="P254" s="100"/>
      <c r="Q254" s="75" t="str">
        <f t="shared" si="146"/>
        <v/>
      </c>
      <c r="R254" s="76" t="e">
        <f t="shared" si="147"/>
        <v>#NAME?</v>
      </c>
      <c r="S254" s="64">
        <f t="shared" si="126"/>
        <v>1</v>
      </c>
      <c r="T254" s="42" t="e">
        <f t="shared" ca="1" si="180"/>
        <v>#NAME?</v>
      </c>
      <c r="U254" s="42" t="e">
        <f t="shared" si="181"/>
        <v>#NAME?</v>
      </c>
      <c r="V254" s="42" t="e">
        <f t="shared" si="182"/>
        <v>#NAME?</v>
      </c>
      <c r="W254" s="42" t="e">
        <f t="shared" si="151"/>
        <v>#NAME?</v>
      </c>
      <c r="X254" s="42" t="e">
        <f t="shared" si="152"/>
        <v>#NAME?</v>
      </c>
      <c r="Y254" s="42" t="e">
        <f t="shared" si="153"/>
        <v>#NAME?</v>
      </c>
      <c r="Z254" s="42" t="e">
        <f t="shared" si="154"/>
        <v>#NAME?</v>
      </c>
      <c r="AA254" s="42" t="e">
        <f t="shared" si="155"/>
        <v>#NAME?</v>
      </c>
      <c r="AB254" s="42" t="e">
        <f t="shared" si="156"/>
        <v>#NAME?</v>
      </c>
      <c r="AC254" s="42" t="e">
        <f t="shared" si="183"/>
        <v>#NAME?</v>
      </c>
    </row>
    <row r="255" spans="1:29" s="103" customFormat="1" outlineLevel="1" x14ac:dyDescent="0.25">
      <c r="A255" s="42">
        <v>1</v>
      </c>
      <c r="B255" s="321"/>
      <c r="C255" s="281" t="s">
        <v>687</v>
      </c>
      <c r="D255" s="283" t="e">
        <f ca="1">E255/E$253*D$253</f>
        <v>#NAME?</v>
      </c>
      <c r="E255" s="284" t="e">
        <f t="shared" si="187"/>
        <v>#NAME?</v>
      </c>
      <c r="F255" s="284" t="e" cm="1">
        <f t="array" ref="F255">IF($O$250=0,0,SUMIFS(DT_Underpayment,Pay_Period_End,"&gt;="&amp;F$250,Pay_Period_End,"&lt;="&amp;F$251,Pay_Key_Gps,"*"&amp;F$1&amp;"*",Pay_pp,1))</f>
        <v>#NAME?</v>
      </c>
      <c r="G255" s="284" t="e" cm="1">
        <f t="array" ref="G255">IF($O$250=0,0,SUMIFS(DT_Underpayment,Pay_Period_End,"&gt;="&amp;G$250,Pay_Period_End,"&lt;="&amp;G$251,Pay_Key_Gps,"*"&amp;G$1&amp;"*",Pay_pp,1))</f>
        <v>#NAME?</v>
      </c>
      <c r="H255" s="284" t="e" cm="1">
        <f t="array" ref="H255">IF($O$250=0,0,SUMIFS(DT_Underpayment,Pay_Period_End,"&gt;="&amp;H$250,Pay_Period_End,"&lt;="&amp;H$251,Pay_Key_Gps,"*"&amp;H$1&amp;"*",Pay_pp,1))</f>
        <v>#NAME?</v>
      </c>
      <c r="I255" s="284" t="e" cm="1">
        <f t="array" ref="I255">IF($O$250=0,0,SUMIFS(DT_Underpayment,Pay_Period_End,"&gt;="&amp;I$250,Pay_Period_End,"&lt;="&amp;I$251,Pay_Key_Gps,"*"&amp;I$1&amp;"*",Pay_pp,1))</f>
        <v>#NAME?</v>
      </c>
      <c r="J255" s="284" t="e" cm="1">
        <f t="array" ref="J255">IF($O$250=0,0,SUMIFS(DT_Underpayment,Pay_Period_End,"&gt;="&amp;J$250,Pay_Period_End,"&lt;="&amp;J$251,Pay_Key_Gps,"*"&amp;J$1&amp;"*",Pay_pp,1))</f>
        <v>#NAME?</v>
      </c>
      <c r="K255" s="284" t="e" cm="1">
        <f t="array" ref="K255">IF($O$250=0,0,SUMIFS(DT_Underpayment,Pay_Period_End,"&gt;="&amp;K$250,Pay_Period_End,"&lt;="&amp;K$251,Pay_Key_Gps,"*"&amp;K$1&amp;"*",Pay_pp,1))</f>
        <v>#NAME?</v>
      </c>
      <c r="L255" s="284" t="e" cm="1">
        <f t="array" ref="L255">IF($O$250=0,0,SUMIFS(DT_Underpayment,Pay_Period_End,"&gt;="&amp;L$250,Pay_Period_End,"&lt;="&amp;L$251,Pay_Key_Gps,"*"&amp;L$1&amp;"*",Pay_pp,1))</f>
        <v>#NAME?</v>
      </c>
      <c r="M255" s="285" t="e" cm="1">
        <f t="array" ref="M255">IF($O$250=0,0,SUMIFS(DT_Underpayment,Pay_Period_End,"&gt;="&amp;M$250,Pay_Period_End,"&lt;="&amp;M$251,Pay_Key_Gps,"*"&amp;M$1&amp;"*",Pay_pp,1))</f>
        <v>#NAME?</v>
      </c>
      <c r="N255" s="272"/>
      <c r="O255" s="282"/>
      <c r="P255" s="100"/>
      <c r="Q255" s="75" t="str">
        <f t="shared" si="146"/>
        <v/>
      </c>
      <c r="R255" s="76" t="e">
        <f t="shared" si="147"/>
        <v>#NAME?</v>
      </c>
      <c r="S255" s="64">
        <f t="shared" si="126"/>
        <v>1</v>
      </c>
      <c r="T255" s="42" t="e">
        <f t="shared" ca="1" si="180"/>
        <v>#NAME?</v>
      </c>
      <c r="U255" s="42" t="e">
        <f t="shared" si="181"/>
        <v>#NAME?</v>
      </c>
      <c r="V255" s="42" t="e">
        <f t="shared" si="182"/>
        <v>#NAME?</v>
      </c>
      <c r="W255" s="42" t="e">
        <f t="shared" si="151"/>
        <v>#NAME?</v>
      </c>
      <c r="X255" s="42" t="e">
        <f t="shared" si="152"/>
        <v>#NAME?</v>
      </c>
      <c r="Y255" s="42" t="e">
        <f t="shared" si="153"/>
        <v>#NAME?</v>
      </c>
      <c r="Z255" s="42" t="e">
        <f t="shared" si="154"/>
        <v>#NAME?</v>
      </c>
      <c r="AA255" s="42" t="e">
        <f t="shared" si="155"/>
        <v>#NAME?</v>
      </c>
      <c r="AB255" s="42" t="e">
        <f t="shared" si="156"/>
        <v>#NAME?</v>
      </c>
      <c r="AC255" s="42" t="e">
        <f t="shared" si="183"/>
        <v>#NAME?</v>
      </c>
    </row>
    <row r="256" spans="1:29" s="103" customFormat="1" outlineLevel="1" x14ac:dyDescent="0.25">
      <c r="A256" s="42">
        <v>1</v>
      </c>
      <c r="B256" s="321"/>
      <c r="C256" s="281" t="s">
        <v>688</v>
      </c>
      <c r="D256" s="283" t="e">
        <f ca="1">E256/E$253*D$253</f>
        <v>#NAME?</v>
      </c>
      <c r="E256" s="284" t="e">
        <f t="shared" si="187"/>
        <v>#NAME?</v>
      </c>
      <c r="F256" s="284" t="e" cm="1">
        <f t="array" ref="F256">IF($O$250=0,0,SUMIFS(Meal_Underpayment,Pay_Period_End,"&gt;="&amp;F$250,Pay_Period_End,"&lt;="&amp;F$251,Pay_Key_Gps,"*"&amp;F$1&amp;"*",Pay_pp,1))</f>
        <v>#NAME?</v>
      </c>
      <c r="G256" s="284" t="e" cm="1">
        <f t="array" ref="G256">IF($O$250=0,0,SUMIFS(Meal_Underpayment,Pay_Period_End,"&gt;="&amp;G$250,Pay_Period_End,"&lt;="&amp;G$251,Pay_Key_Gps,"*"&amp;G$1&amp;"*",Pay_pp,1))</f>
        <v>#NAME?</v>
      </c>
      <c r="H256" s="284" t="e" cm="1">
        <f t="array" ref="H256">IF($O$250=0,0,SUMIFS(Meal_Underpayment,Pay_Period_End,"&gt;="&amp;H$250,Pay_Period_End,"&lt;="&amp;H$251,Pay_Key_Gps,"*"&amp;H$1&amp;"*",Pay_pp,1))</f>
        <v>#NAME?</v>
      </c>
      <c r="I256" s="284" t="e" cm="1">
        <f t="array" ref="I256">IF($O$250=0,0,SUMIFS(Meal_Underpayment,Pay_Period_End,"&gt;="&amp;I$250,Pay_Period_End,"&lt;="&amp;I$251,Pay_Key_Gps,"*"&amp;I$1&amp;"*",Pay_pp,1))</f>
        <v>#NAME?</v>
      </c>
      <c r="J256" s="284" t="e" cm="1">
        <f t="array" ref="J256">IF($O$250=0,0,SUMIFS(Meal_Underpayment,Pay_Period_End,"&gt;="&amp;J$250,Pay_Period_End,"&lt;="&amp;J$251,Pay_Key_Gps,"*"&amp;J$1&amp;"*",Pay_pp,1))</f>
        <v>#NAME?</v>
      </c>
      <c r="K256" s="284" t="e" cm="1">
        <f t="array" ref="K256">IF($O$250=0,0,SUMIFS(Meal_Underpayment,Pay_Period_End,"&gt;="&amp;K$250,Pay_Period_End,"&lt;="&amp;K$251,Pay_Key_Gps,"*"&amp;K$1&amp;"*",Pay_pp,1))</f>
        <v>#NAME?</v>
      </c>
      <c r="L256" s="284" t="e" cm="1">
        <f t="array" ref="L256">IF($O$250=0,0,SUMIFS(Meal_Underpayment,Pay_Period_End,"&gt;="&amp;L$250,Pay_Period_End,"&lt;="&amp;L$251,Pay_Key_Gps,"*"&amp;L$1&amp;"*",Pay_pp,1))</f>
        <v>#NAME?</v>
      </c>
      <c r="M256" s="285" t="e" cm="1">
        <f t="array" ref="M256">IF($O$250=0,0,SUMIFS(Meal_Underpayment,Pay_Period_End,"&gt;="&amp;M$250,Pay_Period_End,"&lt;="&amp;M$251,Pay_Key_Gps,"*"&amp;M$1&amp;"*",Pay_pp,1))</f>
        <v>#NAME?</v>
      </c>
      <c r="N256" s="272"/>
      <c r="O256" s="282"/>
      <c r="P256" s="100"/>
      <c r="Q256" s="75" t="str">
        <f t="shared" si="146"/>
        <v/>
      </c>
      <c r="R256" s="76" t="e">
        <f t="shared" si="147"/>
        <v>#NAME?</v>
      </c>
      <c r="S256" s="64">
        <f t="shared" si="126"/>
        <v>1</v>
      </c>
      <c r="T256" s="42" t="e">
        <f t="shared" ca="1" si="180"/>
        <v>#NAME?</v>
      </c>
      <c r="U256" s="42" t="e">
        <f t="shared" si="181"/>
        <v>#NAME?</v>
      </c>
      <c r="V256" s="42" t="e">
        <f t="shared" si="182"/>
        <v>#NAME?</v>
      </c>
      <c r="W256" s="42" t="e">
        <f t="shared" si="151"/>
        <v>#NAME?</v>
      </c>
      <c r="X256" s="42" t="e">
        <f t="shared" si="152"/>
        <v>#NAME?</v>
      </c>
      <c r="Y256" s="42" t="e">
        <f t="shared" si="153"/>
        <v>#NAME?</v>
      </c>
      <c r="Z256" s="42" t="e">
        <f t="shared" si="154"/>
        <v>#NAME?</v>
      </c>
      <c r="AA256" s="42" t="e">
        <f t="shared" si="155"/>
        <v>#NAME?</v>
      </c>
      <c r="AB256" s="42" t="e">
        <f t="shared" si="156"/>
        <v>#NAME?</v>
      </c>
      <c r="AC256" s="42" t="e">
        <f t="shared" si="183"/>
        <v>#NAME?</v>
      </c>
    </row>
    <row r="257" spans="1:29" s="103" customFormat="1" outlineLevel="1" x14ac:dyDescent="0.25">
      <c r="A257" s="42">
        <v>1</v>
      </c>
      <c r="B257" s="321"/>
      <c r="C257" s="281" t="s">
        <v>689</v>
      </c>
      <c r="D257" s="283" t="e">
        <f ca="1">E257/E$253*D$253</f>
        <v>#NAME?</v>
      </c>
      <c r="E257" s="284" t="e">
        <f t="shared" si="187"/>
        <v>#NAME?</v>
      </c>
      <c r="F257" s="284" t="e" cm="1">
        <f t="array" ref="F257">IF($O$250=0,0,SUMIFS(Rest_Underpayment,Pay_Period_End,"&gt;="&amp;F$250,Pay_Period_End,"&lt;="&amp;F$251,Pay_Key_Gps,"*"&amp;F$1&amp;"*",Pay_pp,1))</f>
        <v>#NAME?</v>
      </c>
      <c r="G257" s="284" t="e" cm="1">
        <f t="array" ref="G257">IF($O$250=0,0,SUMIFS(Rest_Underpayment,Pay_Period_End,"&gt;="&amp;G$250,Pay_Period_End,"&lt;="&amp;G$251,Pay_Key_Gps,"*"&amp;G$1&amp;"*",Pay_pp,1))</f>
        <v>#NAME?</v>
      </c>
      <c r="H257" s="284" t="e" cm="1">
        <f t="array" ref="H257">IF($O$250=0,0,SUMIFS(Rest_Underpayment,Pay_Period_End,"&gt;="&amp;H$250,Pay_Period_End,"&lt;="&amp;H$251,Pay_Key_Gps,"*"&amp;H$1&amp;"*",Pay_pp,1))</f>
        <v>#NAME?</v>
      </c>
      <c r="I257" s="284" t="e" cm="1">
        <f t="array" ref="I257">IF($O$250=0,0,SUMIFS(Rest_Underpayment,Pay_Period_End,"&gt;="&amp;I$250,Pay_Period_End,"&lt;="&amp;I$251,Pay_Key_Gps,"*"&amp;I$1&amp;"*",Pay_pp,1))</f>
        <v>#NAME?</v>
      </c>
      <c r="J257" s="284" t="e" cm="1">
        <f t="array" ref="J257">IF($O$250=0,0,SUMIFS(Rest_Underpayment,Pay_Period_End,"&gt;="&amp;J$250,Pay_Period_End,"&lt;="&amp;J$251,Pay_Key_Gps,"*"&amp;J$1&amp;"*",Pay_pp,1))</f>
        <v>#NAME?</v>
      </c>
      <c r="K257" s="284" t="e" cm="1">
        <f t="array" ref="K257">IF($O$250=0,0,SUMIFS(Rest_Underpayment,Pay_Period_End,"&gt;="&amp;K$250,Pay_Period_End,"&lt;="&amp;K$251,Pay_Key_Gps,"*"&amp;K$1&amp;"*",Pay_pp,1))</f>
        <v>#NAME?</v>
      </c>
      <c r="L257" s="284" t="e" cm="1">
        <f t="array" ref="L257">IF($O$250=0,0,SUMIFS(Rest_Underpayment,Pay_Period_End,"&gt;="&amp;L$250,Pay_Period_End,"&lt;="&amp;L$251,Pay_Key_Gps,"*"&amp;L$1&amp;"*",Pay_pp,1))</f>
        <v>#NAME?</v>
      </c>
      <c r="M257" s="285" t="e" cm="1">
        <f t="array" ref="M257">IF($O$250=0,0,SUMIFS(Rest_Underpayment,Pay_Period_End,"&gt;="&amp;M$250,Pay_Period_End,"&lt;="&amp;M$251,Pay_Key_Gps,"*"&amp;M$1&amp;"*",Pay_pp,1))</f>
        <v>#NAME?</v>
      </c>
      <c r="N257" s="272"/>
      <c r="O257" s="282"/>
      <c r="P257" s="100"/>
      <c r="Q257" s="75" t="str">
        <f t="shared" si="146"/>
        <v/>
      </c>
      <c r="R257" s="76" t="e">
        <f t="shared" si="147"/>
        <v>#NAME?</v>
      </c>
      <c r="S257" s="64">
        <f t="shared" si="126"/>
        <v>1</v>
      </c>
      <c r="T257" s="42" t="e">
        <f t="shared" ca="1" si="180"/>
        <v>#NAME?</v>
      </c>
      <c r="U257" s="42" t="e">
        <f t="shared" si="181"/>
        <v>#NAME?</v>
      </c>
      <c r="V257" s="42" t="e">
        <f t="shared" si="182"/>
        <v>#NAME?</v>
      </c>
      <c r="W257" s="42" t="e">
        <f t="shared" si="151"/>
        <v>#NAME?</v>
      </c>
      <c r="X257" s="42" t="e">
        <f t="shared" si="152"/>
        <v>#NAME?</v>
      </c>
      <c r="Y257" s="42" t="e">
        <f t="shared" si="153"/>
        <v>#NAME?</v>
      </c>
      <c r="Z257" s="42" t="e">
        <f t="shared" si="154"/>
        <v>#NAME?</v>
      </c>
      <c r="AA257" s="42" t="e">
        <f t="shared" si="155"/>
        <v>#NAME?</v>
      </c>
      <c r="AB257" s="42" t="e">
        <f t="shared" si="156"/>
        <v>#NAME?</v>
      </c>
      <c r="AC257" s="42" t="e">
        <f t="shared" si="183"/>
        <v>#NAME?</v>
      </c>
    </row>
    <row r="258" spans="1:29" s="103" customFormat="1" outlineLevel="1" x14ac:dyDescent="0.25">
      <c r="A258" s="42">
        <v>1</v>
      </c>
      <c r="B258" s="321"/>
      <c r="C258" s="281" t="s">
        <v>690</v>
      </c>
      <c r="D258" s="283" t="e">
        <f ca="1">E258/E$253*D$253</f>
        <v>#NAME?</v>
      </c>
      <c r="E258" s="284" t="e">
        <f t="shared" si="187"/>
        <v>#NAME?</v>
      </c>
      <c r="F258" s="284" t="e" cm="1">
        <f t="array" ref="F258">IF($O$250=0,0,SUMIFS(Sick_Underpayment,Pay_Period_End,"&gt;="&amp;F$250,Pay_Period_End,"&lt;="&amp;F$251,Pay_Key_Gps,"*"&amp;F$1&amp;"*",Pay_pp,1))</f>
        <v>#NAME?</v>
      </c>
      <c r="G258" s="284" t="e" cm="1">
        <f t="array" ref="G258">IF($O$250=0,0,SUMIFS(Sick_Underpayment,Pay_Period_End,"&gt;="&amp;G$250,Pay_Period_End,"&lt;="&amp;G$251,Pay_Key_Gps,"*"&amp;G$1&amp;"*",Pay_pp,1))</f>
        <v>#NAME?</v>
      </c>
      <c r="H258" s="284" t="e" cm="1">
        <f t="array" ref="H258">IF($O$250=0,0,SUMIFS(Sick_Underpayment,Pay_Period_End,"&gt;="&amp;H$250,Pay_Period_End,"&lt;="&amp;H$251,Pay_Key_Gps,"*"&amp;H$1&amp;"*",Pay_pp,1))</f>
        <v>#NAME?</v>
      </c>
      <c r="I258" s="284" t="e" cm="1">
        <f t="array" ref="I258">IF($O$250=0,0,SUMIFS(Sick_Underpayment,Pay_Period_End,"&gt;="&amp;I$250,Pay_Period_End,"&lt;="&amp;I$251,Pay_Key_Gps,"*"&amp;I$1&amp;"*",Pay_pp,1))</f>
        <v>#NAME?</v>
      </c>
      <c r="J258" s="284" t="e" cm="1">
        <f t="array" ref="J258">IF($O$250=0,0,SUMIFS(Sick_Underpayment,Pay_Period_End,"&gt;="&amp;J$250,Pay_Period_End,"&lt;="&amp;J$251,Pay_Key_Gps,"*"&amp;J$1&amp;"*",Pay_pp,1))</f>
        <v>#NAME?</v>
      </c>
      <c r="K258" s="284" t="e" cm="1">
        <f t="array" ref="K258">IF($O$250=0,0,SUMIFS(Sick_Underpayment,Pay_Period_End,"&gt;="&amp;K$250,Pay_Period_End,"&lt;="&amp;K$251,Pay_Key_Gps,"*"&amp;K$1&amp;"*",Pay_pp,1))</f>
        <v>#NAME?</v>
      </c>
      <c r="L258" s="284" t="e" cm="1">
        <f t="array" ref="L258">IF($O$250=0,0,SUMIFS(Sick_Underpayment,Pay_Period_End,"&gt;="&amp;L$250,Pay_Period_End,"&lt;="&amp;L$251,Pay_Key_Gps,"*"&amp;L$1&amp;"*",Pay_pp,1))</f>
        <v>#NAME?</v>
      </c>
      <c r="M258" s="285" t="e" cm="1">
        <f t="array" ref="M258">IF($O$250=0,0,SUMIFS(Sick_Underpayment,Pay_Period_End,"&gt;="&amp;M$250,Pay_Period_End,"&lt;="&amp;M$251,Pay_Key_Gps,"*"&amp;M$1&amp;"*",Pay_pp,1))</f>
        <v>#NAME?</v>
      </c>
      <c r="N258" s="272"/>
      <c r="O258" s="282"/>
      <c r="P258" s="100"/>
      <c r="Q258" s="75" t="str">
        <f t="shared" si="146"/>
        <v/>
      </c>
      <c r="R258" s="76" t="e">
        <f t="shared" si="147"/>
        <v>#NAME?</v>
      </c>
      <c r="S258" s="64">
        <f t="shared" si="126"/>
        <v>1</v>
      </c>
      <c r="T258" s="42" t="e">
        <f t="shared" ca="1" si="180"/>
        <v>#NAME?</v>
      </c>
      <c r="U258" s="42" t="e">
        <f t="shared" si="181"/>
        <v>#NAME?</v>
      </c>
      <c r="V258" s="42" t="e">
        <f t="shared" si="182"/>
        <v>#NAME?</v>
      </c>
      <c r="W258" s="42" t="e">
        <f t="shared" si="151"/>
        <v>#NAME?</v>
      </c>
      <c r="X258" s="42" t="e">
        <f t="shared" si="152"/>
        <v>#NAME?</v>
      </c>
      <c r="Y258" s="42" t="e">
        <f t="shared" si="153"/>
        <v>#NAME?</v>
      </c>
      <c r="Z258" s="42" t="e">
        <f t="shared" si="154"/>
        <v>#NAME?</v>
      </c>
      <c r="AA258" s="42" t="e">
        <f t="shared" si="155"/>
        <v>#NAME?</v>
      </c>
      <c r="AB258" s="42" t="e">
        <f t="shared" si="156"/>
        <v>#NAME?</v>
      </c>
      <c r="AC258" s="42" t="e">
        <f t="shared" si="183"/>
        <v>#NAME?</v>
      </c>
    </row>
    <row r="259" spans="1:29" s="103" customFormat="1" ht="28.8" outlineLevel="1" x14ac:dyDescent="0.25">
      <c r="A259" s="100" t="s">
        <v>13</v>
      </c>
      <c r="B259" s="321"/>
      <c r="C259" s="62" t="s">
        <v>692</v>
      </c>
      <c r="D259" s="204" t="e">
        <f ca="1">SUM(D254:D258)</f>
        <v>#NAME?</v>
      </c>
      <c r="E259" s="99" t="e">
        <f>SUM(F259:L259)</f>
        <v>#NAME?</v>
      </c>
      <c r="F259" s="99" t="e">
        <f t="shared" ref="F259:M259" si="188">SUM(F254:F258)</f>
        <v>#NAME?</v>
      </c>
      <c r="G259" s="99" t="e">
        <f t="shared" si="188"/>
        <v>#NAME?</v>
      </c>
      <c r="H259" s="99" t="e">
        <f t="shared" si="188"/>
        <v>#NAME?</v>
      </c>
      <c r="I259" s="99" t="e">
        <f t="shared" si="188"/>
        <v>#NAME?</v>
      </c>
      <c r="J259" s="99" t="e">
        <f t="shared" si="188"/>
        <v>#NAME?</v>
      </c>
      <c r="K259" s="99" t="e">
        <f t="shared" ref="K259" si="189">SUM(K254:K258)</f>
        <v>#NAME?</v>
      </c>
      <c r="L259" s="99" t="e">
        <f t="shared" si="188"/>
        <v>#NAME?</v>
      </c>
      <c r="M259" s="159" t="e">
        <f t="shared" si="188"/>
        <v>#NAME?</v>
      </c>
      <c r="N259" s="53"/>
      <c r="O259" s="74"/>
      <c r="P259" s="100" t="s">
        <v>183</v>
      </c>
      <c r="Q259" s="75" t="str">
        <f t="shared" si="146"/>
        <v/>
      </c>
      <c r="R259" s="76" t="str">
        <f t="shared" si="147"/>
        <v/>
      </c>
      <c r="S259" s="64" t="str">
        <f t="shared" si="126"/>
        <v/>
      </c>
      <c r="T259" s="42" t="str">
        <f t="shared" si="180"/>
        <v/>
      </c>
      <c r="U259" s="42" t="str">
        <f t="shared" si="181"/>
        <v/>
      </c>
      <c r="V259" s="42" t="str">
        <f t="shared" si="182"/>
        <v/>
      </c>
      <c r="W259" s="42" t="str">
        <f t="shared" si="151"/>
        <v/>
      </c>
      <c r="X259" s="42" t="str">
        <f t="shared" si="152"/>
        <v/>
      </c>
      <c r="Y259" s="42" t="str">
        <f t="shared" si="153"/>
        <v/>
      </c>
      <c r="Z259" s="42" t="str">
        <f t="shared" si="154"/>
        <v/>
      </c>
      <c r="AA259" s="42" t="str">
        <f t="shared" si="155"/>
        <v/>
      </c>
      <c r="AB259" s="42" t="str">
        <f t="shared" si="156"/>
        <v/>
      </c>
      <c r="AC259" s="42" t="str">
        <f t="shared" si="183"/>
        <v/>
      </c>
    </row>
    <row r="260" spans="1:29" s="103" customFormat="1" ht="28.8" outlineLevel="1" x14ac:dyDescent="0.25">
      <c r="A260" s="100" t="s">
        <v>13</v>
      </c>
      <c r="B260" s="321"/>
      <c r="C260" s="62" t="s">
        <v>164</v>
      </c>
      <c r="D260" s="204" t="str">
        <f ca="1">IFERROR(MAX(E260,DATEDIF(AVERAGE(D$4:D$5),ref!$B$3,"M")*(1/12*7%)*D259),"-")</f>
        <v>-</v>
      </c>
      <c r="E260" s="99">
        <f t="shared" ca="1" si="187"/>
        <v>0</v>
      </c>
      <c r="F260" s="99" t="str">
        <f ca="1">IFERROR(MAX(G260,DATEDIF(AVERAGE(F$4:F$5),ref!$B$3,"M")*(1/12*7%)*F259),"-")</f>
        <v>-</v>
      </c>
      <c r="G260" s="99" t="str">
        <f ca="1">IFERROR(MAX(H260,DATEDIF(AVERAGE(G$4:G$5),ref!$B$3,"M")*(1/12*7%)*G259),"-")</f>
        <v>-</v>
      </c>
      <c r="H260" s="99" t="str">
        <f ca="1">IFERROR(MAX(I260,DATEDIF(AVERAGE(H$4:H$5),ref!$B$3,"M")*(1/12*7%)*H259),"-")</f>
        <v>-</v>
      </c>
      <c r="I260" s="99" t="str">
        <f ca="1">IFERROR(MAX(J260,DATEDIF(AVERAGE(I$4:I$5),ref!$B$3,"M")*(1/12*7%)*I259),"-")</f>
        <v>-</v>
      </c>
      <c r="J260" s="99" t="str">
        <f ca="1">IFERROR(MAX(L260,DATEDIF(AVERAGE(J$4:J$5),ref!$B$3,"M")*(1/12*7%)*J259),"-")</f>
        <v>-</v>
      </c>
      <c r="K260" s="99" t="str">
        <f ca="1">IFERROR(MAX(M260,DATEDIF(AVERAGE(K$4:K$5),ref!$B$3,"M")*(1/12*7%)*K259),"-")</f>
        <v>-</v>
      </c>
      <c r="L260" s="99" t="str">
        <f ca="1">IFERROR(MAX(M260,DATEDIF(AVERAGE(L$4:L$5),ref!$B$3,"M")*(1/12*7%)*L259),"-")</f>
        <v>-</v>
      </c>
      <c r="M260" s="159" t="str">
        <f ca="1">IFERROR(MAX(N260,DATEDIF(AVERAGE(M$4:M$5),ref!$B$3,"M")*(1/12*7%)*M259),"-")</f>
        <v>-</v>
      </c>
      <c r="N260" s="96" t="str">
        <f ca="1">_xlfn.CONCAT("Interest calculated thru ",TEXT(ref!$B$3,"m/d/yyyy"),".")</f>
        <v>Interest calculated thru 3/2/2026.</v>
      </c>
      <c r="O260" s="74"/>
      <c r="P260" s="100" t="s">
        <v>184</v>
      </c>
      <c r="Q260" s="75" t="str">
        <f t="shared" ca="1" si="146"/>
        <v/>
      </c>
      <c r="R260" s="76" t="str">
        <f t="shared" si="147"/>
        <v/>
      </c>
      <c r="S260" s="64" t="str">
        <f t="shared" si="126"/>
        <v/>
      </c>
      <c r="T260" s="42" t="str">
        <f t="shared" si="180"/>
        <v/>
      </c>
      <c r="U260" s="42" t="str">
        <f t="shared" si="181"/>
        <v/>
      </c>
      <c r="V260" s="42" t="str">
        <f t="shared" si="182"/>
        <v/>
      </c>
      <c r="W260" s="42" t="str">
        <f t="shared" si="151"/>
        <v/>
      </c>
      <c r="X260" s="42" t="str">
        <f t="shared" si="152"/>
        <v/>
      </c>
      <c r="Y260" s="42" t="str">
        <f t="shared" si="153"/>
        <v/>
      </c>
      <c r="Z260" s="42" t="str">
        <f t="shared" si="154"/>
        <v/>
      </c>
      <c r="AA260" s="42" t="str">
        <f t="shared" si="155"/>
        <v/>
      </c>
      <c r="AB260" s="42" t="str">
        <f t="shared" si="156"/>
        <v/>
      </c>
      <c r="AC260" s="42" t="str">
        <f t="shared" si="183"/>
        <v/>
      </c>
    </row>
    <row r="261" spans="1:29" s="103" customFormat="1" ht="28.8" outlineLevel="1" x14ac:dyDescent="0.25">
      <c r="A261" s="100" t="s">
        <v>13</v>
      </c>
      <c r="B261" s="322"/>
      <c r="C261" s="62" t="s">
        <v>691</v>
      </c>
      <c r="D261" s="204" t="e">
        <f ca="1">SUM(D259:D260)</f>
        <v>#NAME?</v>
      </c>
      <c r="E261" s="99" t="e">
        <f>SUM(F261:L261)</f>
        <v>#NAME?</v>
      </c>
      <c r="F261" s="99" t="e">
        <f>SUM(F259:F260)</f>
        <v>#NAME?</v>
      </c>
      <c r="G261" s="99" t="e">
        <f t="shared" ref="G261:M261" si="190">SUM(G259:G260)</f>
        <v>#NAME?</v>
      </c>
      <c r="H261" s="99" t="e">
        <f t="shared" si="190"/>
        <v>#NAME?</v>
      </c>
      <c r="I261" s="99" t="e">
        <f t="shared" si="190"/>
        <v>#NAME?</v>
      </c>
      <c r="J261" s="99" t="e">
        <f t="shared" si="190"/>
        <v>#NAME?</v>
      </c>
      <c r="K261" s="99" t="e">
        <f t="shared" ref="K261" si="191">SUM(K259:K260)</f>
        <v>#NAME?</v>
      </c>
      <c r="L261" s="99" t="e">
        <f t="shared" si="190"/>
        <v>#NAME?</v>
      </c>
      <c r="M261" s="159" t="e">
        <f t="shared" si="190"/>
        <v>#NAME?</v>
      </c>
      <c r="N261" s="104"/>
      <c r="O261" s="74"/>
      <c r="P261" s="100" t="s">
        <v>186</v>
      </c>
      <c r="Q261" s="75" t="str">
        <f t="shared" ref="Q261:Q316" si="192">IF(IFERROR(SEARCH("(",E261),0)=0,"",VALUE(SUBSTITUTE(RIGHT(E261,LEN(E261)-SEARCH("(",E261)),")","")))</f>
        <v/>
      </c>
      <c r="R261" s="76" t="str">
        <f t="shared" ref="R261:R316" si="193">IF(U261="","",SUM(V261:AB261)-U261)</f>
        <v/>
      </c>
      <c r="S261" s="64" t="str">
        <f t="shared" si="126"/>
        <v/>
      </c>
      <c r="T261" s="42" t="str">
        <f t="shared" ref="T261:T267" si="194">IF($S261&lt;&gt;1,"",IF(IFERROR(SEARCH("(",D261),0)=0,D261,VALUE(TRIM(LEFT(D261,SEARCH(" (",D261))))))</f>
        <v/>
      </c>
      <c r="U261" s="42" t="str">
        <f t="shared" ref="U261:U267" si="195">IF($S261&lt;&gt;1,"",IF(IFERROR(SEARCH("(",E261),0)=0,E261,VALUE(TRIM(LEFT(E261,SEARCH(" (",E261))))))</f>
        <v/>
      </c>
      <c r="V261" s="42" t="str">
        <f t="shared" ref="V261:V267" si="196">IF($S261&lt;&gt;1,"",IF(IFERROR(SEARCH("(",F261),0)=0,F261,VALUE(TRIM(LEFT(F261,SEARCH(" (",F261))))))</f>
        <v/>
      </c>
      <c r="W261" s="42" t="str">
        <f t="shared" si="151"/>
        <v/>
      </c>
      <c r="X261" s="42" t="str">
        <f t="shared" si="152"/>
        <v/>
      </c>
      <c r="Y261" s="42" t="str">
        <f t="shared" si="153"/>
        <v/>
      </c>
      <c r="Z261" s="42" t="str">
        <f t="shared" si="154"/>
        <v/>
      </c>
      <c r="AA261" s="42" t="str">
        <f t="shared" si="155"/>
        <v/>
      </c>
      <c r="AB261" s="42" t="str">
        <f t="shared" si="156"/>
        <v/>
      </c>
      <c r="AC261" s="42" t="str">
        <f t="shared" ref="AC261:AC267" si="197">IF($S261&lt;&gt;1,"",IF(IFERROR(SEARCH("(",M261),0)=0,M261,VALUE(TRIM(LEFT(M261,SEARCH(" (",M261))))))</f>
        <v/>
      </c>
    </row>
    <row r="262" spans="1:29" x14ac:dyDescent="0.25">
      <c r="A262" s="42">
        <v>1</v>
      </c>
      <c r="C262" s="58"/>
      <c r="D262" s="190"/>
      <c r="E262" s="97"/>
      <c r="O262" s="74"/>
      <c r="Q262" s="75" t="str">
        <f t="shared" si="192"/>
        <v/>
      </c>
      <c r="R262" s="76" t="str">
        <f t="shared" si="193"/>
        <v/>
      </c>
      <c r="S262" s="64" t="str">
        <f t="shared" si="126"/>
        <v/>
      </c>
      <c r="T262" s="42" t="str">
        <f t="shared" si="194"/>
        <v/>
      </c>
      <c r="U262" s="42" t="str">
        <f t="shared" si="195"/>
        <v/>
      </c>
      <c r="V262" s="42" t="str">
        <f t="shared" si="196"/>
        <v/>
      </c>
      <c r="W262" s="42" t="str">
        <f t="shared" si="151"/>
        <v/>
      </c>
      <c r="X262" s="42" t="str">
        <f t="shared" si="152"/>
        <v/>
      </c>
      <c r="Y262" s="42" t="str">
        <f t="shared" si="153"/>
        <v/>
      </c>
      <c r="Z262" s="42" t="str">
        <f t="shared" si="154"/>
        <v/>
      </c>
      <c r="AA262" s="42" t="str">
        <f t="shared" si="155"/>
        <v/>
      </c>
      <c r="AB262" s="42" t="str">
        <f t="shared" si="156"/>
        <v/>
      </c>
      <c r="AC262" s="42" t="str">
        <f t="shared" si="197"/>
        <v/>
      </c>
    </row>
    <row r="263" spans="1:29" ht="28.8" outlineLevel="1" x14ac:dyDescent="0.25">
      <c r="A263" s="42" t="s">
        <v>13</v>
      </c>
      <c r="B263" s="320" t="s">
        <v>189</v>
      </c>
      <c r="C263" s="51" t="s">
        <v>15</v>
      </c>
      <c r="D263" s="193">
        <f t="shared" ref="D263:K265" si="198">_xlfn.LET(_xlpm.calc,_xlfn.XLOOKUP($C263,$C:$C,D:D),_xlpm.calc)</f>
        <v>43466</v>
      </c>
      <c r="E263" s="52" t="e">
        <f t="shared" si="198"/>
        <v>#NAME?</v>
      </c>
      <c r="F263" s="52" t="e">
        <f t="shared" si="198"/>
        <v>#NAME?</v>
      </c>
      <c r="G263" s="52" t="e">
        <f t="shared" si="198"/>
        <v>#NAME?</v>
      </c>
      <c r="H263" s="52" t="e">
        <f t="shared" si="198"/>
        <v>#NAME?</v>
      </c>
      <c r="I263" s="52" t="e">
        <f t="shared" si="198"/>
        <v>#NAME?</v>
      </c>
      <c r="J263" s="52" t="e">
        <f t="shared" si="198"/>
        <v>#NAME?</v>
      </c>
      <c r="K263" s="52" t="e">
        <f t="shared" si="198"/>
        <v>#NAME?</v>
      </c>
      <c r="L263" s="52" t="e">
        <f t="shared" ref="L263:M265" si="199">_xlfn.LET(_xlpm.calc,_xlfn.XLOOKUP($C263,$C:$C,L:L),_xlpm.calc)</f>
        <v>#NAME?</v>
      </c>
      <c r="M263" s="154" t="e">
        <f t="shared" si="199"/>
        <v>#NAME?</v>
      </c>
      <c r="N263" s="96" t="str">
        <f>"Assumes "&amp;$O$263&amp;" off-the-clock mins worked per shift."</f>
        <v>Assumes 0 off-the-clock mins worked per shift.</v>
      </c>
      <c r="O263" s="101">
        <v>0</v>
      </c>
      <c r="Q263" s="75" t="str">
        <f t="shared" si="192"/>
        <v/>
      </c>
      <c r="R263" s="76" t="str">
        <f t="shared" si="193"/>
        <v/>
      </c>
      <c r="S263" s="64" t="str">
        <f t="shared" si="126"/>
        <v/>
      </c>
      <c r="T263" s="42" t="str">
        <f t="shared" si="194"/>
        <v/>
      </c>
      <c r="U263" s="42" t="str">
        <f t="shared" si="195"/>
        <v/>
      </c>
      <c r="V263" s="42" t="str">
        <f t="shared" si="196"/>
        <v/>
      </c>
      <c r="W263" s="42" t="str">
        <f t="shared" si="151"/>
        <v/>
      </c>
      <c r="X263" s="42" t="str">
        <f t="shared" si="152"/>
        <v/>
      </c>
      <c r="Y263" s="42" t="str">
        <f t="shared" si="153"/>
        <v/>
      </c>
      <c r="Z263" s="42" t="str">
        <f t="shared" si="154"/>
        <v/>
      </c>
      <c r="AA263" s="42" t="str">
        <f t="shared" si="155"/>
        <v/>
      </c>
      <c r="AB263" s="42" t="str">
        <f t="shared" si="156"/>
        <v/>
      </c>
      <c r="AC263" s="42" t="str">
        <f t="shared" si="197"/>
        <v/>
      </c>
    </row>
    <row r="264" spans="1:29" ht="28.8" outlineLevel="1" x14ac:dyDescent="0.25">
      <c r="A264" s="42" t="s">
        <v>13</v>
      </c>
      <c r="B264" s="321"/>
      <c r="C264" s="49" t="s">
        <v>16</v>
      </c>
      <c r="D264" s="193">
        <f t="shared" ca="1" si="198"/>
        <v>46083</v>
      </c>
      <c r="E264" s="52" t="e">
        <f t="shared" si="198"/>
        <v>#NAME?</v>
      </c>
      <c r="F264" s="52" t="e">
        <f t="shared" si="198"/>
        <v>#NAME?</v>
      </c>
      <c r="G264" s="52" t="e">
        <f t="shared" si="198"/>
        <v>#NAME?</v>
      </c>
      <c r="H264" s="52" t="e">
        <f t="shared" si="198"/>
        <v>#NAME?</v>
      </c>
      <c r="I264" s="52" t="e">
        <f t="shared" si="198"/>
        <v>#NAME?</v>
      </c>
      <c r="J264" s="52" t="e">
        <f t="shared" si="198"/>
        <v>#NAME?</v>
      </c>
      <c r="K264" s="52" t="e">
        <f t="shared" si="198"/>
        <v>#NAME?</v>
      </c>
      <c r="L264" s="52" t="e">
        <f t="shared" si="199"/>
        <v>#NAME?</v>
      </c>
      <c r="M264" s="154" t="e">
        <f t="shared" si="199"/>
        <v>#NAME?</v>
      </c>
      <c r="N264" s="96"/>
      <c r="O264" s="74"/>
      <c r="Q264" s="75" t="str">
        <f t="shared" si="192"/>
        <v/>
      </c>
      <c r="R264" s="76" t="str">
        <f t="shared" si="193"/>
        <v/>
      </c>
      <c r="S264" s="64" t="str">
        <f t="shared" si="126"/>
        <v/>
      </c>
      <c r="T264" s="42" t="str">
        <f t="shared" si="194"/>
        <v/>
      </c>
      <c r="U264" s="42" t="str">
        <f t="shared" si="195"/>
        <v/>
      </c>
      <c r="V264" s="42" t="str">
        <f t="shared" si="196"/>
        <v/>
      </c>
      <c r="W264" s="42" t="str">
        <f t="shared" si="151"/>
        <v/>
      </c>
      <c r="X264" s="42" t="str">
        <f t="shared" si="152"/>
        <v/>
      </c>
      <c r="Y264" s="42" t="str">
        <f t="shared" si="153"/>
        <v/>
      </c>
      <c r="Z264" s="42" t="str">
        <f t="shared" si="154"/>
        <v/>
      </c>
      <c r="AA264" s="42" t="str">
        <f t="shared" si="155"/>
        <v/>
      </c>
      <c r="AB264" s="42" t="str">
        <f t="shared" si="156"/>
        <v/>
      </c>
      <c r="AC264" s="42" t="str">
        <f t="shared" si="197"/>
        <v/>
      </c>
    </row>
    <row r="265" spans="1:29" ht="28.8" outlineLevel="1" x14ac:dyDescent="0.25">
      <c r="A265" s="42" t="s">
        <v>13</v>
      </c>
      <c r="B265" s="321"/>
      <c r="C265" s="49" t="s">
        <v>17</v>
      </c>
      <c r="D265" s="195">
        <f t="shared" si="198"/>
        <v>0</v>
      </c>
      <c r="E265" s="65">
        <f t="shared" si="198"/>
        <v>0</v>
      </c>
      <c r="F265" s="65">
        <f t="shared" si="198"/>
        <v>0</v>
      </c>
      <c r="G265" s="65">
        <f t="shared" si="198"/>
        <v>0</v>
      </c>
      <c r="H265" s="65">
        <f t="shared" si="198"/>
        <v>0</v>
      </c>
      <c r="I265" s="65">
        <f t="shared" si="198"/>
        <v>0</v>
      </c>
      <c r="J265" s="65">
        <f t="shared" si="198"/>
        <v>0</v>
      </c>
      <c r="K265" s="65">
        <f t="shared" si="198"/>
        <v>0</v>
      </c>
      <c r="L265" s="65">
        <f t="shared" si="199"/>
        <v>0</v>
      </c>
      <c r="M265" s="155">
        <f t="shared" si="199"/>
        <v>0</v>
      </c>
      <c r="N265" s="96"/>
      <c r="O265" s="74"/>
      <c r="Q265" s="75" t="str">
        <f t="shared" si="192"/>
        <v/>
      </c>
      <c r="R265" s="76" t="str">
        <f t="shared" si="193"/>
        <v/>
      </c>
      <c r="S265" s="64" t="str">
        <f t="shared" si="126"/>
        <v/>
      </c>
      <c r="T265" s="42" t="str">
        <f t="shared" si="194"/>
        <v/>
      </c>
      <c r="U265" s="42" t="str">
        <f t="shared" si="195"/>
        <v/>
      </c>
      <c r="V265" s="42" t="str">
        <f t="shared" si="196"/>
        <v/>
      </c>
      <c r="W265" s="42" t="str">
        <f t="shared" si="151"/>
        <v/>
      </c>
      <c r="X265" s="42" t="str">
        <f t="shared" si="152"/>
        <v/>
      </c>
      <c r="Y265" s="42" t="str">
        <f t="shared" si="153"/>
        <v/>
      </c>
      <c r="Z265" s="42" t="str">
        <f t="shared" si="154"/>
        <v/>
      </c>
      <c r="AA265" s="42" t="str">
        <f t="shared" si="155"/>
        <v/>
      </c>
      <c r="AB265" s="42" t="str">
        <f t="shared" si="156"/>
        <v/>
      </c>
      <c r="AC265" s="42" t="str">
        <f t="shared" si="197"/>
        <v/>
      </c>
    </row>
    <row r="266" spans="1:29" ht="28.8" outlineLevel="1" x14ac:dyDescent="0.25">
      <c r="A266" s="42" t="s">
        <v>13</v>
      </c>
      <c r="B266" s="321"/>
      <c r="C266" s="49" t="s">
        <v>190</v>
      </c>
      <c r="D266" s="195" t="str">
        <f>_xlfn.LET(_xlpm.calc,ROUND($Q266*D265,0),_xlpm.perc,_xlpm.calc/D265,IFERROR(IF(_xlpm.calc&lt;1000,_xlfn.CONCAT(_xlpm.calc," (",TEXT(_xlpm.perc,"0.0%"),")"),_xlfn.CONCAT(TEXT(_xlpm.calc,"0,000")," (",TEXT(_xlpm.perc,"0.0%"),")")),"-"))</f>
        <v>-</v>
      </c>
      <c r="E266" s="56" t="str">
        <f>_xlfn.LET(_xlpm.calc,E265,_xlpm.perc,_xlpm.calc/E265,IFERROR(IF(_xlpm.calc&lt;1000,_xlfn.CONCAT(_xlpm.calc," (",TEXT(_xlpm.perc,"0.0%"),")"),_xlfn.CONCAT(TEXT(_xlpm.calc,"0,000")," (",TEXT(_xlpm.perc,"0.0%"),")")),"-"))</f>
        <v>-</v>
      </c>
      <c r="F266" s="65" t="str">
        <f t="shared" ref="F266:M266" si="200">_xlfn.LET(_xlpm.calc,F265,_xlpm.perc,_xlpm.calc/F265,IFERROR(IF(_xlpm.calc&lt;1000,_xlfn.CONCAT(_xlpm.calc," (",TEXT(_xlpm.perc,"0.0%"),")"),_xlfn.CONCAT(TEXT(_xlpm.calc,"0,000")," (",TEXT(_xlpm.perc,"0.0%"),")")),"-"))</f>
        <v>-</v>
      </c>
      <c r="G266" s="65" t="str">
        <f t="shared" si="200"/>
        <v>-</v>
      </c>
      <c r="H266" s="65" t="str">
        <f t="shared" si="200"/>
        <v>-</v>
      </c>
      <c r="I266" s="65" t="str">
        <f t="shared" si="200"/>
        <v>-</v>
      </c>
      <c r="J266" s="65" t="str">
        <f t="shared" ref="J266:K266" si="201">_xlfn.LET(_xlpm.calc,J265,_xlpm.perc,_xlpm.calc/J265,IFERROR(IF(_xlpm.calc&lt;1000,_xlfn.CONCAT(_xlpm.calc," (",TEXT(_xlpm.perc,"0.0%"),")"),_xlfn.CONCAT(TEXT(_xlpm.calc,"0,000")," (",TEXT(_xlpm.perc,"0.0%"),")")),"-"))</f>
        <v>-</v>
      </c>
      <c r="K266" s="65" t="str">
        <f t="shared" si="201"/>
        <v>-</v>
      </c>
      <c r="L266" s="65" t="str">
        <f t="shared" si="200"/>
        <v>-</v>
      </c>
      <c r="M266" s="155" t="str">
        <f t="shared" si="200"/>
        <v>-</v>
      </c>
      <c r="N266" s="96"/>
      <c r="O266" s="74"/>
      <c r="Q266" s="75" t="str">
        <f t="shared" si="192"/>
        <v/>
      </c>
      <c r="R266" s="76" t="str">
        <f t="shared" si="193"/>
        <v/>
      </c>
      <c r="S266" s="64" t="str">
        <f t="shared" si="126"/>
        <v/>
      </c>
      <c r="T266" s="42" t="str">
        <f t="shared" si="194"/>
        <v/>
      </c>
      <c r="U266" s="42" t="str">
        <f t="shared" si="195"/>
        <v/>
      </c>
      <c r="V266" s="42" t="str">
        <f t="shared" si="196"/>
        <v/>
      </c>
      <c r="W266" s="42" t="str">
        <f t="shared" si="151"/>
        <v/>
      </c>
      <c r="X266" s="42" t="str">
        <f t="shared" si="152"/>
        <v/>
      </c>
      <c r="Y266" s="42" t="str">
        <f t="shared" si="153"/>
        <v/>
      </c>
      <c r="Z266" s="42" t="str">
        <f t="shared" si="154"/>
        <v/>
      </c>
      <c r="AA266" s="42" t="str">
        <f t="shared" si="155"/>
        <v/>
      </c>
      <c r="AB266" s="42" t="str">
        <f t="shared" si="156"/>
        <v/>
      </c>
      <c r="AC266" s="42" t="str">
        <f t="shared" si="197"/>
        <v/>
      </c>
    </row>
    <row r="267" spans="1:29" ht="28.8" outlineLevel="1" x14ac:dyDescent="0.25">
      <c r="A267" s="42" t="s">
        <v>13</v>
      </c>
      <c r="B267" s="321"/>
      <c r="C267" s="49" t="s">
        <v>188</v>
      </c>
      <c r="D267" s="199">
        <f ca="1">IFERROR(AVERAGEIFS('Min Wage Table'!$D:$D,'Min Wage Table'!$A:$A,"&gt;="&amp;DATE(YEAR(D$4),1,1),'Min Wage Table'!$B:$B,"&lt;="&amp;DATE(YEAR(D$5),12,31)),"-")</f>
        <v>14.8</v>
      </c>
      <c r="E267" s="98" t="str">
        <f>IFERROR(AVERAGEIFS('Min Wage Table'!$D:$D,'Min Wage Table'!$A:$A,"&gt;="&amp;DATE(YEAR(E$4),1,1),'Min Wage Table'!$B:$B,"&lt;="&amp;DATE(YEAR(E$5),12,31)),"-")</f>
        <v>-</v>
      </c>
      <c r="F267" s="98" t="str">
        <f>IFERROR(AVERAGEIFS('Min Wage Table'!$D:$D,'Min Wage Table'!$A:$A,"&gt;="&amp;DATE(YEAR(F$4),1,1),'Min Wage Table'!$B:$B,"&lt;="&amp;DATE(YEAR(F$5),12,31)),"-")</f>
        <v>-</v>
      </c>
      <c r="G267" s="98" t="str">
        <f>IFERROR(AVERAGEIFS('Min Wage Table'!$D:$D,'Min Wage Table'!$A:$A,"&gt;="&amp;DATE(YEAR(G$4),1,1),'Min Wage Table'!$B:$B,"&lt;="&amp;DATE(YEAR(G$5),12,31)),"-")</f>
        <v>-</v>
      </c>
      <c r="H267" s="98" t="str">
        <f>IFERROR(AVERAGEIFS('Min Wage Table'!$D:$D,'Min Wage Table'!$A:$A,"&gt;="&amp;DATE(YEAR(H$4),1,1),'Min Wage Table'!$B:$B,"&lt;="&amp;DATE(YEAR(H$5),12,31)),"-")</f>
        <v>-</v>
      </c>
      <c r="I267" s="98" t="str">
        <f>IFERROR(AVERAGEIFS('Min Wage Table'!$D:$D,'Min Wage Table'!$A:$A,"&gt;="&amp;DATE(YEAR(I$4),1,1),'Min Wage Table'!$B:$B,"&lt;="&amp;DATE(YEAR(I$5),12,31)),"-")</f>
        <v>-</v>
      </c>
      <c r="J267" s="98" t="str">
        <f>IFERROR(AVERAGEIFS('Min Wage Table'!$D:$D,'Min Wage Table'!$A:$A,"&gt;="&amp;DATE(YEAR(J$4),1,1),'Min Wage Table'!$B:$B,"&lt;="&amp;DATE(YEAR(J$5),12,31)),"-")</f>
        <v>-</v>
      </c>
      <c r="K267" s="98" t="str">
        <f>IFERROR(AVERAGEIFS('Min Wage Table'!$D:$D,'Min Wage Table'!$A:$A,"&gt;="&amp;DATE(YEAR(K$4),1,1),'Min Wage Table'!$B:$B,"&lt;="&amp;DATE(YEAR(K$5),12,31)),"-")</f>
        <v>-</v>
      </c>
      <c r="L267" s="98" t="str">
        <f>IFERROR(AVERAGEIFS('Min Wage Table'!$D:$D,'Min Wage Table'!$A:$A,"&gt;="&amp;DATE(YEAR(L$4),1,1),'Min Wage Table'!$B:$B,"&lt;="&amp;DATE(YEAR(L$5),12,31)),"-")</f>
        <v>-</v>
      </c>
      <c r="M267" s="166" t="str">
        <f>IFERROR(AVERAGEIFS('Min Wage Table'!$D:$D,'Min Wage Table'!$A:$A,"&gt;="&amp;DATE(YEAR(M$4),1,1),'Min Wage Table'!$B:$B,"&lt;="&amp;DATE(YEAR(M$5),12,31)),"-")</f>
        <v>-</v>
      </c>
      <c r="N267" s="96"/>
      <c r="O267" s="74"/>
      <c r="Q267" s="75" t="str">
        <f t="shared" si="192"/>
        <v/>
      </c>
      <c r="R267" s="76" t="str">
        <f t="shared" si="193"/>
        <v/>
      </c>
      <c r="S267" s="64" t="str">
        <f t="shared" si="126"/>
        <v/>
      </c>
      <c r="T267" s="42" t="str">
        <f t="shared" si="194"/>
        <v/>
      </c>
      <c r="U267" s="42" t="str">
        <f t="shared" si="195"/>
        <v/>
      </c>
      <c r="V267" s="42" t="str">
        <f t="shared" si="196"/>
        <v/>
      </c>
      <c r="W267" s="42" t="str">
        <f t="shared" si="151"/>
        <v/>
      </c>
      <c r="X267" s="42" t="str">
        <f t="shared" si="152"/>
        <v/>
      </c>
      <c r="Y267" s="42" t="str">
        <f t="shared" si="153"/>
        <v/>
      </c>
      <c r="Z267" s="42" t="str">
        <f t="shared" si="154"/>
        <v/>
      </c>
      <c r="AA267" s="42" t="str">
        <f t="shared" si="155"/>
        <v/>
      </c>
      <c r="AB267" s="42" t="str">
        <f t="shared" si="156"/>
        <v/>
      </c>
      <c r="AC267" s="42" t="str">
        <f t="shared" si="197"/>
        <v/>
      </c>
    </row>
    <row r="268" spans="1:29" ht="28.8" outlineLevel="1" x14ac:dyDescent="0.25">
      <c r="A268" s="42" t="s">
        <v>13</v>
      </c>
      <c r="B268" s="321"/>
      <c r="C268" s="49" t="s">
        <v>76</v>
      </c>
      <c r="D268" s="199" t="str">
        <f t="shared" ref="D268:K269" si="202">_xlfn.LET(_xlpm.calc,_xlfn.XLOOKUP($C268,$C:$C,D:D),_xlpm.calc)</f>
        <v>-</v>
      </c>
      <c r="E268" s="98" t="str">
        <f t="shared" si="202"/>
        <v>-</v>
      </c>
      <c r="F268" s="98" t="str">
        <f t="shared" si="202"/>
        <v>-</v>
      </c>
      <c r="G268" s="98" t="str">
        <f t="shared" si="202"/>
        <v>-</v>
      </c>
      <c r="H268" s="98" t="str">
        <f t="shared" si="202"/>
        <v>-</v>
      </c>
      <c r="I268" s="98" t="str">
        <f t="shared" si="202"/>
        <v>-</v>
      </c>
      <c r="J268" s="98" t="str">
        <f t="shared" si="202"/>
        <v>-</v>
      </c>
      <c r="K268" s="98" t="str">
        <f t="shared" si="202"/>
        <v>-</v>
      </c>
      <c r="L268" s="98" t="str">
        <f>_xlfn.LET(_xlpm.calc,_xlfn.XLOOKUP($C268,$C:$C,L:L),_xlpm.calc)</f>
        <v>-</v>
      </c>
      <c r="M268" s="166" t="str">
        <f>_xlfn.LET(_xlpm.calc,_xlfn.XLOOKUP($C268,$C:$C,M:M),_xlpm.calc)</f>
        <v>-</v>
      </c>
      <c r="N268" s="96"/>
      <c r="O268" s="74"/>
      <c r="Q268" s="75" t="str">
        <f t="shared" si="192"/>
        <v/>
      </c>
      <c r="R268" s="76" t="str">
        <f t="shared" si="193"/>
        <v/>
      </c>
      <c r="S268" s="64" t="str">
        <f t="shared" ref="S268:S327" si="203">IF($C268="","",IF(OR(IFERROR(SEARCH("min wage",LOWER($C268)),0)&gt;0, IFERROR(SEARCH(" per ",LOWER($C268)),0)&gt;0, IFERROR(SEARCH("penalt",LOWER($C268)),0)&gt;0,IFERROR(SEARCH("total",LOWER($C268)),0)&gt;0,IFERROR(SEARCH("interest",LOWER($C268)),0)&gt;0,IFERROR(SEARCH("date",LOWER($C268)),0)&gt;0,IFERROR(SEARCH("employee",LOWER($C268)),0)&gt;0,IFERROR(SEARCH("average",LOWER($C268)),0)&gt;0,IFERROR(SEARCH("median",LOWER($C268)),0)&gt;0),"",1))</f>
        <v/>
      </c>
      <c r="T268" s="42" t="str">
        <f t="shared" ref="T268:T299" si="204">IF($S268&lt;&gt;1,"",IF(IFERROR(SEARCH("(",D268),0)=0,D268,VALUE(TRIM(LEFT(D268,SEARCH(" (",D268))))))</f>
        <v/>
      </c>
      <c r="U268" s="42" t="str">
        <f t="shared" ref="U268:U299" si="205">IF($S268&lt;&gt;1,"",IF(IFERROR(SEARCH("(",E268),0)=0,E268,VALUE(TRIM(LEFT(E268,SEARCH(" (",E268))))))</f>
        <v/>
      </c>
      <c r="V268" s="42" t="str">
        <f t="shared" ref="V268:V327" si="206">IF($S268&lt;&gt;1,"",IF(IFERROR(SEARCH("(",F268),0)=0,F268,VALUE(TRIM(LEFT(F268,SEARCH(" (",F268))))))</f>
        <v/>
      </c>
      <c r="W268" s="42" t="str">
        <f t="shared" si="151"/>
        <v/>
      </c>
      <c r="X268" s="42" t="str">
        <f t="shared" si="152"/>
        <v/>
      </c>
      <c r="Y268" s="42" t="str">
        <f t="shared" si="153"/>
        <v/>
      </c>
      <c r="Z268" s="42" t="str">
        <f t="shared" si="154"/>
        <v/>
      </c>
      <c r="AA268" s="42" t="str">
        <f t="shared" si="155"/>
        <v/>
      </c>
      <c r="AB268" s="42" t="str">
        <f t="shared" si="156"/>
        <v/>
      </c>
      <c r="AC268" s="42" t="str">
        <f t="shared" ref="AC268:AC327" si="207">IF($S268&lt;&gt;1,"",IF(IFERROR(SEARCH("(",M268),0)=0,M268,VALUE(TRIM(LEFT(M268,SEARCH(" (",M268))))))</f>
        <v/>
      </c>
    </row>
    <row r="269" spans="1:29" ht="28.8" outlineLevel="1" x14ac:dyDescent="0.25">
      <c r="A269" s="42" t="s">
        <v>13</v>
      </c>
      <c r="B269" s="321"/>
      <c r="C269" s="49" t="s">
        <v>61</v>
      </c>
      <c r="D269" s="195" t="e">
        <f t="shared" ca="1" si="202"/>
        <v>#VALUE!</v>
      </c>
      <c r="E269" s="65" t="e">
        <f t="shared" si="202"/>
        <v>#NAME?</v>
      </c>
      <c r="F269" s="65" t="e">
        <f t="shared" si="202"/>
        <v>#NAME?</v>
      </c>
      <c r="G269" s="65" t="e">
        <f t="shared" si="202"/>
        <v>#NAME?</v>
      </c>
      <c r="H269" s="65" t="e">
        <f t="shared" si="202"/>
        <v>#NAME?</v>
      </c>
      <c r="I269" s="65" t="e">
        <f t="shared" si="202"/>
        <v>#NAME?</v>
      </c>
      <c r="J269" s="65" t="e">
        <f t="shared" si="202"/>
        <v>#NAME?</v>
      </c>
      <c r="K269" s="65" t="e">
        <f t="shared" si="202"/>
        <v>#NAME?</v>
      </c>
      <c r="L269" s="65" t="e">
        <f>_xlfn.LET(_xlpm.calc,_xlfn.XLOOKUP($C269,$C:$C,L:L),_xlpm.calc)</f>
        <v>#NAME?</v>
      </c>
      <c r="M269" s="155" t="e">
        <f>_xlfn.LET(_xlpm.calc,_xlfn.XLOOKUP($C269,$C:$C,M:M),_xlpm.calc)</f>
        <v>#NAME?</v>
      </c>
      <c r="N269" s="96"/>
      <c r="O269" s="74"/>
      <c r="Q269" s="75" t="str">
        <f t="shared" si="192"/>
        <v/>
      </c>
      <c r="R269" s="76" t="e">
        <f t="shared" si="193"/>
        <v>#NAME?</v>
      </c>
      <c r="S269" s="64">
        <f t="shared" si="203"/>
        <v>1</v>
      </c>
      <c r="T269" s="42" t="e">
        <f t="shared" ca="1" si="204"/>
        <v>#VALUE!</v>
      </c>
      <c r="U269" s="42" t="e">
        <f t="shared" si="205"/>
        <v>#NAME?</v>
      </c>
      <c r="V269" s="42" t="e">
        <f t="shared" si="206"/>
        <v>#NAME?</v>
      </c>
      <c r="W269" s="42" t="e">
        <f t="shared" si="151"/>
        <v>#NAME?</v>
      </c>
      <c r="X269" s="42" t="e">
        <f t="shared" si="152"/>
        <v>#NAME?</v>
      </c>
      <c r="Y269" s="42" t="e">
        <f t="shared" si="153"/>
        <v>#NAME?</v>
      </c>
      <c r="Z269" s="42" t="e">
        <f t="shared" si="154"/>
        <v>#NAME?</v>
      </c>
      <c r="AA269" s="42" t="e">
        <f t="shared" si="155"/>
        <v>#NAME?</v>
      </c>
      <c r="AB269" s="42" t="e">
        <f t="shared" si="156"/>
        <v>#NAME?</v>
      </c>
      <c r="AC269" s="42" t="e">
        <f t="shared" si="207"/>
        <v>#NAME?</v>
      </c>
    </row>
    <row r="270" spans="1:29" ht="28.8" outlineLevel="1" x14ac:dyDescent="0.25">
      <c r="A270" s="42" t="s">
        <v>13</v>
      </c>
      <c r="B270" s="321"/>
      <c r="C270" s="49" t="s">
        <v>191</v>
      </c>
      <c r="D270" s="195" t="e">
        <f ca="1">ROUND(E270/E$9*D$9,0)</f>
        <v>#NAME?</v>
      </c>
      <c r="E270" s="65" t="e" cm="1">
        <f t="array" ref="E270">COUNTIFS(Date,"&gt;="&amp;E$4,Date,"&lt;="&amp;E$5,shift_hrs,"&lt;"&amp;$P270,Key_Gps,"*"&amp;E$1&amp;"*")</f>
        <v>#NAME?</v>
      </c>
      <c r="F270" s="65" t="e" cm="1">
        <f t="array" ref="F270">COUNTIFS(Date,"&gt;="&amp;F$4,Date,"&lt;="&amp;F$5,shift_hrs,"&lt;"&amp;$P270,Key_Gps,"*"&amp;F$1&amp;"*")</f>
        <v>#NAME?</v>
      </c>
      <c r="G270" s="65" t="e" cm="1">
        <f t="array" ref="G270">COUNTIFS(Date,"&gt;="&amp;G$4,Date,"&lt;="&amp;G$5,shift_hrs,"&lt;"&amp;$P270,Key_Gps,"*"&amp;G$1&amp;"*")</f>
        <v>#NAME?</v>
      </c>
      <c r="H270" s="65" t="e" cm="1">
        <f t="array" ref="H270">COUNTIFS(Date,"&gt;="&amp;H$4,Date,"&lt;="&amp;H$5,shift_hrs,"&lt;"&amp;$P270,Key_Gps,"*"&amp;H$1&amp;"*")</f>
        <v>#NAME?</v>
      </c>
      <c r="I270" s="65" t="e" cm="1">
        <f t="array" ref="I270">COUNTIFS(Date,"&gt;="&amp;I$4,Date,"&lt;="&amp;I$5,shift_hrs,"&lt;"&amp;$P270,Key_Gps,"*"&amp;I$1&amp;"*")</f>
        <v>#NAME?</v>
      </c>
      <c r="J270" s="65" t="e" cm="1">
        <f t="array" ref="J270">COUNTIFS(Date,"&gt;="&amp;J$4,Date,"&lt;="&amp;J$5,shift_hrs,"&lt;"&amp;$P270,Key_Gps,"*"&amp;J$1&amp;"*")</f>
        <v>#NAME?</v>
      </c>
      <c r="K270" s="65" t="e" cm="1">
        <f t="array" ref="K270">COUNTIFS(Date,"&gt;="&amp;K$4,Date,"&lt;="&amp;K$5,shift_hrs,"&lt;"&amp;$P270,Key_Gps,"*"&amp;K$1&amp;"*")</f>
        <v>#NAME?</v>
      </c>
      <c r="L270" s="65" t="e" cm="1">
        <f t="array" ref="L270">COUNTIFS(Date,"&gt;="&amp;L$4,Date,"&lt;="&amp;L$5,shift_hrs,"&lt;"&amp;$P270,Key_Gps,"*"&amp;L$1&amp;"*")</f>
        <v>#NAME?</v>
      </c>
      <c r="M270" s="155" t="e" cm="1">
        <f t="array" ref="M270">COUNTIFS(Date,"&gt;="&amp;M$4,Date,"&lt;="&amp;M$5,shift_hrs,"&lt;"&amp;$P270,Key_Gps,"*"&amp;M$1&amp;"*")</f>
        <v>#NAME?</v>
      </c>
      <c r="N270" s="53"/>
      <c r="O270" s="74"/>
      <c r="P270" s="42">
        <v>8</v>
      </c>
      <c r="Q270" s="75" t="str">
        <f t="shared" si="192"/>
        <v/>
      </c>
      <c r="R270" s="76" t="e">
        <f t="shared" si="193"/>
        <v>#NAME?</v>
      </c>
      <c r="S270" s="64">
        <f t="shared" si="203"/>
        <v>1</v>
      </c>
      <c r="T270" s="42" t="e">
        <f t="shared" ca="1" si="204"/>
        <v>#NAME?</v>
      </c>
      <c r="U270" s="42" t="e">
        <f t="shared" si="205"/>
        <v>#NAME?</v>
      </c>
      <c r="V270" s="42" t="e">
        <f t="shared" si="206"/>
        <v>#NAME?</v>
      </c>
      <c r="W270" s="42" t="e">
        <f t="shared" si="151"/>
        <v>#NAME?</v>
      </c>
      <c r="X270" s="42" t="e">
        <f t="shared" si="152"/>
        <v>#NAME?</v>
      </c>
      <c r="Y270" s="42" t="e">
        <f t="shared" si="153"/>
        <v>#NAME?</v>
      </c>
      <c r="Z270" s="42" t="e">
        <f t="shared" si="154"/>
        <v>#NAME?</v>
      </c>
      <c r="AA270" s="42" t="e">
        <f t="shared" si="155"/>
        <v>#NAME?</v>
      </c>
      <c r="AB270" s="42" t="e">
        <f t="shared" si="156"/>
        <v>#NAME?</v>
      </c>
      <c r="AC270" s="42" t="e">
        <f t="shared" si="207"/>
        <v>#NAME?</v>
      </c>
    </row>
    <row r="271" spans="1:29" ht="28.8" outlineLevel="1" x14ac:dyDescent="0.25">
      <c r="A271" s="42" t="s">
        <v>13</v>
      </c>
      <c r="B271" s="321"/>
      <c r="C271" s="49" t="s">
        <v>192</v>
      </c>
      <c r="D271" s="195" t="e">
        <f ca="1">D270-D272</f>
        <v>#NAME?</v>
      </c>
      <c r="E271" s="65" t="e" cm="1">
        <f t="array" ref="E271">COUNTIFS(Date,"&gt;="&amp;E$4,Date,"&lt;="&amp;E$5,shift_hrs,"&gt;="&amp;$P271,shift_hrs,"&lt;"&amp;$P272,Key_Gps,"*"&amp;E$1&amp;"*")</f>
        <v>#NAME?</v>
      </c>
      <c r="F271" s="65" t="e" cm="1">
        <f t="array" ref="F271">COUNTIFS(Date,"&gt;="&amp;F$4,Date,"&lt;="&amp;F$5,shift_hrs,"&gt;="&amp;$P271,shift_hrs,"&lt;"&amp;$P272,Key_Gps,"*"&amp;F$1&amp;"*")</f>
        <v>#NAME?</v>
      </c>
      <c r="G271" s="65" t="e" cm="1">
        <f t="array" ref="G271">COUNTIFS(Date,"&gt;="&amp;G$4,Date,"&lt;="&amp;G$5,shift_hrs,"&gt;="&amp;$P271,shift_hrs,"&lt;"&amp;$P272,Key_Gps,"*"&amp;G$1&amp;"*")</f>
        <v>#NAME?</v>
      </c>
      <c r="H271" s="65" t="e" cm="1">
        <f t="array" ref="H271">COUNTIFS(Date,"&gt;="&amp;H$4,Date,"&lt;="&amp;H$5,shift_hrs,"&gt;="&amp;$P271,shift_hrs,"&lt;"&amp;$P272,Key_Gps,"*"&amp;H$1&amp;"*")</f>
        <v>#NAME?</v>
      </c>
      <c r="I271" s="65" t="e" cm="1">
        <f t="array" ref="I271">COUNTIFS(Date,"&gt;="&amp;I$4,Date,"&lt;="&amp;I$5,shift_hrs,"&gt;="&amp;$P271,shift_hrs,"&lt;"&amp;$P272,Key_Gps,"*"&amp;I$1&amp;"*")</f>
        <v>#NAME?</v>
      </c>
      <c r="J271" s="65" t="e" cm="1">
        <f t="array" ref="J271">COUNTIFS(Date,"&gt;="&amp;J$4,Date,"&lt;="&amp;J$5,shift_hrs,"&gt;="&amp;$P271,shift_hrs,"&lt;"&amp;$P272,Key_Gps,"*"&amp;J$1&amp;"*")</f>
        <v>#NAME?</v>
      </c>
      <c r="K271" s="65" t="e" cm="1">
        <f t="array" ref="K271">COUNTIFS(Date,"&gt;="&amp;K$4,Date,"&lt;="&amp;K$5,shift_hrs,"&gt;="&amp;$P271,shift_hrs,"&lt;"&amp;$P272,Key_Gps,"*"&amp;K$1&amp;"*")</f>
        <v>#NAME?</v>
      </c>
      <c r="L271" s="65" t="e" cm="1">
        <f t="array" ref="L271">COUNTIFS(Date,"&gt;="&amp;L$4,Date,"&lt;="&amp;L$5,shift_hrs,"&gt;="&amp;$P271,shift_hrs,"&lt;"&amp;$P272,Key_Gps,"*"&amp;L$1&amp;"*")</f>
        <v>#NAME?</v>
      </c>
      <c r="M271" s="155" t="e" cm="1">
        <f t="array" ref="M271">COUNTIFS(Date,"&gt;="&amp;M$4,Date,"&lt;="&amp;M$5,shift_hrs,"&gt;="&amp;$P271,shift_hrs,"&lt;"&amp;$P272,Key_Gps,"*"&amp;M$1&amp;"*")</f>
        <v>#NAME?</v>
      </c>
      <c r="N271" s="53"/>
      <c r="O271" s="74"/>
      <c r="P271" s="42">
        <v>8</v>
      </c>
      <c r="Q271" s="75" t="str">
        <f t="shared" si="192"/>
        <v/>
      </c>
      <c r="R271" s="76" t="e">
        <f t="shared" si="193"/>
        <v>#NAME?</v>
      </c>
      <c r="S271" s="64">
        <f t="shared" si="203"/>
        <v>1</v>
      </c>
      <c r="T271" s="42" t="e">
        <f t="shared" ca="1" si="204"/>
        <v>#NAME?</v>
      </c>
      <c r="U271" s="42" t="e">
        <f t="shared" si="205"/>
        <v>#NAME?</v>
      </c>
      <c r="V271" s="42" t="e">
        <f t="shared" si="206"/>
        <v>#NAME?</v>
      </c>
      <c r="W271" s="42" t="e">
        <f t="shared" si="151"/>
        <v>#NAME?</v>
      </c>
      <c r="X271" s="42" t="e">
        <f t="shared" si="152"/>
        <v>#NAME?</v>
      </c>
      <c r="Y271" s="42" t="e">
        <f t="shared" si="153"/>
        <v>#NAME?</v>
      </c>
      <c r="Z271" s="42" t="e">
        <f t="shared" si="154"/>
        <v>#NAME?</v>
      </c>
      <c r="AA271" s="42" t="e">
        <f t="shared" si="155"/>
        <v>#NAME?</v>
      </c>
      <c r="AB271" s="42" t="e">
        <f t="shared" si="156"/>
        <v>#NAME?</v>
      </c>
      <c r="AC271" s="42" t="e">
        <f t="shared" si="207"/>
        <v>#NAME?</v>
      </c>
    </row>
    <row r="272" spans="1:29" ht="28.8" outlineLevel="1" x14ac:dyDescent="0.25">
      <c r="A272" s="42" t="s">
        <v>13</v>
      </c>
      <c r="B272" s="321"/>
      <c r="C272" s="49" t="s">
        <v>193</v>
      </c>
      <c r="D272" s="195" t="e">
        <f ca="1">ROUND(E272/E$9*D$9,0)</f>
        <v>#NAME?</v>
      </c>
      <c r="E272" s="65" t="e" cm="1">
        <f t="array" ref="E272">COUNTIFS(Date,"&gt;="&amp;E$4,Date,"&lt;="&amp;E$5,shift_hrs,"&gt;="&amp;$P272,Key_Gps,"*"&amp;E$1&amp;"*")</f>
        <v>#NAME?</v>
      </c>
      <c r="F272" s="65" t="e" cm="1">
        <f t="array" ref="F272">COUNTIFS(Date,"&gt;="&amp;F$4,Date,"&lt;="&amp;F$5,shift_hrs,"&gt;="&amp;$P272,Key_Gps,"*"&amp;F$1&amp;"*")</f>
        <v>#NAME?</v>
      </c>
      <c r="G272" s="65" t="e" cm="1">
        <f t="array" ref="G272">COUNTIFS(Date,"&gt;="&amp;G$4,Date,"&lt;="&amp;G$5,shift_hrs,"&gt;="&amp;$P272,Key_Gps,"*"&amp;G$1&amp;"*")</f>
        <v>#NAME?</v>
      </c>
      <c r="H272" s="65" t="e" cm="1">
        <f t="array" ref="H272">COUNTIFS(Date,"&gt;="&amp;H$4,Date,"&lt;="&amp;H$5,shift_hrs,"&gt;="&amp;$P272,Key_Gps,"*"&amp;H$1&amp;"*")</f>
        <v>#NAME?</v>
      </c>
      <c r="I272" s="65" t="e" cm="1">
        <f t="array" ref="I272">COUNTIFS(Date,"&gt;="&amp;I$4,Date,"&lt;="&amp;I$5,shift_hrs,"&gt;="&amp;$P272,Key_Gps,"*"&amp;I$1&amp;"*")</f>
        <v>#NAME?</v>
      </c>
      <c r="J272" s="65" t="e" cm="1">
        <f t="array" ref="J272">COUNTIFS(Date,"&gt;="&amp;J$4,Date,"&lt;="&amp;J$5,shift_hrs,"&gt;="&amp;$P272,Key_Gps,"*"&amp;J$1&amp;"*")</f>
        <v>#NAME?</v>
      </c>
      <c r="K272" s="65" t="e" cm="1">
        <f t="array" ref="K272">COUNTIFS(Date,"&gt;="&amp;K$4,Date,"&lt;="&amp;K$5,shift_hrs,"&gt;="&amp;$P272,Key_Gps,"*"&amp;K$1&amp;"*")</f>
        <v>#NAME?</v>
      </c>
      <c r="L272" s="65" t="e" cm="1">
        <f t="array" ref="L272">COUNTIFS(Date,"&gt;="&amp;L$4,Date,"&lt;="&amp;L$5,shift_hrs,"&gt;="&amp;$P272,Key_Gps,"*"&amp;L$1&amp;"*")</f>
        <v>#NAME?</v>
      </c>
      <c r="M272" s="155" t="e" cm="1">
        <f t="array" ref="M272">COUNTIFS(Date,"&gt;="&amp;M$4,Date,"&lt;="&amp;M$5,shift_hrs,"&gt;="&amp;$P272,Key_Gps,"*"&amp;M$1&amp;"*")</f>
        <v>#NAME?</v>
      </c>
      <c r="N272" s="53"/>
      <c r="O272" s="74"/>
      <c r="P272" s="42">
        <v>12</v>
      </c>
      <c r="Q272" s="75" t="str">
        <f t="shared" si="192"/>
        <v/>
      </c>
      <c r="R272" s="76" t="e">
        <f t="shared" si="193"/>
        <v>#NAME?</v>
      </c>
      <c r="S272" s="64">
        <f t="shared" si="203"/>
        <v>1</v>
      </c>
      <c r="T272" s="42" t="e">
        <f t="shared" ca="1" si="204"/>
        <v>#NAME?</v>
      </c>
      <c r="U272" s="42" t="e">
        <f t="shared" si="205"/>
        <v>#NAME?</v>
      </c>
      <c r="V272" s="42" t="e">
        <f t="shared" si="206"/>
        <v>#NAME?</v>
      </c>
      <c r="W272" s="42" t="e">
        <f t="shared" si="151"/>
        <v>#NAME?</v>
      </c>
      <c r="X272" s="42" t="e">
        <f t="shared" si="152"/>
        <v>#NAME?</v>
      </c>
      <c r="Y272" s="42" t="e">
        <f t="shared" si="153"/>
        <v>#NAME?</v>
      </c>
      <c r="Z272" s="42" t="e">
        <f t="shared" si="154"/>
        <v>#NAME?</v>
      </c>
      <c r="AA272" s="42" t="e">
        <f t="shared" si="155"/>
        <v>#NAME?</v>
      </c>
      <c r="AB272" s="42" t="e">
        <f t="shared" si="156"/>
        <v>#NAME?</v>
      </c>
      <c r="AC272" s="42" t="e">
        <f t="shared" si="207"/>
        <v>#NAME?</v>
      </c>
    </row>
    <row r="273" spans="1:29" ht="28.8" outlineLevel="1" x14ac:dyDescent="0.25">
      <c r="A273" s="42" t="s">
        <v>13</v>
      </c>
      <c r="B273" s="321"/>
      <c r="C273" s="49" t="s">
        <v>194</v>
      </c>
      <c r="D273" s="197" t="e">
        <f t="shared" ref="D273:M273" ca="1" si="208">D270*($O$263/60)</f>
        <v>#NAME?</v>
      </c>
      <c r="E273" s="78" t="e">
        <f t="shared" si="208"/>
        <v>#NAME?</v>
      </c>
      <c r="F273" s="78" t="e">
        <f t="shared" si="208"/>
        <v>#NAME?</v>
      </c>
      <c r="G273" s="78" t="e">
        <f t="shared" si="208"/>
        <v>#NAME?</v>
      </c>
      <c r="H273" s="78" t="e">
        <f t="shared" si="208"/>
        <v>#NAME?</v>
      </c>
      <c r="I273" s="78" t="e">
        <f t="shared" si="208"/>
        <v>#NAME?</v>
      </c>
      <c r="J273" s="78" t="e">
        <f t="shared" si="208"/>
        <v>#NAME?</v>
      </c>
      <c r="K273" s="78" t="e">
        <f t="shared" si="208"/>
        <v>#NAME?</v>
      </c>
      <c r="L273" s="78" t="e">
        <f t="shared" si="208"/>
        <v>#NAME?</v>
      </c>
      <c r="M273" s="164" t="e">
        <f t="shared" si="208"/>
        <v>#NAME?</v>
      </c>
      <c r="N273" s="53"/>
      <c r="O273" s="74"/>
      <c r="Q273" s="75" t="str">
        <f t="shared" si="192"/>
        <v/>
      </c>
      <c r="R273" s="76" t="e">
        <f t="shared" si="193"/>
        <v>#NAME?</v>
      </c>
      <c r="S273" s="64">
        <f t="shared" si="203"/>
        <v>1</v>
      </c>
      <c r="T273" s="42" t="e">
        <f t="shared" ca="1" si="204"/>
        <v>#NAME?</v>
      </c>
      <c r="U273" s="42" t="e">
        <f t="shared" si="205"/>
        <v>#NAME?</v>
      </c>
      <c r="V273" s="42" t="e">
        <f t="shared" si="206"/>
        <v>#NAME?</v>
      </c>
      <c r="W273" s="42" t="e">
        <f t="shared" si="151"/>
        <v>#NAME?</v>
      </c>
      <c r="X273" s="42" t="e">
        <f t="shared" si="152"/>
        <v>#NAME?</v>
      </c>
      <c r="Y273" s="42" t="e">
        <f t="shared" si="153"/>
        <v>#NAME?</v>
      </c>
      <c r="Z273" s="42" t="e">
        <f t="shared" si="154"/>
        <v>#NAME?</v>
      </c>
      <c r="AA273" s="42" t="e">
        <f t="shared" si="155"/>
        <v>#NAME?</v>
      </c>
      <c r="AB273" s="42" t="e">
        <f t="shared" si="156"/>
        <v>#NAME?</v>
      </c>
      <c r="AC273" s="42" t="e">
        <f t="shared" si="207"/>
        <v>#NAME?</v>
      </c>
    </row>
    <row r="274" spans="1:29" ht="28.8" outlineLevel="1" x14ac:dyDescent="0.25">
      <c r="A274" s="42" t="s">
        <v>13</v>
      </c>
      <c r="B274" s="321"/>
      <c r="C274" s="49" t="s">
        <v>195</v>
      </c>
      <c r="D274" s="197" t="e">
        <f t="shared" ref="D274:M274" ca="1" si="209">D271*($O$263/60)</f>
        <v>#NAME?</v>
      </c>
      <c r="E274" s="78" t="e">
        <f t="shared" si="209"/>
        <v>#NAME?</v>
      </c>
      <c r="F274" s="78" t="e">
        <f t="shared" si="209"/>
        <v>#NAME?</v>
      </c>
      <c r="G274" s="78" t="e">
        <f t="shared" si="209"/>
        <v>#NAME?</v>
      </c>
      <c r="H274" s="78" t="e">
        <f t="shared" si="209"/>
        <v>#NAME?</v>
      </c>
      <c r="I274" s="78" t="e">
        <f t="shared" si="209"/>
        <v>#NAME?</v>
      </c>
      <c r="J274" s="78" t="e">
        <f t="shared" si="209"/>
        <v>#NAME?</v>
      </c>
      <c r="K274" s="78" t="e">
        <f t="shared" si="209"/>
        <v>#NAME?</v>
      </c>
      <c r="L274" s="78" t="e">
        <f t="shared" si="209"/>
        <v>#NAME?</v>
      </c>
      <c r="M274" s="164" t="e">
        <f t="shared" si="209"/>
        <v>#NAME?</v>
      </c>
      <c r="N274" s="53"/>
      <c r="O274" s="74"/>
      <c r="Q274" s="75" t="str">
        <f t="shared" si="192"/>
        <v/>
      </c>
      <c r="R274" s="76" t="e">
        <f t="shared" si="193"/>
        <v>#NAME?</v>
      </c>
      <c r="S274" s="64">
        <f t="shared" si="203"/>
        <v>1</v>
      </c>
      <c r="T274" s="42" t="e">
        <f t="shared" ca="1" si="204"/>
        <v>#NAME?</v>
      </c>
      <c r="U274" s="42" t="e">
        <f t="shared" si="205"/>
        <v>#NAME?</v>
      </c>
      <c r="V274" s="42" t="e">
        <f t="shared" si="206"/>
        <v>#NAME?</v>
      </c>
      <c r="W274" s="42" t="e">
        <f t="shared" si="151"/>
        <v>#NAME?</v>
      </c>
      <c r="X274" s="42" t="e">
        <f t="shared" si="152"/>
        <v>#NAME?</v>
      </c>
      <c r="Y274" s="42" t="e">
        <f t="shared" si="153"/>
        <v>#NAME?</v>
      </c>
      <c r="Z274" s="42" t="e">
        <f t="shared" si="154"/>
        <v>#NAME?</v>
      </c>
      <c r="AA274" s="42" t="e">
        <f t="shared" si="155"/>
        <v>#NAME?</v>
      </c>
      <c r="AB274" s="42" t="e">
        <f t="shared" si="156"/>
        <v>#NAME?</v>
      </c>
      <c r="AC274" s="42" t="e">
        <f t="shared" si="207"/>
        <v>#NAME?</v>
      </c>
    </row>
    <row r="275" spans="1:29" ht="28.8" outlineLevel="1" x14ac:dyDescent="0.25">
      <c r="A275" s="42" t="s">
        <v>13</v>
      </c>
      <c r="B275" s="321"/>
      <c r="C275" s="49" t="s">
        <v>196</v>
      </c>
      <c r="D275" s="197" t="e">
        <f t="shared" ref="D275:M275" ca="1" si="210">D272*($O$263/60)</f>
        <v>#NAME?</v>
      </c>
      <c r="E275" s="78" t="e">
        <f t="shared" si="210"/>
        <v>#NAME?</v>
      </c>
      <c r="F275" s="78" t="e">
        <f t="shared" si="210"/>
        <v>#NAME?</v>
      </c>
      <c r="G275" s="78" t="e">
        <f t="shared" si="210"/>
        <v>#NAME?</v>
      </c>
      <c r="H275" s="78" t="e">
        <f t="shared" si="210"/>
        <v>#NAME?</v>
      </c>
      <c r="I275" s="78" t="e">
        <f t="shared" si="210"/>
        <v>#NAME?</v>
      </c>
      <c r="J275" s="78" t="e">
        <f t="shared" si="210"/>
        <v>#NAME?</v>
      </c>
      <c r="K275" s="78" t="e">
        <f t="shared" si="210"/>
        <v>#NAME?</v>
      </c>
      <c r="L275" s="78" t="e">
        <f t="shared" si="210"/>
        <v>#NAME?</v>
      </c>
      <c r="M275" s="164" t="e">
        <f t="shared" si="210"/>
        <v>#NAME?</v>
      </c>
      <c r="N275" s="53"/>
      <c r="O275" s="74"/>
      <c r="Q275" s="75" t="str">
        <f t="shared" si="192"/>
        <v/>
      </c>
      <c r="R275" s="76" t="e">
        <f t="shared" si="193"/>
        <v>#NAME?</v>
      </c>
      <c r="S275" s="64">
        <f t="shared" si="203"/>
        <v>1</v>
      </c>
      <c r="T275" s="42" t="e">
        <f t="shared" ca="1" si="204"/>
        <v>#NAME?</v>
      </c>
      <c r="U275" s="42" t="e">
        <f t="shared" si="205"/>
        <v>#NAME?</v>
      </c>
      <c r="V275" s="42" t="e">
        <f t="shared" si="206"/>
        <v>#NAME?</v>
      </c>
      <c r="W275" s="42" t="e">
        <f t="shared" si="151"/>
        <v>#NAME?</v>
      </c>
      <c r="X275" s="42" t="e">
        <f t="shared" si="152"/>
        <v>#NAME?</v>
      </c>
      <c r="Y275" s="42" t="e">
        <f t="shared" si="153"/>
        <v>#NAME?</v>
      </c>
      <c r="Z275" s="42" t="e">
        <f t="shared" si="154"/>
        <v>#NAME?</v>
      </c>
      <c r="AA275" s="42" t="e">
        <f t="shared" si="155"/>
        <v>#NAME?</v>
      </c>
      <c r="AB275" s="42" t="e">
        <f t="shared" si="156"/>
        <v>#NAME?</v>
      </c>
      <c r="AC275" s="42" t="e">
        <f t="shared" si="207"/>
        <v>#NAME?</v>
      </c>
    </row>
    <row r="276" spans="1:29" ht="28.8" outlineLevel="1" x14ac:dyDescent="0.25">
      <c r="A276" s="42" t="s">
        <v>13</v>
      </c>
      <c r="B276" s="321"/>
      <c r="C276" s="49" t="s">
        <v>197</v>
      </c>
      <c r="D276" s="206" t="str">
        <f ca="1">IFERROR(D273*D$267,"-")</f>
        <v>-</v>
      </c>
      <c r="E276" s="102">
        <f t="shared" ref="E276:E281" si="211">SUM(F276:L276)</f>
        <v>0</v>
      </c>
      <c r="F276" s="102" t="str">
        <f t="shared" ref="F276:M276" si="212">IFERROR(F273*F$267,"-")</f>
        <v>-</v>
      </c>
      <c r="G276" s="102" t="str">
        <f t="shared" si="212"/>
        <v>-</v>
      </c>
      <c r="H276" s="102" t="str">
        <f t="shared" si="212"/>
        <v>-</v>
      </c>
      <c r="I276" s="102" t="str">
        <f t="shared" si="212"/>
        <v>-</v>
      </c>
      <c r="J276" s="102" t="str">
        <f t="shared" si="212"/>
        <v>-</v>
      </c>
      <c r="K276" s="102" t="str">
        <f t="shared" ref="K276" si="213">IFERROR(K273*K$267,"-")</f>
        <v>-</v>
      </c>
      <c r="L276" s="102" t="str">
        <f t="shared" si="212"/>
        <v>-</v>
      </c>
      <c r="M276" s="157" t="str">
        <f t="shared" si="212"/>
        <v>-</v>
      </c>
      <c r="N276" s="53" t="s">
        <v>198</v>
      </c>
      <c r="O276" s="74"/>
      <c r="Q276" s="75" t="str">
        <f t="shared" si="192"/>
        <v/>
      </c>
      <c r="R276" s="76">
        <f t="shared" si="193"/>
        <v>0</v>
      </c>
      <c r="S276" s="64">
        <f t="shared" si="203"/>
        <v>1</v>
      </c>
      <c r="T276" s="42" t="str">
        <f t="shared" ca="1" si="204"/>
        <v>-</v>
      </c>
      <c r="U276" s="42">
        <f t="shared" si="205"/>
        <v>0</v>
      </c>
      <c r="V276" s="42" t="str">
        <f t="shared" si="206"/>
        <v>-</v>
      </c>
      <c r="W276" s="42" t="str">
        <f t="shared" si="151"/>
        <v>-</v>
      </c>
      <c r="X276" s="42" t="str">
        <f t="shared" si="152"/>
        <v>-</v>
      </c>
      <c r="Y276" s="42" t="str">
        <f t="shared" si="153"/>
        <v>-</v>
      </c>
      <c r="Z276" s="42" t="str">
        <f t="shared" si="154"/>
        <v>-</v>
      </c>
      <c r="AA276" s="42" t="str">
        <f t="shared" si="155"/>
        <v>-</v>
      </c>
      <c r="AB276" s="42" t="str">
        <f t="shared" si="156"/>
        <v>-</v>
      </c>
      <c r="AC276" s="42" t="str">
        <f t="shared" si="207"/>
        <v>-</v>
      </c>
    </row>
    <row r="277" spans="1:29" ht="28.8" outlineLevel="1" x14ac:dyDescent="0.25">
      <c r="A277" s="42" t="s">
        <v>13</v>
      </c>
      <c r="B277" s="321"/>
      <c r="C277" s="49" t="s">
        <v>199</v>
      </c>
      <c r="D277" s="206" t="str">
        <f ca="1">IFERROR(D274*D$268*1.5,"-")</f>
        <v>-</v>
      </c>
      <c r="E277" s="102">
        <f t="shared" si="211"/>
        <v>0</v>
      </c>
      <c r="F277" s="102" t="str">
        <f t="shared" ref="F277:M277" si="214">IFERROR(F274*F$268*1.5,"-")</f>
        <v>-</v>
      </c>
      <c r="G277" s="102" t="str">
        <f t="shared" si="214"/>
        <v>-</v>
      </c>
      <c r="H277" s="102" t="str">
        <f t="shared" si="214"/>
        <v>-</v>
      </c>
      <c r="I277" s="102" t="str">
        <f t="shared" si="214"/>
        <v>-</v>
      </c>
      <c r="J277" s="102" t="str">
        <f t="shared" si="214"/>
        <v>-</v>
      </c>
      <c r="K277" s="102" t="str">
        <f t="shared" ref="K277" si="215">IFERROR(K274*K$268*1.5,"-")</f>
        <v>-</v>
      </c>
      <c r="L277" s="102" t="str">
        <f t="shared" si="214"/>
        <v>-</v>
      </c>
      <c r="M277" s="157" t="str">
        <f t="shared" si="214"/>
        <v>-</v>
      </c>
      <c r="N277" s="53" t="s">
        <v>200</v>
      </c>
      <c r="O277" s="74"/>
      <c r="Q277" s="75" t="str">
        <f t="shared" si="192"/>
        <v/>
      </c>
      <c r="R277" s="76">
        <f t="shared" si="193"/>
        <v>0</v>
      </c>
      <c r="S277" s="64">
        <f t="shared" si="203"/>
        <v>1</v>
      </c>
      <c r="T277" s="42" t="str">
        <f t="shared" ca="1" si="204"/>
        <v>-</v>
      </c>
      <c r="U277" s="42">
        <f t="shared" si="205"/>
        <v>0</v>
      </c>
      <c r="V277" s="42" t="str">
        <f t="shared" si="206"/>
        <v>-</v>
      </c>
      <c r="W277" s="42" t="str">
        <f t="shared" si="151"/>
        <v>-</v>
      </c>
      <c r="X277" s="42" t="str">
        <f t="shared" si="152"/>
        <v>-</v>
      </c>
      <c r="Y277" s="42" t="str">
        <f t="shared" si="153"/>
        <v>-</v>
      </c>
      <c r="Z277" s="42" t="str">
        <f t="shared" si="154"/>
        <v>-</v>
      </c>
      <c r="AA277" s="42" t="str">
        <f t="shared" si="155"/>
        <v>-</v>
      </c>
      <c r="AB277" s="42" t="str">
        <f t="shared" si="156"/>
        <v>-</v>
      </c>
      <c r="AC277" s="42" t="str">
        <f t="shared" si="207"/>
        <v>-</v>
      </c>
    </row>
    <row r="278" spans="1:29" ht="28.8" outlineLevel="1" x14ac:dyDescent="0.25">
      <c r="A278" s="42" t="s">
        <v>13</v>
      </c>
      <c r="B278" s="321"/>
      <c r="C278" s="49" t="s">
        <v>201</v>
      </c>
      <c r="D278" s="206" t="str">
        <f ca="1">IFERROR(D275*D$268*2,"-")</f>
        <v>-</v>
      </c>
      <c r="E278" s="102">
        <f t="shared" si="211"/>
        <v>0</v>
      </c>
      <c r="F278" s="102" t="str">
        <f t="shared" ref="F278:M278" si="216">IFERROR(F275*F$268*2,"-")</f>
        <v>-</v>
      </c>
      <c r="G278" s="102" t="str">
        <f t="shared" si="216"/>
        <v>-</v>
      </c>
      <c r="H278" s="102" t="str">
        <f t="shared" si="216"/>
        <v>-</v>
      </c>
      <c r="I278" s="102" t="str">
        <f t="shared" si="216"/>
        <v>-</v>
      </c>
      <c r="J278" s="102" t="str">
        <f t="shared" si="216"/>
        <v>-</v>
      </c>
      <c r="K278" s="102" t="str">
        <f t="shared" ref="K278" si="217">IFERROR(K275*K$268*2,"-")</f>
        <v>-</v>
      </c>
      <c r="L278" s="102" t="str">
        <f t="shared" si="216"/>
        <v>-</v>
      </c>
      <c r="M278" s="157" t="str">
        <f t="shared" si="216"/>
        <v>-</v>
      </c>
      <c r="N278" s="53" t="s">
        <v>202</v>
      </c>
      <c r="O278" s="74"/>
      <c r="Q278" s="75" t="str">
        <f t="shared" si="192"/>
        <v/>
      </c>
      <c r="R278" s="76">
        <f t="shared" si="193"/>
        <v>0</v>
      </c>
      <c r="S278" s="64">
        <f t="shared" si="203"/>
        <v>1</v>
      </c>
      <c r="T278" s="42" t="str">
        <f t="shared" ca="1" si="204"/>
        <v>-</v>
      </c>
      <c r="U278" s="42">
        <f t="shared" si="205"/>
        <v>0</v>
      </c>
      <c r="V278" s="42" t="str">
        <f t="shared" si="206"/>
        <v>-</v>
      </c>
      <c r="W278" s="42" t="str">
        <f t="shared" ref="W278:W327" si="218">IF($S278&lt;&gt;1,"",IF(IFERROR(SEARCH("(",G278),0)=0,G278,VALUE(TRIM(LEFT(G278,SEARCH(" (",G278))))))</f>
        <v>-</v>
      </c>
      <c r="X278" s="42" t="str">
        <f t="shared" ref="X278:X327" si="219">IF($S278&lt;&gt;1,"",IF(IFERROR(SEARCH("(",H278),0)=0,H278,VALUE(TRIM(LEFT(H278,SEARCH(" (",H278))))))</f>
        <v>-</v>
      </c>
      <c r="Y278" s="42" t="str">
        <f t="shared" ref="Y278:Y327" si="220">IF($S278&lt;&gt;1,"",IF(IFERROR(SEARCH("(",I278),0)=0,I278,VALUE(TRIM(LEFT(I278,SEARCH(" (",I278))))))</f>
        <v>-</v>
      </c>
      <c r="Z278" s="42" t="str">
        <f t="shared" ref="Z278:Z327" si="221">IF($S278&lt;&gt;1,"",IF(IFERROR(SEARCH("(",J278),0)=0,J278,VALUE(TRIM(LEFT(J278,SEARCH(" (",J278))))))</f>
        <v>-</v>
      </c>
      <c r="AA278" s="42" t="str">
        <f t="shared" ref="AA278:AA327" si="222">IF($S278&lt;&gt;1,"",IF(IFERROR(SEARCH("(",K278),0)=0,K278,VALUE(TRIM(LEFT(K278,SEARCH(" (",K278))))))</f>
        <v>-</v>
      </c>
      <c r="AB278" s="42" t="str">
        <f t="shared" ref="AB278:AB327" si="223">IF($S278&lt;&gt;1,"",IF(IFERROR(SEARCH("(",L278),0)=0,L278,VALUE(TRIM(LEFT(L278,SEARCH(" (",L278))))))</f>
        <v>-</v>
      </c>
      <c r="AC278" s="42" t="str">
        <f t="shared" si="207"/>
        <v>-</v>
      </c>
    </row>
    <row r="279" spans="1:29" s="103" customFormat="1" ht="28.8" outlineLevel="1" x14ac:dyDescent="0.25">
      <c r="A279" s="100" t="s">
        <v>13</v>
      </c>
      <c r="B279" s="321"/>
      <c r="C279" s="62" t="s">
        <v>203</v>
      </c>
      <c r="D279" s="204">
        <f ca="1">SUM(D276:D278)</f>
        <v>0</v>
      </c>
      <c r="E279" s="99">
        <f t="shared" si="211"/>
        <v>0</v>
      </c>
      <c r="F279" s="99">
        <f t="shared" ref="F279:M279" si="224">SUM(F276:F278)</f>
        <v>0</v>
      </c>
      <c r="G279" s="99">
        <f t="shared" si="224"/>
        <v>0</v>
      </c>
      <c r="H279" s="99">
        <f t="shared" si="224"/>
        <v>0</v>
      </c>
      <c r="I279" s="99">
        <f t="shared" si="224"/>
        <v>0</v>
      </c>
      <c r="J279" s="99">
        <f t="shared" ref="J279:K279" si="225">SUM(J276:J278)</f>
        <v>0</v>
      </c>
      <c r="K279" s="99">
        <f t="shared" si="225"/>
        <v>0</v>
      </c>
      <c r="L279" s="99">
        <f t="shared" si="224"/>
        <v>0</v>
      </c>
      <c r="M279" s="159">
        <f t="shared" si="224"/>
        <v>0</v>
      </c>
      <c r="N279" s="53"/>
      <c r="O279" s="74"/>
      <c r="P279" s="100" t="s">
        <v>183</v>
      </c>
      <c r="Q279" s="75" t="str">
        <f t="shared" si="192"/>
        <v/>
      </c>
      <c r="R279" s="76">
        <f t="shared" si="193"/>
        <v>0</v>
      </c>
      <c r="S279" s="64">
        <f t="shared" si="203"/>
        <v>1</v>
      </c>
      <c r="T279" s="42">
        <f t="shared" ca="1" si="204"/>
        <v>0</v>
      </c>
      <c r="U279" s="42">
        <f t="shared" si="205"/>
        <v>0</v>
      </c>
      <c r="V279" s="42">
        <f t="shared" si="206"/>
        <v>0</v>
      </c>
      <c r="W279" s="42">
        <f t="shared" si="218"/>
        <v>0</v>
      </c>
      <c r="X279" s="42">
        <f t="shared" si="219"/>
        <v>0</v>
      </c>
      <c r="Y279" s="42">
        <f t="shared" si="220"/>
        <v>0</v>
      </c>
      <c r="Z279" s="42">
        <f t="shared" si="221"/>
        <v>0</v>
      </c>
      <c r="AA279" s="42">
        <f t="shared" si="222"/>
        <v>0</v>
      </c>
      <c r="AB279" s="42">
        <f t="shared" si="223"/>
        <v>0</v>
      </c>
      <c r="AC279" s="42">
        <f t="shared" si="207"/>
        <v>0</v>
      </c>
    </row>
    <row r="280" spans="1:29" s="103" customFormat="1" ht="28.8" outlineLevel="1" x14ac:dyDescent="0.25">
      <c r="A280" s="100" t="s">
        <v>13</v>
      </c>
      <c r="B280" s="321"/>
      <c r="C280" s="62" t="s">
        <v>164</v>
      </c>
      <c r="D280" s="204">
        <f ca="1">IFERROR(MAX(E279,DATEDIF(AVERAGE(D$4:D$5),ref!$B$3,"M")*(1/12*7%)*D279),"-")</f>
        <v>0</v>
      </c>
      <c r="E280" s="99">
        <f t="shared" ca="1" si="211"/>
        <v>0</v>
      </c>
      <c r="F280" s="99" t="str">
        <f ca="1">IFERROR(DATEDIF(AVERAGE(F$4:F$5),ref!$B$3,"M")*(1/12*7%)*F279,"-")</f>
        <v>-</v>
      </c>
      <c r="G280" s="99" t="str">
        <f ca="1">IFERROR(DATEDIF(AVERAGE(G$4:G$5),ref!$B$3,"M")*(1/12*7%)*G279,"-")</f>
        <v>-</v>
      </c>
      <c r="H280" s="99" t="str">
        <f ca="1">IFERROR(DATEDIF(AVERAGE(H$4:H$5),ref!$B$3,"M")*(1/12*7%)*H279,"-")</f>
        <v>-</v>
      </c>
      <c r="I280" s="99" t="str">
        <f ca="1">IFERROR(DATEDIF(AVERAGE(I$4:I$5),ref!$B$3,"M")*(1/12*7%)*I279,"-")</f>
        <v>-</v>
      </c>
      <c r="J280" s="99" t="str">
        <f ca="1">IFERROR(DATEDIF(AVERAGE(J$4:J$5),ref!$B$3,"M")*(1/12*7%)*J279,"-")</f>
        <v>-</v>
      </c>
      <c r="K280" s="99" t="str">
        <f ca="1">IFERROR(DATEDIF(AVERAGE(K$4:K$5),ref!$B$3,"M")*(1/12*7%)*K279,"-")</f>
        <v>-</v>
      </c>
      <c r="L280" s="99" t="str">
        <f ca="1">IFERROR(DATEDIF(AVERAGE(L$4:L$5),ref!$B$3,"M")*(1/12*7%)*L279,"-")</f>
        <v>-</v>
      </c>
      <c r="M280" s="159" t="str">
        <f ca="1">IFERROR(DATEDIF(AVERAGE(M$4:M$5),ref!$B$3,"M")*(1/12*7%)*M279,"-")</f>
        <v>-</v>
      </c>
      <c r="N280" s="96" t="str">
        <f ca="1">_xlfn.CONCAT("Interest calculated thru ",TEXT(ref!$B$3,"m/d/yyyy"),".")</f>
        <v>Interest calculated thru 3/2/2026.</v>
      </c>
      <c r="O280" s="74"/>
      <c r="P280" s="100" t="s">
        <v>184</v>
      </c>
      <c r="Q280" s="75" t="str">
        <f t="shared" ca="1" si="192"/>
        <v/>
      </c>
      <c r="R280" s="76" t="str">
        <f t="shared" si="193"/>
        <v/>
      </c>
      <c r="S280" s="64" t="str">
        <f t="shared" si="203"/>
        <v/>
      </c>
      <c r="T280" s="42" t="str">
        <f t="shared" si="204"/>
        <v/>
      </c>
      <c r="U280" s="42" t="str">
        <f t="shared" si="205"/>
        <v/>
      </c>
      <c r="V280" s="42" t="str">
        <f t="shared" si="206"/>
        <v/>
      </c>
      <c r="W280" s="42" t="str">
        <f t="shared" si="218"/>
        <v/>
      </c>
      <c r="X280" s="42" t="str">
        <f t="shared" si="219"/>
        <v/>
      </c>
      <c r="Y280" s="42" t="str">
        <f t="shared" si="220"/>
        <v/>
      </c>
      <c r="Z280" s="42" t="str">
        <f t="shared" si="221"/>
        <v/>
      </c>
      <c r="AA280" s="42" t="str">
        <f t="shared" si="222"/>
        <v/>
      </c>
      <c r="AB280" s="42" t="str">
        <f t="shared" si="223"/>
        <v/>
      </c>
      <c r="AC280" s="42" t="str">
        <f t="shared" si="207"/>
        <v/>
      </c>
    </row>
    <row r="281" spans="1:29" s="103" customFormat="1" ht="28.8" outlineLevel="1" x14ac:dyDescent="0.25">
      <c r="A281" s="100" t="s">
        <v>13</v>
      </c>
      <c r="B281" s="322"/>
      <c r="C281" s="62" t="s">
        <v>204</v>
      </c>
      <c r="D281" s="204">
        <f ca="1">SUM(D279:D280)</f>
        <v>0</v>
      </c>
      <c r="E281" s="99">
        <f t="shared" ca="1" si="211"/>
        <v>0</v>
      </c>
      <c r="F281" s="99">
        <f t="shared" ref="F281:M281" ca="1" si="226">SUM(F279:F280)</f>
        <v>0</v>
      </c>
      <c r="G281" s="99">
        <f t="shared" ca="1" si="226"/>
        <v>0</v>
      </c>
      <c r="H281" s="99">
        <f t="shared" ca="1" si="226"/>
        <v>0</v>
      </c>
      <c r="I281" s="99">
        <f t="shared" ca="1" si="226"/>
        <v>0</v>
      </c>
      <c r="J281" s="99">
        <f t="shared" ref="J281:K281" ca="1" si="227">SUM(J279:J280)</f>
        <v>0</v>
      </c>
      <c r="K281" s="99">
        <f t="shared" ca="1" si="227"/>
        <v>0</v>
      </c>
      <c r="L281" s="99">
        <f t="shared" ca="1" si="226"/>
        <v>0</v>
      </c>
      <c r="M281" s="159">
        <f t="shared" ca="1" si="226"/>
        <v>0</v>
      </c>
      <c r="N281" s="104"/>
      <c r="O281" s="74"/>
      <c r="P281" s="100" t="s">
        <v>186</v>
      </c>
      <c r="Q281" s="75" t="str">
        <f t="shared" ca="1" si="192"/>
        <v/>
      </c>
      <c r="R281" s="76" t="str">
        <f t="shared" si="193"/>
        <v/>
      </c>
      <c r="S281" s="64" t="str">
        <f t="shared" si="203"/>
        <v/>
      </c>
      <c r="T281" s="42" t="str">
        <f t="shared" si="204"/>
        <v/>
      </c>
      <c r="U281" s="42" t="str">
        <f t="shared" si="205"/>
        <v/>
      </c>
      <c r="V281" s="42" t="str">
        <f t="shared" si="206"/>
        <v/>
      </c>
      <c r="W281" s="42" t="str">
        <f t="shared" si="218"/>
        <v/>
      </c>
      <c r="X281" s="42" t="str">
        <f t="shared" si="219"/>
        <v/>
      </c>
      <c r="Y281" s="42" t="str">
        <f t="shared" si="220"/>
        <v/>
      </c>
      <c r="Z281" s="42" t="str">
        <f t="shared" si="221"/>
        <v/>
      </c>
      <c r="AA281" s="42" t="str">
        <f t="shared" si="222"/>
        <v/>
      </c>
      <c r="AB281" s="42" t="str">
        <f t="shared" si="223"/>
        <v/>
      </c>
      <c r="AC281" s="42" t="str">
        <f t="shared" si="207"/>
        <v/>
      </c>
    </row>
    <row r="282" spans="1:29" x14ac:dyDescent="0.25">
      <c r="A282" s="42">
        <v>1</v>
      </c>
      <c r="C282" s="58"/>
      <c r="D282" s="190"/>
      <c r="E282" s="97"/>
      <c r="J282" s="105"/>
      <c r="K282" s="105"/>
      <c r="L282" s="105"/>
      <c r="N282" s="105"/>
      <c r="O282" s="74"/>
      <c r="P282" s="106"/>
      <c r="Q282" s="75" t="str">
        <f t="shared" si="192"/>
        <v/>
      </c>
      <c r="R282" s="76" t="str">
        <f t="shared" si="193"/>
        <v/>
      </c>
      <c r="S282" s="64" t="str">
        <f t="shared" si="203"/>
        <v/>
      </c>
      <c r="T282" s="42" t="str">
        <f t="shared" si="204"/>
        <v/>
      </c>
      <c r="U282" s="42" t="str">
        <f t="shared" si="205"/>
        <v/>
      </c>
      <c r="V282" s="42" t="str">
        <f t="shared" si="206"/>
        <v/>
      </c>
      <c r="W282" s="42" t="str">
        <f t="shared" si="218"/>
        <v/>
      </c>
      <c r="X282" s="42" t="str">
        <f t="shared" si="219"/>
        <v/>
      </c>
      <c r="Y282" s="42" t="str">
        <f t="shared" si="220"/>
        <v/>
      </c>
      <c r="Z282" s="42" t="str">
        <f t="shared" si="221"/>
        <v/>
      </c>
      <c r="AA282" s="42" t="str">
        <f t="shared" si="222"/>
        <v/>
      </c>
      <c r="AB282" s="42" t="str">
        <f t="shared" si="223"/>
        <v/>
      </c>
      <c r="AC282" s="42" t="str">
        <f t="shared" si="207"/>
        <v/>
      </c>
    </row>
    <row r="283" spans="1:29" ht="28.8" outlineLevel="1" x14ac:dyDescent="0.25">
      <c r="A283" s="42" t="s">
        <v>13</v>
      </c>
      <c r="B283" s="320" t="s">
        <v>205</v>
      </c>
      <c r="C283" s="51" t="s">
        <v>15</v>
      </c>
      <c r="D283" s="193">
        <f t="shared" ref="D283:K285" si="228">_xlfn.LET(_xlpm.calc,_xlfn.XLOOKUP($C283,$C:$C,D:D),_xlpm.calc)</f>
        <v>43466</v>
      </c>
      <c r="E283" s="52" t="e">
        <f t="shared" si="228"/>
        <v>#NAME?</v>
      </c>
      <c r="F283" s="52" t="e">
        <f t="shared" si="228"/>
        <v>#NAME?</v>
      </c>
      <c r="G283" s="52" t="e">
        <f t="shared" si="228"/>
        <v>#NAME?</v>
      </c>
      <c r="H283" s="52" t="e">
        <f t="shared" si="228"/>
        <v>#NAME?</v>
      </c>
      <c r="I283" s="52" t="e">
        <f t="shared" si="228"/>
        <v>#NAME?</v>
      </c>
      <c r="J283" s="52" t="e">
        <f t="shared" si="228"/>
        <v>#NAME?</v>
      </c>
      <c r="K283" s="52" t="e">
        <f t="shared" si="228"/>
        <v>#NAME?</v>
      </c>
      <c r="L283" s="52" t="e">
        <f t="shared" ref="L283:M285" si="229">_xlfn.LET(_xlpm.calc,_xlfn.XLOOKUP($C283,$C:$C,L:L),_xlpm.calc)</f>
        <v>#NAME?</v>
      </c>
      <c r="M283" s="154" t="e">
        <f t="shared" si="229"/>
        <v>#NAME?</v>
      </c>
      <c r="N283" s="96"/>
      <c r="O283" s="74"/>
      <c r="Q283" s="75" t="str">
        <f t="shared" si="192"/>
        <v/>
      </c>
      <c r="R283" s="76" t="str">
        <f t="shared" si="193"/>
        <v/>
      </c>
      <c r="S283" s="64" t="str">
        <f t="shared" si="203"/>
        <v/>
      </c>
      <c r="T283" s="42" t="str">
        <f t="shared" si="204"/>
        <v/>
      </c>
      <c r="U283" s="42" t="str">
        <f t="shared" si="205"/>
        <v/>
      </c>
      <c r="V283" s="42" t="str">
        <f t="shared" si="206"/>
        <v/>
      </c>
      <c r="W283" s="42" t="str">
        <f t="shared" si="218"/>
        <v/>
      </c>
      <c r="X283" s="42" t="str">
        <f t="shared" si="219"/>
        <v/>
      </c>
      <c r="Y283" s="42" t="str">
        <f t="shared" si="220"/>
        <v/>
      </c>
      <c r="Z283" s="42" t="str">
        <f t="shared" si="221"/>
        <v/>
      </c>
      <c r="AA283" s="42" t="str">
        <f t="shared" si="222"/>
        <v/>
      </c>
      <c r="AB283" s="42" t="str">
        <f t="shared" si="223"/>
        <v/>
      </c>
      <c r="AC283" s="42" t="str">
        <f t="shared" si="207"/>
        <v/>
      </c>
    </row>
    <row r="284" spans="1:29" ht="28.8" outlineLevel="1" x14ac:dyDescent="0.25">
      <c r="A284" s="42" t="s">
        <v>13</v>
      </c>
      <c r="B284" s="321"/>
      <c r="C284" s="49" t="s">
        <v>16</v>
      </c>
      <c r="D284" s="193">
        <f t="shared" ca="1" si="228"/>
        <v>46083</v>
      </c>
      <c r="E284" s="52" t="e">
        <f t="shared" si="228"/>
        <v>#NAME?</v>
      </c>
      <c r="F284" s="52" t="e">
        <f t="shared" si="228"/>
        <v>#NAME?</v>
      </c>
      <c r="G284" s="52" t="e">
        <f t="shared" si="228"/>
        <v>#NAME?</v>
      </c>
      <c r="H284" s="52" t="e">
        <f t="shared" si="228"/>
        <v>#NAME?</v>
      </c>
      <c r="I284" s="52" t="e">
        <f t="shared" si="228"/>
        <v>#NAME?</v>
      </c>
      <c r="J284" s="52" t="e">
        <f t="shared" si="228"/>
        <v>#NAME?</v>
      </c>
      <c r="K284" s="52" t="e">
        <f t="shared" si="228"/>
        <v>#NAME?</v>
      </c>
      <c r="L284" s="52" t="e">
        <f t="shared" si="229"/>
        <v>#NAME?</v>
      </c>
      <c r="M284" s="154" t="e">
        <f t="shared" si="229"/>
        <v>#NAME?</v>
      </c>
      <c r="N284" s="96"/>
      <c r="O284" s="74"/>
      <c r="Q284" s="75" t="str">
        <f t="shared" si="192"/>
        <v/>
      </c>
      <c r="R284" s="76" t="str">
        <f t="shared" si="193"/>
        <v/>
      </c>
      <c r="S284" s="64" t="str">
        <f t="shared" si="203"/>
        <v/>
      </c>
      <c r="T284" s="42" t="str">
        <f t="shared" si="204"/>
        <v/>
      </c>
      <c r="U284" s="42" t="str">
        <f t="shared" si="205"/>
        <v/>
      </c>
      <c r="V284" s="42" t="str">
        <f t="shared" si="206"/>
        <v/>
      </c>
      <c r="W284" s="42" t="str">
        <f t="shared" si="218"/>
        <v/>
      </c>
      <c r="X284" s="42" t="str">
        <f t="shared" si="219"/>
        <v/>
      </c>
      <c r="Y284" s="42" t="str">
        <f t="shared" si="220"/>
        <v/>
      </c>
      <c r="Z284" s="42" t="str">
        <f t="shared" si="221"/>
        <v/>
      </c>
      <c r="AA284" s="42" t="str">
        <f t="shared" si="222"/>
        <v/>
      </c>
      <c r="AB284" s="42" t="str">
        <f t="shared" si="223"/>
        <v/>
      </c>
      <c r="AC284" s="42" t="str">
        <f t="shared" si="207"/>
        <v/>
      </c>
    </row>
    <row r="285" spans="1:29" ht="28.8" outlineLevel="1" x14ac:dyDescent="0.25">
      <c r="A285" s="42" t="s">
        <v>13</v>
      </c>
      <c r="B285" s="321"/>
      <c r="C285" s="49" t="s">
        <v>17</v>
      </c>
      <c r="D285" s="195">
        <f t="shared" si="228"/>
        <v>0</v>
      </c>
      <c r="E285" s="65">
        <f t="shared" si="228"/>
        <v>0</v>
      </c>
      <c r="F285" s="65">
        <f t="shared" si="228"/>
        <v>0</v>
      </c>
      <c r="G285" s="65">
        <f t="shared" si="228"/>
        <v>0</v>
      </c>
      <c r="H285" s="65">
        <f t="shared" si="228"/>
        <v>0</v>
      </c>
      <c r="I285" s="65">
        <f t="shared" si="228"/>
        <v>0</v>
      </c>
      <c r="J285" s="65">
        <f t="shared" si="228"/>
        <v>0</v>
      </c>
      <c r="K285" s="65">
        <f t="shared" si="228"/>
        <v>0</v>
      </c>
      <c r="L285" s="65">
        <f t="shared" si="229"/>
        <v>0</v>
      </c>
      <c r="M285" s="155">
        <f t="shared" si="229"/>
        <v>0</v>
      </c>
      <c r="N285" s="96"/>
      <c r="O285" s="74"/>
      <c r="Q285" s="75" t="str">
        <f t="shared" si="192"/>
        <v/>
      </c>
      <c r="R285" s="76" t="str">
        <f t="shared" si="193"/>
        <v/>
      </c>
      <c r="S285" s="64" t="str">
        <f t="shared" si="203"/>
        <v/>
      </c>
      <c r="T285" s="42" t="str">
        <f t="shared" si="204"/>
        <v/>
      </c>
      <c r="U285" s="42" t="str">
        <f t="shared" si="205"/>
        <v/>
      </c>
      <c r="V285" s="42" t="str">
        <f t="shared" si="206"/>
        <v/>
      </c>
      <c r="W285" s="42" t="str">
        <f t="shared" si="218"/>
        <v/>
      </c>
      <c r="X285" s="42" t="str">
        <f t="shared" si="219"/>
        <v/>
      </c>
      <c r="Y285" s="42" t="str">
        <f t="shared" si="220"/>
        <v/>
      </c>
      <c r="Z285" s="42" t="str">
        <f t="shared" si="221"/>
        <v/>
      </c>
      <c r="AA285" s="42" t="str">
        <f t="shared" si="222"/>
        <v/>
      </c>
      <c r="AB285" s="42" t="str">
        <f t="shared" si="223"/>
        <v/>
      </c>
      <c r="AC285" s="42" t="str">
        <f t="shared" si="207"/>
        <v/>
      </c>
    </row>
    <row r="286" spans="1:29" ht="28.8" outlineLevel="1" x14ac:dyDescent="0.25">
      <c r="A286" s="42" t="s">
        <v>13</v>
      </c>
      <c r="B286" s="321"/>
      <c r="C286" s="49" t="s">
        <v>206</v>
      </c>
      <c r="D286" s="195" t="str">
        <f>_xlfn.LET(_xlpm.calc,ROUND($Q286*D285,0),_xlpm.perc,_xlpm.calc/D285,IFERROR(IF(_xlpm.calc&lt;1000,_xlfn.CONCAT(_xlpm.calc," (",TEXT(_xlpm.perc,"0.0%"),")"),_xlfn.CONCAT(TEXT(_xlpm.calc,"0,000")," (",TEXT(_xlpm.perc,"0.0%"),")")),"-"))</f>
        <v>-</v>
      </c>
      <c r="E286" s="56" t="str">
        <f>_xlfn.LET(_xlpm.calc,E285,_xlpm.perc,_xlpm.calc/E285,IFERROR(IF(_xlpm.calc&lt;1000,_xlfn.CONCAT(_xlpm.calc," (",TEXT(_xlpm.perc,"0.0%"),")"),_xlfn.CONCAT(TEXT(_xlpm.calc,"0,000")," (",TEXT(_xlpm.perc,"0.0%"),")")),"-"))</f>
        <v>-</v>
      </c>
      <c r="F286" s="65" t="str">
        <f t="shared" ref="F286" si="230">_xlfn.LET(_xlpm.calc,F285,_xlpm.perc,_xlpm.calc/F285,IFERROR(IF(_xlpm.calc&lt;1000,_xlfn.CONCAT(_xlpm.calc," (",TEXT(_xlpm.perc,"0.0%"),")"),_xlfn.CONCAT(TEXT(_xlpm.calc,"0,000")," (",TEXT(_xlpm.perc,"0.0%"),")")),"-"))</f>
        <v>-</v>
      </c>
      <c r="G286" s="65" t="str">
        <f t="shared" ref="G286" si="231">_xlfn.LET(_xlpm.calc,G285,_xlpm.perc,_xlpm.calc/G285,IFERROR(IF(_xlpm.calc&lt;1000,_xlfn.CONCAT(_xlpm.calc," (",TEXT(_xlpm.perc,"0.0%"),")"),_xlfn.CONCAT(TEXT(_xlpm.calc,"0,000")," (",TEXT(_xlpm.perc,"0.0%"),")")),"-"))</f>
        <v>-</v>
      </c>
      <c r="H286" s="65" t="str">
        <f t="shared" ref="H286" si="232">_xlfn.LET(_xlpm.calc,H285,_xlpm.perc,_xlpm.calc/H285,IFERROR(IF(_xlpm.calc&lt;1000,_xlfn.CONCAT(_xlpm.calc," (",TEXT(_xlpm.perc,"0.0%"),")"),_xlfn.CONCAT(TEXT(_xlpm.calc,"0,000")," (",TEXT(_xlpm.perc,"0.0%"),")")),"-"))</f>
        <v>-</v>
      </c>
      <c r="I286" s="65" t="str">
        <f t="shared" ref="I286" si="233">_xlfn.LET(_xlpm.calc,I285,_xlpm.perc,_xlpm.calc/I285,IFERROR(IF(_xlpm.calc&lt;1000,_xlfn.CONCAT(_xlpm.calc," (",TEXT(_xlpm.perc,"0.0%"),")"),_xlfn.CONCAT(TEXT(_xlpm.calc,"0,000")," (",TEXT(_xlpm.perc,"0.0%"),")")),"-"))</f>
        <v>-</v>
      </c>
      <c r="J286" s="65" t="str">
        <f t="shared" ref="J286:L286" si="234">_xlfn.LET(_xlpm.calc,J285,_xlpm.perc,_xlpm.calc/J285,IFERROR(IF(_xlpm.calc&lt;1000,_xlfn.CONCAT(_xlpm.calc," (",TEXT(_xlpm.perc,"0.0%"),")"),_xlfn.CONCAT(TEXT(_xlpm.calc,"0,000")," (",TEXT(_xlpm.perc,"0.0%"),")")),"-"))</f>
        <v>-</v>
      </c>
      <c r="K286" s="65" t="str">
        <f t="shared" ref="K286" si="235">_xlfn.LET(_xlpm.calc,K285,_xlpm.perc,_xlpm.calc/K285,IFERROR(IF(_xlpm.calc&lt;1000,_xlfn.CONCAT(_xlpm.calc," (",TEXT(_xlpm.perc,"0.0%"),")"),_xlfn.CONCAT(TEXT(_xlpm.calc,"0,000")," (",TEXT(_xlpm.perc,"0.0%"),")")),"-"))</f>
        <v>-</v>
      </c>
      <c r="L286" s="65" t="str">
        <f t="shared" si="234"/>
        <v>-</v>
      </c>
      <c r="M286" s="155" t="str">
        <f t="shared" ref="M286" si="236">_xlfn.LET(_xlpm.calc,M285,_xlpm.perc,_xlpm.calc/M285,IFERROR(IF(_xlpm.calc&lt;1000,_xlfn.CONCAT(_xlpm.calc," (",TEXT(_xlpm.perc,"0.0%"),")"),_xlfn.CONCAT(TEXT(_xlpm.calc,"0,000")," (",TEXT(_xlpm.perc,"0.0%"),")")),"-"))</f>
        <v>-</v>
      </c>
      <c r="N286" s="96"/>
      <c r="O286" s="74"/>
      <c r="Q286" s="75" t="str">
        <f t="shared" si="192"/>
        <v/>
      </c>
      <c r="R286" s="76" t="str">
        <f t="shared" si="193"/>
        <v/>
      </c>
      <c r="S286" s="64" t="str">
        <f t="shared" si="203"/>
        <v/>
      </c>
      <c r="T286" s="42" t="str">
        <f t="shared" si="204"/>
        <v/>
      </c>
      <c r="U286" s="42" t="str">
        <f t="shared" si="205"/>
        <v/>
      </c>
      <c r="V286" s="42" t="str">
        <f t="shared" si="206"/>
        <v/>
      </c>
      <c r="W286" s="42" t="str">
        <f t="shared" si="218"/>
        <v/>
      </c>
      <c r="X286" s="42" t="str">
        <f t="shared" si="219"/>
        <v/>
      </c>
      <c r="Y286" s="42" t="str">
        <f t="shared" si="220"/>
        <v/>
      </c>
      <c r="Z286" s="42" t="str">
        <f t="shared" si="221"/>
        <v/>
      </c>
      <c r="AA286" s="42" t="str">
        <f t="shared" si="222"/>
        <v/>
      </c>
      <c r="AB286" s="42" t="str">
        <f t="shared" si="223"/>
        <v/>
      </c>
      <c r="AC286" s="42" t="str">
        <f t="shared" si="207"/>
        <v/>
      </c>
    </row>
    <row r="287" spans="1:29" ht="28.8" outlineLevel="1" x14ac:dyDescent="0.25">
      <c r="A287" s="42" t="s">
        <v>13</v>
      </c>
      <c r="B287" s="321"/>
      <c r="C287" s="49" t="s">
        <v>21</v>
      </c>
      <c r="D287" s="195" t="e">
        <f t="shared" ref="D287:K287" ca="1" si="237">_xlfn.LET(_xlpm.calc,_xlfn.XLOOKUP($C287,$C:$C,D:D),_xlpm.calc)</f>
        <v>#NAME?</v>
      </c>
      <c r="E287" s="65">
        <f t="shared" si="237"/>
        <v>0</v>
      </c>
      <c r="F287" s="65">
        <f t="shared" si="237"/>
        <v>0</v>
      </c>
      <c r="G287" s="65">
        <f t="shared" si="237"/>
        <v>0</v>
      </c>
      <c r="H287" s="65">
        <f t="shared" si="237"/>
        <v>0</v>
      </c>
      <c r="I287" s="65">
        <f t="shared" si="237"/>
        <v>0</v>
      </c>
      <c r="J287" s="65">
        <f t="shared" si="237"/>
        <v>0</v>
      </c>
      <c r="K287" s="65">
        <f t="shared" si="237"/>
        <v>0</v>
      </c>
      <c r="L287" s="65">
        <f>_xlfn.LET(_xlpm.calc,_xlfn.XLOOKUP($C287,$C:$C,L:L),_xlpm.calc)</f>
        <v>0</v>
      </c>
      <c r="M287" s="155">
        <f>_xlfn.LET(_xlpm.calc,_xlfn.XLOOKUP($C287,$C:$C,M:M),_xlpm.calc)</f>
        <v>0</v>
      </c>
      <c r="N287" s="96" t="str">
        <f>_xlfn.CONCAT("Assumes ",TEXT($O$287,"$0")," unreimbursed expenses per pay period.")</f>
        <v>Assumes $0 unreimbursed expenses per pay period.</v>
      </c>
      <c r="O287" s="107">
        <v>0</v>
      </c>
      <c r="Q287" s="75" t="str">
        <f t="shared" si="192"/>
        <v/>
      </c>
      <c r="R287" s="76">
        <f t="shared" si="193"/>
        <v>0</v>
      </c>
      <c r="S287" s="64">
        <f t="shared" si="203"/>
        <v>1</v>
      </c>
      <c r="T287" s="42" t="e">
        <f t="shared" ca="1" si="204"/>
        <v>#NAME?</v>
      </c>
      <c r="U287" s="42">
        <f t="shared" si="205"/>
        <v>0</v>
      </c>
      <c r="V287" s="42">
        <f t="shared" si="206"/>
        <v>0</v>
      </c>
      <c r="W287" s="42">
        <f t="shared" si="218"/>
        <v>0</v>
      </c>
      <c r="X287" s="42">
        <f t="shared" si="219"/>
        <v>0</v>
      </c>
      <c r="Y287" s="42">
        <f t="shared" si="220"/>
        <v>0</v>
      </c>
      <c r="Z287" s="42">
        <f t="shared" si="221"/>
        <v>0</v>
      </c>
      <c r="AA287" s="42">
        <f t="shared" si="222"/>
        <v>0</v>
      </c>
      <c r="AB287" s="42">
        <f t="shared" si="223"/>
        <v>0</v>
      </c>
      <c r="AC287" s="42">
        <f t="shared" si="207"/>
        <v>0</v>
      </c>
    </row>
    <row r="288" spans="1:29" s="103" customFormat="1" ht="28.8" outlineLevel="1" x14ac:dyDescent="0.25">
      <c r="A288" s="100" t="s">
        <v>13</v>
      </c>
      <c r="B288" s="321"/>
      <c r="C288" s="62" t="s">
        <v>207</v>
      </c>
      <c r="D288" s="204" t="e">
        <f t="shared" ref="D288:M288" ca="1" si="238">D287*$O$287</f>
        <v>#NAME?</v>
      </c>
      <c r="E288" s="99">
        <f t="shared" si="238"/>
        <v>0</v>
      </c>
      <c r="F288" s="99">
        <f t="shared" si="238"/>
        <v>0</v>
      </c>
      <c r="G288" s="99">
        <f t="shared" si="238"/>
        <v>0</v>
      </c>
      <c r="H288" s="99">
        <f t="shared" si="238"/>
        <v>0</v>
      </c>
      <c r="I288" s="99">
        <f t="shared" si="238"/>
        <v>0</v>
      </c>
      <c r="J288" s="99">
        <f t="shared" si="238"/>
        <v>0</v>
      </c>
      <c r="K288" s="99">
        <f t="shared" si="238"/>
        <v>0</v>
      </c>
      <c r="L288" s="99">
        <f t="shared" si="238"/>
        <v>0</v>
      </c>
      <c r="M288" s="159">
        <f t="shared" si="238"/>
        <v>0</v>
      </c>
      <c r="N288" s="96"/>
      <c r="O288" s="74"/>
      <c r="P288" s="100" t="s">
        <v>183</v>
      </c>
      <c r="Q288" s="75" t="str">
        <f t="shared" si="192"/>
        <v/>
      </c>
      <c r="R288" s="76">
        <f t="shared" si="193"/>
        <v>0</v>
      </c>
      <c r="S288" s="64">
        <f t="shared" si="203"/>
        <v>1</v>
      </c>
      <c r="T288" s="42" t="e">
        <f t="shared" ca="1" si="204"/>
        <v>#NAME?</v>
      </c>
      <c r="U288" s="42">
        <f t="shared" si="205"/>
        <v>0</v>
      </c>
      <c r="V288" s="42">
        <f t="shared" si="206"/>
        <v>0</v>
      </c>
      <c r="W288" s="42">
        <f t="shared" si="218"/>
        <v>0</v>
      </c>
      <c r="X288" s="42">
        <f t="shared" si="219"/>
        <v>0</v>
      </c>
      <c r="Y288" s="42">
        <f t="shared" si="220"/>
        <v>0</v>
      </c>
      <c r="Z288" s="42">
        <f t="shared" si="221"/>
        <v>0</v>
      </c>
      <c r="AA288" s="42">
        <f t="shared" si="222"/>
        <v>0</v>
      </c>
      <c r="AB288" s="42">
        <f t="shared" si="223"/>
        <v>0</v>
      </c>
      <c r="AC288" s="42">
        <f t="shared" si="207"/>
        <v>0</v>
      </c>
    </row>
    <row r="289" spans="1:29" ht="28.8" outlineLevel="1" x14ac:dyDescent="0.25">
      <c r="A289" s="42" t="s">
        <v>13</v>
      </c>
      <c r="B289" s="321"/>
      <c r="C289" s="49" t="s">
        <v>208</v>
      </c>
      <c r="D289" s="195">
        <f t="shared" ref="D289:M289" si="239">ROUNDUP(D$285*$O$289,0)</f>
        <v>0</v>
      </c>
      <c r="E289" s="65">
        <f t="shared" si="239"/>
        <v>0</v>
      </c>
      <c r="F289" s="65">
        <f t="shared" si="239"/>
        <v>0</v>
      </c>
      <c r="G289" s="65">
        <f t="shared" si="239"/>
        <v>0</v>
      </c>
      <c r="H289" s="65">
        <f t="shared" si="239"/>
        <v>0</v>
      </c>
      <c r="I289" s="65">
        <f t="shared" si="239"/>
        <v>0</v>
      </c>
      <c r="J289" s="65">
        <f t="shared" si="239"/>
        <v>0</v>
      </c>
      <c r="K289" s="65">
        <f t="shared" si="239"/>
        <v>0</v>
      </c>
      <c r="L289" s="65">
        <f t="shared" si="239"/>
        <v>0</v>
      </c>
      <c r="M289" s="155">
        <f t="shared" si="239"/>
        <v>0</v>
      </c>
      <c r="N289" s="96" t="str">
        <f>"Assumes "&amp;TEXT(O289,"0%")&amp;" of employees had "&amp;$O$290&amp;" unreimbursed miles per pay period."</f>
        <v>Assumes 0% of employees had 0 unreimbursed miles per pay period.</v>
      </c>
      <c r="O289" s="108">
        <v>0</v>
      </c>
      <c r="Q289" s="75" t="str">
        <f t="shared" si="192"/>
        <v/>
      </c>
      <c r="R289" s="76" t="str">
        <f t="shared" si="193"/>
        <v/>
      </c>
      <c r="S289" s="64" t="str">
        <f t="shared" si="203"/>
        <v/>
      </c>
      <c r="T289" s="42" t="str">
        <f t="shared" si="204"/>
        <v/>
      </c>
      <c r="U289" s="42" t="str">
        <f t="shared" si="205"/>
        <v/>
      </c>
      <c r="V289" s="42" t="str">
        <f t="shared" si="206"/>
        <v/>
      </c>
      <c r="W289" s="42" t="str">
        <f t="shared" si="218"/>
        <v/>
      </c>
      <c r="X289" s="42" t="str">
        <f t="shared" si="219"/>
        <v/>
      </c>
      <c r="Y289" s="42" t="str">
        <f t="shared" si="220"/>
        <v/>
      </c>
      <c r="Z289" s="42" t="str">
        <f t="shared" si="221"/>
        <v/>
      </c>
      <c r="AA289" s="42" t="str">
        <f t="shared" si="222"/>
        <v/>
      </c>
      <c r="AB289" s="42" t="str">
        <f t="shared" si="223"/>
        <v/>
      </c>
      <c r="AC289" s="42" t="str">
        <f t="shared" si="207"/>
        <v/>
      </c>
    </row>
    <row r="290" spans="1:29" ht="28.8" outlineLevel="1" x14ac:dyDescent="0.25">
      <c r="A290" s="42" t="s">
        <v>13</v>
      </c>
      <c r="B290" s="321"/>
      <c r="C290" s="49" t="s">
        <v>209</v>
      </c>
      <c r="D290" s="195" t="e">
        <f t="shared" ref="D290:M290" ca="1" si="240">ROUNDUP(D$287*$O$289,0)</f>
        <v>#NAME?</v>
      </c>
      <c r="E290" s="65">
        <f t="shared" si="240"/>
        <v>0</v>
      </c>
      <c r="F290" s="65">
        <f t="shared" si="240"/>
        <v>0</v>
      </c>
      <c r="G290" s="65">
        <f t="shared" si="240"/>
        <v>0</v>
      </c>
      <c r="H290" s="65">
        <f t="shared" si="240"/>
        <v>0</v>
      </c>
      <c r="I290" s="65">
        <f t="shared" si="240"/>
        <v>0</v>
      </c>
      <c r="J290" s="65">
        <f t="shared" si="240"/>
        <v>0</v>
      </c>
      <c r="K290" s="65">
        <f t="shared" si="240"/>
        <v>0</v>
      </c>
      <c r="L290" s="65">
        <f t="shared" si="240"/>
        <v>0</v>
      </c>
      <c r="M290" s="155">
        <f t="shared" si="240"/>
        <v>0</v>
      </c>
      <c r="N290" s="104"/>
      <c r="O290" s="101">
        <v>0</v>
      </c>
      <c r="Q290" s="75" t="str">
        <f t="shared" si="192"/>
        <v/>
      </c>
      <c r="R290" s="76">
        <f t="shared" si="193"/>
        <v>0</v>
      </c>
      <c r="S290" s="64">
        <f t="shared" si="203"/>
        <v>1</v>
      </c>
      <c r="T290" s="42" t="e">
        <f t="shared" ca="1" si="204"/>
        <v>#NAME?</v>
      </c>
      <c r="U290" s="42">
        <f t="shared" si="205"/>
        <v>0</v>
      </c>
      <c r="V290" s="42">
        <f t="shared" si="206"/>
        <v>0</v>
      </c>
      <c r="W290" s="42">
        <f t="shared" si="218"/>
        <v>0</v>
      </c>
      <c r="X290" s="42">
        <f t="shared" si="219"/>
        <v>0</v>
      </c>
      <c r="Y290" s="42">
        <f t="shared" si="220"/>
        <v>0</v>
      </c>
      <c r="Z290" s="42">
        <f t="shared" si="221"/>
        <v>0</v>
      </c>
      <c r="AA290" s="42">
        <f t="shared" si="222"/>
        <v>0</v>
      </c>
      <c r="AB290" s="42">
        <f t="shared" si="223"/>
        <v>0</v>
      </c>
      <c r="AC290" s="42">
        <f t="shared" si="207"/>
        <v>0</v>
      </c>
    </row>
    <row r="291" spans="1:29" s="103" customFormat="1" ht="28.8" outlineLevel="1" x14ac:dyDescent="0.25">
      <c r="A291" s="100" t="s">
        <v>13</v>
      </c>
      <c r="B291" s="321"/>
      <c r="C291" s="62" t="s">
        <v>210</v>
      </c>
      <c r="D291" s="204" t="str">
        <f ca="1">IFERROR(D$290*$O$290*AVERAGEIFS('Mileage Table'!$D:$D,'Mileage Table'!$C:$C,"&gt;="&amp;D$283,'Mileage Table'!$C:$C,"&lt;="&amp;D$284),"-")</f>
        <v>-</v>
      </c>
      <c r="E291" s="99">
        <f>SUM(F291:L291)</f>
        <v>0</v>
      </c>
      <c r="F291" s="99" t="str">
        <f>IFERROR(F$290*$O$290*AVERAGEIFS('Mileage Table'!$D:$D,'Mileage Table'!$C:$C,"&gt;="&amp;F$283,'Mileage Table'!$C:$C,"&lt;="&amp;F$284),"-")</f>
        <v>-</v>
      </c>
      <c r="G291" s="99" t="str">
        <f>IFERROR(G$290*$O$290*AVERAGEIFS('Mileage Table'!$D:$D,'Mileage Table'!$C:$C,"&gt;="&amp;G$283,'Mileage Table'!$C:$C,"&lt;="&amp;G$284),"-")</f>
        <v>-</v>
      </c>
      <c r="H291" s="99" t="str">
        <f>IFERROR(H$290*$O$290*AVERAGEIFS('Mileage Table'!$D:$D,'Mileage Table'!$C:$C,"&gt;="&amp;H$283,'Mileage Table'!$C:$C,"&lt;="&amp;H$284),"-")</f>
        <v>-</v>
      </c>
      <c r="I291" s="99" t="str">
        <f>IFERROR(I$290*$O$290*AVERAGEIFS('Mileage Table'!$D:$D,'Mileage Table'!$C:$C,"&gt;="&amp;I$283,'Mileage Table'!$C:$C,"&lt;="&amp;I$284),"-")</f>
        <v>-</v>
      </c>
      <c r="J291" s="99" t="str">
        <f>IFERROR(J$290*$O$290*AVERAGEIFS('Mileage Table'!$D:$D,'Mileage Table'!$C:$C,"&gt;="&amp;J$283,'Mileage Table'!$C:$C,"&lt;="&amp;J$284),"-")</f>
        <v>-</v>
      </c>
      <c r="K291" s="99" t="str">
        <f>IFERROR(K$290*$O$290*AVERAGEIFS('Mileage Table'!$D:$D,'Mileage Table'!$C:$C,"&gt;="&amp;K$283,'Mileage Table'!$C:$C,"&lt;="&amp;K$284),"-")</f>
        <v>-</v>
      </c>
      <c r="L291" s="99" t="str">
        <f>IFERROR(L$290*$O$290*AVERAGEIFS('Mileage Table'!$D:$D,'Mileage Table'!$C:$C,"&gt;="&amp;L$283,'Mileage Table'!$C:$C,"&lt;="&amp;L$284),"-")</f>
        <v>-</v>
      </c>
      <c r="M291" s="159" t="str">
        <f>IFERROR(M$290*$O$290*AVERAGEIFS('Mileage Table'!$D:$D,'Mileage Table'!$C:$C,"&gt;="&amp;M$283,'Mileage Table'!$C:$C,"&lt;="&amp;M$284),"-")</f>
        <v>-</v>
      </c>
      <c r="N291" s="96" t="s">
        <v>211</v>
      </c>
      <c r="O291" s="74"/>
      <c r="P291" s="100" t="s">
        <v>183</v>
      </c>
      <c r="Q291" s="75" t="str">
        <f t="shared" si="192"/>
        <v/>
      </c>
      <c r="R291" s="76">
        <f t="shared" si="193"/>
        <v>0</v>
      </c>
      <c r="S291" s="64">
        <f t="shared" si="203"/>
        <v>1</v>
      </c>
      <c r="T291" s="42" t="str">
        <f t="shared" ca="1" si="204"/>
        <v>-</v>
      </c>
      <c r="U291" s="42">
        <f t="shared" si="205"/>
        <v>0</v>
      </c>
      <c r="V291" s="42" t="str">
        <f t="shared" si="206"/>
        <v>-</v>
      </c>
      <c r="W291" s="42" t="str">
        <f t="shared" si="218"/>
        <v>-</v>
      </c>
      <c r="X291" s="42" t="str">
        <f t="shared" si="219"/>
        <v>-</v>
      </c>
      <c r="Y291" s="42" t="str">
        <f t="shared" si="220"/>
        <v>-</v>
      </c>
      <c r="Z291" s="42" t="str">
        <f t="shared" si="221"/>
        <v>-</v>
      </c>
      <c r="AA291" s="42" t="str">
        <f t="shared" si="222"/>
        <v>-</v>
      </c>
      <c r="AB291" s="42" t="str">
        <f t="shared" si="223"/>
        <v>-</v>
      </c>
      <c r="AC291" s="42" t="str">
        <f t="shared" si="207"/>
        <v>-</v>
      </c>
    </row>
    <row r="292" spans="1:29" s="103" customFormat="1" ht="28.8" outlineLevel="1" x14ac:dyDescent="0.25">
      <c r="A292" s="100" t="s">
        <v>13</v>
      </c>
      <c r="B292" s="321"/>
      <c r="C292" s="62" t="s">
        <v>164</v>
      </c>
      <c r="D292" s="204" t="str">
        <f ca="1">IFERROR(MAX(E291,DATEDIF(AVERAGE(D$4:D$5),ref!$B$3,"M")*(1/12*7%)*(D291+D288)),"-")</f>
        <v>-</v>
      </c>
      <c r="E292" s="99">
        <f ca="1">SUM(F292:L292)</f>
        <v>0</v>
      </c>
      <c r="F292" s="99" t="str">
        <f ca="1">IFERROR(DATEDIF(AVERAGE(F$4:F$5),ref!$B$3,"M")*(1/12*7%)*(F288+F291),"-")</f>
        <v>-</v>
      </c>
      <c r="G292" s="99" t="str">
        <f ca="1">IFERROR(DATEDIF(AVERAGE(G$4:G$5),ref!$B$3,"M")*(1/12*7%)*(G288+G291),"-")</f>
        <v>-</v>
      </c>
      <c r="H292" s="99" t="str">
        <f ca="1">IFERROR(DATEDIF(AVERAGE(H$4:H$5),ref!$B$3,"M")*(1/12*7%)*(H288+H291),"-")</f>
        <v>-</v>
      </c>
      <c r="I292" s="99" t="str">
        <f ca="1">IFERROR(DATEDIF(AVERAGE(I$4:I$5),ref!$B$3,"M")*(1/12*7%)*(I288+I291),"-")</f>
        <v>-</v>
      </c>
      <c r="J292" s="99" t="str">
        <f ca="1">IFERROR(DATEDIF(AVERAGE(J$4:J$5),ref!$B$3,"M")*(1/12*7%)*(J288+J291),"-")</f>
        <v>-</v>
      </c>
      <c r="K292" s="99" t="str">
        <f ca="1">IFERROR(DATEDIF(AVERAGE(K$4:K$5),ref!$B$3,"M")*(1/12*7%)*(K288+K291),"-")</f>
        <v>-</v>
      </c>
      <c r="L292" s="99" t="str">
        <f ca="1">IFERROR(DATEDIF(AVERAGE(L$4:L$5),ref!$B$3,"M")*(1/12*7%)*(L288+L291),"-")</f>
        <v>-</v>
      </c>
      <c r="M292" s="159" t="str">
        <f ca="1">IFERROR(DATEDIF(AVERAGE(M$4:M$5),ref!$B$3,"M")*(1/12*7%)*(M288+M291),"-")</f>
        <v>-</v>
      </c>
      <c r="N292" s="96" t="str">
        <f ca="1">_xlfn.CONCAT("Interest calculated thru ",TEXT(ref!$B$3,"m/d/yyyy"),".")</f>
        <v>Interest calculated thru 3/2/2026.</v>
      </c>
      <c r="O292" s="74"/>
      <c r="P292" s="100" t="s">
        <v>184</v>
      </c>
      <c r="Q292" s="75" t="str">
        <f t="shared" ca="1" si="192"/>
        <v/>
      </c>
      <c r="R292" s="76" t="str">
        <f t="shared" si="193"/>
        <v/>
      </c>
      <c r="S292" s="64" t="str">
        <f t="shared" si="203"/>
        <v/>
      </c>
      <c r="T292" s="42" t="str">
        <f t="shared" si="204"/>
        <v/>
      </c>
      <c r="U292" s="42" t="str">
        <f t="shared" si="205"/>
        <v/>
      </c>
      <c r="V292" s="42" t="str">
        <f t="shared" si="206"/>
        <v/>
      </c>
      <c r="W292" s="42" t="str">
        <f t="shared" si="218"/>
        <v/>
      </c>
      <c r="X292" s="42" t="str">
        <f t="shared" si="219"/>
        <v/>
      </c>
      <c r="Y292" s="42" t="str">
        <f t="shared" si="220"/>
        <v/>
      </c>
      <c r="Z292" s="42" t="str">
        <f t="shared" si="221"/>
        <v/>
      </c>
      <c r="AA292" s="42" t="str">
        <f t="shared" si="222"/>
        <v/>
      </c>
      <c r="AB292" s="42" t="str">
        <f t="shared" si="223"/>
        <v/>
      </c>
      <c r="AC292" s="42" t="str">
        <f t="shared" si="207"/>
        <v/>
      </c>
    </row>
    <row r="293" spans="1:29" s="103" customFormat="1" ht="28.8" outlineLevel="1" x14ac:dyDescent="0.25">
      <c r="A293" s="100" t="s">
        <v>13</v>
      </c>
      <c r="B293" s="322"/>
      <c r="C293" s="62" t="s">
        <v>212</v>
      </c>
      <c r="D293" s="204" t="e">
        <f ca="1">SUM(D291:D292,D288)</f>
        <v>#NAME?</v>
      </c>
      <c r="E293" s="99">
        <f ca="1">SUM(F293:L293)</f>
        <v>0</v>
      </c>
      <c r="F293" s="99">
        <f t="shared" ref="F293:J293" ca="1" si="241">SUM(F291:F292,F288)</f>
        <v>0</v>
      </c>
      <c r="G293" s="99">
        <f t="shared" ca="1" si="241"/>
        <v>0</v>
      </c>
      <c r="H293" s="99">
        <f t="shared" ca="1" si="241"/>
        <v>0</v>
      </c>
      <c r="I293" s="99">
        <f t="shared" ca="1" si="241"/>
        <v>0</v>
      </c>
      <c r="J293" s="99">
        <f t="shared" ca="1" si="241"/>
        <v>0</v>
      </c>
      <c r="K293" s="99">
        <f t="shared" ref="K293" ca="1" si="242">SUM(K291:K292,K288)</f>
        <v>0</v>
      </c>
      <c r="L293" s="99">
        <f t="shared" ref="L293:M293" ca="1" si="243">SUM(L291:L292,L288)</f>
        <v>0</v>
      </c>
      <c r="M293" s="159">
        <f t="shared" ca="1" si="243"/>
        <v>0</v>
      </c>
      <c r="N293" s="104"/>
      <c r="O293" s="74"/>
      <c r="P293" s="100" t="s">
        <v>186</v>
      </c>
      <c r="Q293" s="75" t="str">
        <f t="shared" ca="1" si="192"/>
        <v/>
      </c>
      <c r="R293" s="76" t="str">
        <f t="shared" si="193"/>
        <v/>
      </c>
      <c r="S293" s="64" t="str">
        <f t="shared" si="203"/>
        <v/>
      </c>
      <c r="T293" s="42" t="str">
        <f t="shared" si="204"/>
        <v/>
      </c>
      <c r="U293" s="42" t="str">
        <f t="shared" si="205"/>
        <v/>
      </c>
      <c r="V293" s="42" t="str">
        <f t="shared" si="206"/>
        <v/>
      </c>
      <c r="W293" s="42" t="str">
        <f t="shared" si="218"/>
        <v/>
      </c>
      <c r="X293" s="42" t="str">
        <f t="shared" si="219"/>
        <v/>
      </c>
      <c r="Y293" s="42" t="str">
        <f t="shared" si="220"/>
        <v/>
      </c>
      <c r="Z293" s="42" t="str">
        <f t="shared" si="221"/>
        <v/>
      </c>
      <c r="AA293" s="42" t="str">
        <f t="shared" si="222"/>
        <v/>
      </c>
      <c r="AB293" s="42" t="str">
        <f t="shared" si="223"/>
        <v/>
      </c>
      <c r="AC293" s="42" t="str">
        <f t="shared" si="207"/>
        <v/>
      </c>
    </row>
    <row r="294" spans="1:29" x14ac:dyDescent="0.25">
      <c r="A294" s="42">
        <v>1</v>
      </c>
      <c r="C294" s="58"/>
      <c r="D294" s="190"/>
      <c r="O294" s="74"/>
      <c r="Q294" s="75" t="str">
        <f t="shared" si="192"/>
        <v/>
      </c>
      <c r="R294" s="76" t="str">
        <f t="shared" si="193"/>
        <v/>
      </c>
      <c r="S294" s="64" t="str">
        <f t="shared" si="203"/>
        <v/>
      </c>
      <c r="T294" s="42" t="str">
        <f t="shared" si="204"/>
        <v/>
      </c>
      <c r="U294" s="42" t="str">
        <f t="shared" si="205"/>
        <v/>
      </c>
      <c r="V294" s="42" t="str">
        <f t="shared" si="206"/>
        <v/>
      </c>
      <c r="W294" s="42" t="str">
        <f t="shared" si="218"/>
        <v/>
      </c>
      <c r="X294" s="42" t="str">
        <f t="shared" si="219"/>
        <v/>
      </c>
      <c r="Y294" s="42" t="str">
        <f t="shared" si="220"/>
        <v/>
      </c>
      <c r="Z294" s="42" t="str">
        <f t="shared" si="221"/>
        <v/>
      </c>
      <c r="AA294" s="42" t="str">
        <f t="shared" si="222"/>
        <v/>
      </c>
      <c r="AB294" s="42" t="str">
        <f t="shared" si="223"/>
        <v/>
      </c>
      <c r="AC294" s="42" t="str">
        <f t="shared" si="207"/>
        <v/>
      </c>
    </row>
    <row r="295" spans="1:29" ht="28.8" outlineLevel="1" x14ac:dyDescent="0.25">
      <c r="A295" s="42" t="s">
        <v>13</v>
      </c>
      <c r="B295" s="324" t="s">
        <v>213</v>
      </c>
      <c r="C295" s="51" t="s">
        <v>73</v>
      </c>
      <c r="D295" s="193">
        <f>DATE(YEAR(D$4)+1,MONTH(D$4),DAY(D$4))</f>
        <v>43831</v>
      </c>
      <c r="E295" s="52" t="e">
        <f>MAX($D295,E$22)</f>
        <v>#NAME?</v>
      </c>
      <c r="F295" s="52" t="s">
        <v>214</v>
      </c>
      <c r="G295" s="52" t="s">
        <v>214</v>
      </c>
      <c r="H295" s="52" t="s">
        <v>214</v>
      </c>
      <c r="I295" s="52" t="s">
        <v>214</v>
      </c>
      <c r="J295" s="52" t="s">
        <v>214</v>
      </c>
      <c r="K295" s="52" t="s">
        <v>214</v>
      </c>
      <c r="L295" s="52" t="s">
        <v>214</v>
      </c>
      <c r="M295" s="154" t="e">
        <f>MAX($D295,M$22)</f>
        <v>#NAME?</v>
      </c>
      <c r="N295" s="96" t="s">
        <v>215</v>
      </c>
      <c r="O295" s="72">
        <v>30</v>
      </c>
      <c r="Q295" s="75" t="str">
        <f t="shared" si="192"/>
        <v/>
      </c>
      <c r="R295" s="76" t="str">
        <f t="shared" si="193"/>
        <v/>
      </c>
      <c r="S295" s="64" t="str">
        <f t="shared" si="203"/>
        <v/>
      </c>
      <c r="T295" s="42" t="str">
        <f t="shared" si="204"/>
        <v/>
      </c>
      <c r="U295" s="42" t="str">
        <f t="shared" si="205"/>
        <v/>
      </c>
      <c r="V295" s="42" t="str">
        <f t="shared" si="206"/>
        <v/>
      </c>
      <c r="W295" s="42" t="str">
        <f t="shared" si="218"/>
        <v/>
      </c>
      <c r="X295" s="42" t="str">
        <f t="shared" si="219"/>
        <v/>
      </c>
      <c r="Y295" s="42" t="str">
        <f t="shared" si="220"/>
        <v/>
      </c>
      <c r="Z295" s="42" t="str">
        <f t="shared" si="221"/>
        <v/>
      </c>
      <c r="AA295" s="42" t="str">
        <f t="shared" si="222"/>
        <v/>
      </c>
      <c r="AB295" s="42" t="str">
        <f t="shared" si="223"/>
        <v/>
      </c>
      <c r="AC295" s="42" t="str">
        <f t="shared" si="207"/>
        <v/>
      </c>
    </row>
    <row r="296" spans="1:29" ht="28.8" outlineLevel="1" x14ac:dyDescent="0.25">
      <c r="A296" s="42" t="s">
        <v>13</v>
      </c>
      <c r="B296" s="324"/>
      <c r="C296" s="49" t="s">
        <v>74</v>
      </c>
      <c r="D296" s="193">
        <f ca="1">D$5</f>
        <v>46083</v>
      </c>
      <c r="E296" s="52" t="e">
        <f ca="1">MIN($D296,E$23)</f>
        <v>#NAME?</v>
      </c>
      <c r="F296" s="52" t="s">
        <v>214</v>
      </c>
      <c r="G296" s="52" t="s">
        <v>214</v>
      </c>
      <c r="H296" s="52" t="s">
        <v>214</v>
      </c>
      <c r="I296" s="52" t="s">
        <v>214</v>
      </c>
      <c r="J296" s="52" t="s">
        <v>214</v>
      </c>
      <c r="K296" s="52" t="s">
        <v>214</v>
      </c>
      <c r="L296" s="52" t="s">
        <v>214</v>
      </c>
      <c r="M296" s="154" t="e">
        <f ca="1">MIN($D296,M$23)</f>
        <v>#NAME?</v>
      </c>
      <c r="N296" s="96"/>
      <c r="O296" s="74"/>
      <c r="Q296" s="75" t="str">
        <f t="shared" ca="1" si="192"/>
        <v/>
      </c>
      <c r="R296" s="76" t="str">
        <f t="shared" si="193"/>
        <v/>
      </c>
      <c r="S296" s="64" t="str">
        <f t="shared" si="203"/>
        <v/>
      </c>
      <c r="T296" s="42" t="str">
        <f t="shared" si="204"/>
        <v/>
      </c>
      <c r="U296" s="42" t="str">
        <f t="shared" si="205"/>
        <v/>
      </c>
      <c r="V296" s="42" t="str">
        <f t="shared" si="206"/>
        <v/>
      </c>
      <c r="W296" s="42" t="str">
        <f t="shared" si="218"/>
        <v/>
      </c>
      <c r="X296" s="42" t="str">
        <f t="shared" si="219"/>
        <v/>
      </c>
      <c r="Y296" s="42" t="str">
        <f t="shared" si="220"/>
        <v/>
      </c>
      <c r="Z296" s="42" t="str">
        <f t="shared" si="221"/>
        <v/>
      </c>
      <c r="AA296" s="42" t="str">
        <f t="shared" si="222"/>
        <v/>
      </c>
      <c r="AB296" s="42" t="str">
        <f t="shared" si="223"/>
        <v/>
      </c>
      <c r="AC296" s="42" t="str">
        <f t="shared" si="207"/>
        <v/>
      </c>
    </row>
    <row r="297" spans="1:29" ht="28.8" outlineLevel="1" x14ac:dyDescent="0.25">
      <c r="A297" s="42" t="s">
        <v>13</v>
      </c>
      <c r="B297" s="324"/>
      <c r="C297" s="49" t="s">
        <v>75</v>
      </c>
      <c r="D297" s="195">
        <f ca="1">E297*ref!$B$4</f>
        <v>0</v>
      </c>
      <c r="E297" s="56" cm="1">
        <f t="array" aca="1" ref="E297" ca="1">IFERROR(ROWS(_xlfn.UNIQUE(_xlfn._xlws.FILTER(Pay_ID,(Pay_Period_End &gt;= E$295) * (Pay_Period_End &lt;= E$296) * (IFERROR(SEARCH(E$1, Pay_Key_Gps),0)&gt;0)))),0)</f>
        <v>0</v>
      </c>
      <c r="F297" s="56" t="s">
        <v>214</v>
      </c>
      <c r="G297" s="56" t="s">
        <v>214</v>
      </c>
      <c r="H297" s="56" t="s">
        <v>214</v>
      </c>
      <c r="I297" s="56" t="s">
        <v>214</v>
      </c>
      <c r="J297" s="56" t="s">
        <v>214</v>
      </c>
      <c r="K297" s="56" t="s">
        <v>214</v>
      </c>
      <c r="L297" s="56" t="s">
        <v>214</v>
      </c>
      <c r="M297" s="155" cm="1">
        <f t="array" aca="1" ref="M297" ca="1">IFERROR(ROWS(_xlfn.UNIQUE(_xlfn._xlws.FILTER(Pay_ID,(Pay_Period_End &gt;= M$295) * (Pay_Period_End &lt;= M$296) * (IFERROR(SEARCH(M$1, Pay_Key_Gps),0)&gt;0)))),0)</f>
        <v>0</v>
      </c>
      <c r="N297" s="96"/>
      <c r="O297" s="74"/>
      <c r="Q297" s="75" t="str">
        <f t="shared" ca="1" si="192"/>
        <v/>
      </c>
      <c r="R297" s="76" t="str">
        <f t="shared" si="193"/>
        <v/>
      </c>
      <c r="S297" s="64" t="str">
        <f t="shared" si="203"/>
        <v/>
      </c>
      <c r="T297" s="42" t="str">
        <f t="shared" si="204"/>
        <v/>
      </c>
      <c r="U297" s="42" t="str">
        <f t="shared" si="205"/>
        <v/>
      </c>
      <c r="V297" s="42" t="str">
        <f t="shared" si="206"/>
        <v/>
      </c>
      <c r="W297" s="42" t="str">
        <f t="shared" si="218"/>
        <v/>
      </c>
      <c r="X297" s="42" t="str">
        <f t="shared" si="219"/>
        <v/>
      </c>
      <c r="Y297" s="42" t="str">
        <f t="shared" si="220"/>
        <v/>
      </c>
      <c r="Z297" s="42" t="str">
        <f t="shared" si="221"/>
        <v/>
      </c>
      <c r="AA297" s="42" t="str">
        <f t="shared" si="222"/>
        <v/>
      </c>
      <c r="AB297" s="42" t="str">
        <f t="shared" si="223"/>
        <v/>
      </c>
      <c r="AC297" s="42" t="str">
        <f t="shared" si="207"/>
        <v/>
      </c>
    </row>
    <row r="298" spans="1:29" ht="28.8" outlineLevel="1" x14ac:dyDescent="0.25">
      <c r="A298" s="42" t="s">
        <v>13</v>
      </c>
      <c r="B298" s="324"/>
      <c r="C298" s="49" t="s">
        <v>18</v>
      </c>
      <c r="D298" s="195" t="e">
        <f ca="1">ROUND(E298/E297*D297,0)</f>
        <v>#NAME?</v>
      </c>
      <c r="E298" s="65" t="e" cm="1">
        <f t="array" aca="1" ref="E298" ca="1">_xlfn.LET(_xlpm.active,ROWS(_xlfn.UNIQUE(_xlfn._xlws.FILTER(Pay_ID, (Pay_Period_End &gt; MAX(Pay_Period_End) - $O$295)))),E297-_xlpm.active)</f>
        <v>#NAME?</v>
      </c>
      <c r="F298" s="65" t="s">
        <v>214</v>
      </c>
      <c r="G298" s="65" t="s">
        <v>214</v>
      </c>
      <c r="H298" s="65" t="s">
        <v>214</v>
      </c>
      <c r="I298" s="65" t="s">
        <v>214</v>
      </c>
      <c r="J298" s="65" t="s">
        <v>214</v>
      </c>
      <c r="K298" s="65" t="s">
        <v>214</v>
      </c>
      <c r="L298" s="65" t="s">
        <v>214</v>
      </c>
      <c r="M298" s="177">
        <f ca="1">M297</f>
        <v>0</v>
      </c>
      <c r="N298" s="96" t="str">
        <f>"Assumes active if worked in final "&amp;$O$295&amp;" days of pay data."</f>
        <v>Assumes active if worked in final 30 days of pay data.</v>
      </c>
      <c r="O298" s="74"/>
      <c r="Q298" s="75" t="str">
        <f t="shared" ca="1" si="192"/>
        <v/>
      </c>
      <c r="R298" s="76" t="str">
        <f t="shared" si="193"/>
        <v/>
      </c>
      <c r="S298" s="64" t="str">
        <f t="shared" si="203"/>
        <v/>
      </c>
      <c r="T298" s="42" t="str">
        <f t="shared" si="204"/>
        <v/>
      </c>
      <c r="U298" s="42" t="str">
        <f t="shared" si="205"/>
        <v/>
      </c>
      <c r="V298" s="42" t="str">
        <f t="shared" si="206"/>
        <v/>
      </c>
      <c r="W298" s="42" t="str">
        <f t="shared" si="218"/>
        <v/>
      </c>
      <c r="X298" s="42" t="str">
        <f t="shared" si="219"/>
        <v/>
      </c>
      <c r="Y298" s="42" t="str">
        <f t="shared" si="220"/>
        <v/>
      </c>
      <c r="Z298" s="42" t="str">
        <f t="shared" si="221"/>
        <v/>
      </c>
      <c r="AA298" s="42" t="str">
        <f t="shared" si="222"/>
        <v/>
      </c>
      <c r="AB298" s="42" t="str">
        <f t="shared" si="223"/>
        <v/>
      </c>
      <c r="AC298" s="42" t="str">
        <f t="shared" si="207"/>
        <v/>
      </c>
    </row>
    <row r="299" spans="1:29" s="111" customFormat="1" ht="28.8" outlineLevel="1" x14ac:dyDescent="0.25">
      <c r="A299" s="74" t="s">
        <v>13</v>
      </c>
      <c r="B299" s="324"/>
      <c r="C299" s="109" t="s">
        <v>216</v>
      </c>
      <c r="D299" s="197" t="str">
        <f>_xlfn.LET(_xlpm.calc,_xlfn.XLOOKUP($C299,$C:$C,D:D),_xlpm.calc)</f>
        <v>-</v>
      </c>
      <c r="E299" s="78" t="str">
        <f>_xlfn.LET(_xlpm.calc,_xlfn.XLOOKUP($C299,$C:$C,E:E),_xlpm.calc)</f>
        <v>-</v>
      </c>
      <c r="F299" s="78" t="s">
        <v>214</v>
      </c>
      <c r="G299" s="78" t="s">
        <v>214</v>
      </c>
      <c r="H299" s="78" t="s">
        <v>214</v>
      </c>
      <c r="I299" s="78" t="s">
        <v>214</v>
      </c>
      <c r="J299" s="78" t="s">
        <v>214</v>
      </c>
      <c r="K299" s="78" t="s">
        <v>214</v>
      </c>
      <c r="L299" s="78" t="s">
        <v>214</v>
      </c>
      <c r="M299" s="164" t="str">
        <f>_xlfn.LET(_xlpm.calc,_xlfn.XLOOKUP($C299,$C:$C,M:M),_xlpm.calc)</f>
        <v>-</v>
      </c>
      <c r="N299" s="110"/>
      <c r="P299" s="74"/>
      <c r="Q299" s="75" t="str">
        <f t="shared" si="192"/>
        <v/>
      </c>
      <c r="R299" s="76" t="str">
        <f t="shared" si="193"/>
        <v/>
      </c>
      <c r="S299" s="64" t="str">
        <f t="shared" si="203"/>
        <v/>
      </c>
      <c r="T299" s="42" t="str">
        <f t="shared" si="204"/>
        <v/>
      </c>
      <c r="U299" s="42" t="str">
        <f t="shared" si="205"/>
        <v/>
      </c>
      <c r="V299" s="42" t="str">
        <f t="shared" si="206"/>
        <v/>
      </c>
      <c r="W299" s="42" t="str">
        <f t="shared" si="218"/>
        <v/>
      </c>
      <c r="X299" s="42" t="str">
        <f t="shared" si="219"/>
        <v/>
      </c>
      <c r="Y299" s="42" t="str">
        <f t="shared" si="220"/>
        <v/>
      </c>
      <c r="Z299" s="42" t="str">
        <f t="shared" si="221"/>
        <v/>
      </c>
      <c r="AA299" s="42" t="str">
        <f t="shared" si="222"/>
        <v/>
      </c>
      <c r="AB299" s="42" t="str">
        <f t="shared" si="223"/>
        <v/>
      </c>
      <c r="AC299" s="42" t="str">
        <f t="shared" si="207"/>
        <v/>
      </c>
    </row>
    <row r="300" spans="1:29" ht="28.8" outlineLevel="1" x14ac:dyDescent="0.25">
      <c r="A300" s="42" t="s">
        <v>13</v>
      </c>
      <c r="B300" s="324"/>
      <c r="C300" s="49" t="s">
        <v>76</v>
      </c>
      <c r="D300" s="199" t="str">
        <f>_xlfn.LET(_xlpm.calc,_xlfn.XLOOKUP($C300,$C:$C,D:D),_xlpm.calc)</f>
        <v>-</v>
      </c>
      <c r="E300" s="98" t="str">
        <f>_xlfn.LET(_xlpm.calc,_xlfn.XLOOKUP($C300,$C:$C,E:E),_xlpm.calc)</f>
        <v>-</v>
      </c>
      <c r="F300" s="98" t="s">
        <v>214</v>
      </c>
      <c r="G300" s="98" t="s">
        <v>214</v>
      </c>
      <c r="H300" s="98" t="s">
        <v>214</v>
      </c>
      <c r="I300" s="98" t="s">
        <v>214</v>
      </c>
      <c r="J300" s="98" t="s">
        <v>214</v>
      </c>
      <c r="K300" s="98" t="s">
        <v>214</v>
      </c>
      <c r="L300" s="98" t="s">
        <v>214</v>
      </c>
      <c r="M300" s="166" t="str">
        <f>_xlfn.LET(_xlpm.calc,_xlfn.XLOOKUP($C300,$C:$C,M:M),_xlpm.calc)</f>
        <v>-</v>
      </c>
      <c r="N300" s="96"/>
      <c r="O300" s="112" t="e">
        <f ca="1">D301/D298</f>
        <v>#NAME?</v>
      </c>
      <c r="P300" s="112" t="e">
        <f ca="1">E301/E298</f>
        <v>#NAME?</v>
      </c>
      <c r="Q300" s="75" t="str">
        <f t="shared" si="192"/>
        <v/>
      </c>
      <c r="R300" s="76" t="str">
        <f t="shared" si="193"/>
        <v/>
      </c>
      <c r="S300" s="64" t="str">
        <f t="shared" si="203"/>
        <v/>
      </c>
      <c r="T300" s="42" t="str">
        <f t="shared" ref="T300:T327" si="244">IF($S300&lt;&gt;1,"",IF(IFERROR(SEARCH("(",D300),0)=0,D300,VALUE(TRIM(LEFT(D300,SEARCH(" (",D300))))))</f>
        <v/>
      </c>
      <c r="U300" s="42" t="str">
        <f t="shared" ref="U300:U327" si="245">IF($S300&lt;&gt;1,"",IF(IFERROR(SEARCH("(",E300),0)=0,E300,VALUE(TRIM(LEFT(E300,SEARCH(" (",E300))))))</f>
        <v/>
      </c>
      <c r="V300" s="42" t="str">
        <f t="shared" si="206"/>
        <v/>
      </c>
      <c r="W300" s="42" t="str">
        <f t="shared" si="218"/>
        <v/>
      </c>
      <c r="X300" s="42" t="str">
        <f t="shared" si="219"/>
        <v/>
      </c>
      <c r="Y300" s="42" t="str">
        <f t="shared" si="220"/>
        <v/>
      </c>
      <c r="Z300" s="42" t="str">
        <f t="shared" si="221"/>
        <v/>
      </c>
      <c r="AA300" s="42" t="str">
        <f t="shared" si="222"/>
        <v/>
      </c>
      <c r="AB300" s="42" t="str">
        <f t="shared" si="223"/>
        <v/>
      </c>
      <c r="AC300" s="42" t="str">
        <f t="shared" si="207"/>
        <v/>
      </c>
    </row>
    <row r="301" spans="1:29" ht="28.8" outlineLevel="1" x14ac:dyDescent="0.25">
      <c r="A301" s="42" t="s">
        <v>13</v>
      </c>
      <c r="B301" s="328"/>
      <c r="C301" s="49" t="s">
        <v>44</v>
      </c>
      <c r="D301" s="204" t="e">
        <f ca="1">_xlfn.LET(_xlpm.wt_calc_per_ee,IFERROR(D$300*D$299*30,0),_xlpm.wt_calc_per_ee*D$298)</f>
        <v>#NAME?</v>
      </c>
      <c r="E301" s="99" t="e">
        <f ca="1">_xlfn.LET(_xlpm.wt_calc_per_ee,IFERROR(E$300*E$299*30,0),_xlpm.wt_calc_per_ee*E$298)</f>
        <v>#NAME?</v>
      </c>
      <c r="F301" s="102" t="s">
        <v>214</v>
      </c>
      <c r="G301" s="102" t="s">
        <v>214</v>
      </c>
      <c r="H301" s="102" t="s">
        <v>214</v>
      </c>
      <c r="I301" s="102" t="s">
        <v>214</v>
      </c>
      <c r="J301" s="102" t="s">
        <v>214</v>
      </c>
      <c r="K301" s="102" t="s">
        <v>214</v>
      </c>
      <c r="L301" s="102" t="s">
        <v>214</v>
      </c>
      <c r="M301" s="159">
        <f ca="1">_xlfn.LET(_xlpm.wt_calc_per_ee,IFERROR(M$300*M$299*30,0),_xlpm.wt_calc_per_ee*M$298)</f>
        <v>0</v>
      </c>
      <c r="N301" s="96" t="s">
        <v>217</v>
      </c>
      <c r="P301" s="42" t="s">
        <v>218</v>
      </c>
      <c r="Q301" s="75" t="str">
        <f t="shared" ca="1" si="192"/>
        <v/>
      </c>
      <c r="R301" s="76" t="str">
        <f t="shared" si="193"/>
        <v/>
      </c>
      <c r="S301" s="64" t="str">
        <f t="shared" si="203"/>
        <v/>
      </c>
      <c r="T301" s="42" t="str">
        <f t="shared" si="244"/>
        <v/>
      </c>
      <c r="U301" s="42" t="str">
        <f t="shared" si="245"/>
        <v/>
      </c>
      <c r="V301" s="42" t="str">
        <f t="shared" si="206"/>
        <v/>
      </c>
      <c r="W301" s="42" t="str">
        <f t="shared" si="218"/>
        <v/>
      </c>
      <c r="X301" s="42" t="str">
        <f t="shared" si="219"/>
        <v/>
      </c>
      <c r="Y301" s="42" t="str">
        <f t="shared" si="220"/>
        <v/>
      </c>
      <c r="Z301" s="42" t="str">
        <f t="shared" si="221"/>
        <v/>
      </c>
      <c r="AA301" s="42" t="str">
        <f t="shared" si="222"/>
        <v/>
      </c>
      <c r="AB301" s="42" t="str">
        <f t="shared" si="223"/>
        <v/>
      </c>
      <c r="AC301" s="42" t="str">
        <f t="shared" si="207"/>
        <v/>
      </c>
    </row>
    <row r="302" spans="1:29" x14ac:dyDescent="0.25">
      <c r="A302" s="42">
        <v>1</v>
      </c>
      <c r="C302" s="58"/>
      <c r="D302" s="207"/>
      <c r="E302" s="113"/>
      <c r="Q302" s="75" t="str">
        <f t="shared" si="192"/>
        <v/>
      </c>
      <c r="R302" s="76" t="str">
        <f t="shared" si="193"/>
        <v/>
      </c>
      <c r="S302" s="64" t="str">
        <f t="shared" si="203"/>
        <v/>
      </c>
      <c r="T302" s="42" t="str">
        <f t="shared" si="244"/>
        <v/>
      </c>
      <c r="U302" s="42" t="str">
        <f t="shared" si="245"/>
        <v/>
      </c>
      <c r="V302" s="42" t="str">
        <f t="shared" si="206"/>
        <v/>
      </c>
      <c r="W302" s="42" t="str">
        <f t="shared" si="218"/>
        <v/>
      </c>
      <c r="X302" s="42" t="str">
        <f t="shared" si="219"/>
        <v/>
      </c>
      <c r="Y302" s="42" t="str">
        <f t="shared" si="220"/>
        <v/>
      </c>
      <c r="Z302" s="42" t="str">
        <f t="shared" si="221"/>
        <v/>
      </c>
      <c r="AA302" s="42" t="str">
        <f t="shared" si="222"/>
        <v/>
      </c>
      <c r="AB302" s="42" t="str">
        <f t="shared" si="223"/>
        <v/>
      </c>
      <c r="AC302" s="42" t="str">
        <f t="shared" si="207"/>
        <v/>
      </c>
    </row>
    <row r="303" spans="1:29" ht="28.8" outlineLevel="1" x14ac:dyDescent="0.25">
      <c r="A303" s="42" t="s">
        <v>13</v>
      </c>
      <c r="B303" s="324" t="s">
        <v>219</v>
      </c>
      <c r="C303" s="51" t="s">
        <v>15</v>
      </c>
      <c r="D303" s="193" t="e">
        <f>_xlfn.LET(_xlpm.calc,DATE(YEAR(D$4)+3,MONTH(D$4),DAY(D$4)),IF(_xlpm.calc&gt;MAX(Date),"-",_xlpm.calc))</f>
        <v>#NAME?</v>
      </c>
      <c r="E303" s="52" t="e">
        <f>MAX($D303,E$4)</f>
        <v>#NAME?</v>
      </c>
      <c r="F303" s="52" t="s">
        <v>214</v>
      </c>
      <c r="G303" s="52" t="s">
        <v>214</v>
      </c>
      <c r="H303" s="52" t="s">
        <v>214</v>
      </c>
      <c r="I303" s="52" t="s">
        <v>214</v>
      </c>
      <c r="J303" s="52" t="s">
        <v>214</v>
      </c>
      <c r="K303" s="52" t="s">
        <v>214</v>
      </c>
      <c r="L303" s="52" t="s">
        <v>214</v>
      </c>
      <c r="M303" s="154" t="e">
        <f>MAX($D303,M$4)</f>
        <v>#NAME?</v>
      </c>
      <c r="N303" s="96" t="s">
        <v>220</v>
      </c>
      <c r="Q303" s="75" t="str">
        <f t="shared" si="192"/>
        <v/>
      </c>
      <c r="R303" s="76" t="str">
        <f t="shared" si="193"/>
        <v/>
      </c>
      <c r="S303" s="64" t="str">
        <f t="shared" si="203"/>
        <v/>
      </c>
      <c r="T303" s="42" t="str">
        <f t="shared" si="244"/>
        <v/>
      </c>
      <c r="U303" s="42" t="str">
        <f t="shared" si="245"/>
        <v/>
      </c>
      <c r="V303" s="42" t="str">
        <f t="shared" si="206"/>
        <v/>
      </c>
      <c r="W303" s="42" t="str">
        <f t="shared" si="218"/>
        <v/>
      </c>
      <c r="X303" s="42" t="str">
        <f t="shared" si="219"/>
        <v/>
      </c>
      <c r="Y303" s="42" t="str">
        <f t="shared" si="220"/>
        <v/>
      </c>
      <c r="Z303" s="42" t="str">
        <f t="shared" si="221"/>
        <v/>
      </c>
      <c r="AA303" s="42" t="str">
        <f t="shared" si="222"/>
        <v/>
      </c>
      <c r="AB303" s="42" t="str">
        <f t="shared" si="223"/>
        <v/>
      </c>
      <c r="AC303" s="42" t="str">
        <f t="shared" si="207"/>
        <v/>
      </c>
    </row>
    <row r="304" spans="1:29" ht="28.8" outlineLevel="1" x14ac:dyDescent="0.25">
      <c r="A304" s="42" t="s">
        <v>13</v>
      </c>
      <c r="B304" s="324"/>
      <c r="C304" s="49" t="s">
        <v>16</v>
      </c>
      <c r="D304" s="193">
        <f ca="1">D$5</f>
        <v>46083</v>
      </c>
      <c r="E304" s="52" t="e">
        <f ca="1">MIN($D304,E$5)</f>
        <v>#NAME?</v>
      </c>
      <c r="F304" s="52" t="s">
        <v>214</v>
      </c>
      <c r="G304" s="52" t="s">
        <v>214</v>
      </c>
      <c r="H304" s="52" t="s">
        <v>214</v>
      </c>
      <c r="I304" s="52" t="s">
        <v>214</v>
      </c>
      <c r="J304" s="52" t="s">
        <v>214</v>
      </c>
      <c r="K304" s="52" t="s">
        <v>214</v>
      </c>
      <c r="L304" s="52" t="s">
        <v>214</v>
      </c>
      <c r="M304" s="154" t="e">
        <f ca="1">MIN($D304,M$5)</f>
        <v>#NAME?</v>
      </c>
      <c r="N304" s="96"/>
      <c r="Q304" s="75" t="str">
        <f t="shared" ca="1" si="192"/>
        <v/>
      </c>
      <c r="R304" s="76" t="str">
        <f t="shared" si="193"/>
        <v/>
      </c>
      <c r="S304" s="64" t="str">
        <f t="shared" si="203"/>
        <v/>
      </c>
      <c r="T304" s="42" t="str">
        <f t="shared" si="244"/>
        <v/>
      </c>
      <c r="U304" s="42" t="str">
        <f t="shared" si="245"/>
        <v/>
      </c>
      <c r="V304" s="42" t="str">
        <f t="shared" si="206"/>
        <v/>
      </c>
      <c r="W304" s="42" t="str">
        <f t="shared" si="218"/>
        <v/>
      </c>
      <c r="X304" s="42" t="str">
        <f t="shared" si="219"/>
        <v/>
      </c>
      <c r="Y304" s="42" t="str">
        <f t="shared" si="220"/>
        <v/>
      </c>
      <c r="Z304" s="42" t="str">
        <f t="shared" si="221"/>
        <v/>
      </c>
      <c r="AA304" s="42" t="str">
        <f t="shared" si="222"/>
        <v/>
      </c>
      <c r="AB304" s="42" t="str">
        <f t="shared" si="223"/>
        <v/>
      </c>
      <c r="AC304" s="42" t="str">
        <f t="shared" si="207"/>
        <v/>
      </c>
    </row>
    <row r="305" spans="1:29" ht="28.8" outlineLevel="1" x14ac:dyDescent="0.25">
      <c r="A305" s="42" t="s">
        <v>13</v>
      </c>
      <c r="B305" s="324"/>
      <c r="C305" s="49" t="s">
        <v>17</v>
      </c>
      <c r="D305" s="195">
        <f ca="1">E305*ref!$B$4</f>
        <v>0</v>
      </c>
      <c r="E305" s="56" cm="1">
        <f t="array" aca="1" ref="E305" ca="1">IFERROR(ROWS(_xlfn.UNIQUE(_xlfn._xlws.FILTER(ID,(Date &gt;= E$303) * (Date &lt;= E$304) * (IFERROR(SEARCH(E$1, Key_Gps),0)&gt;0)))),0)</f>
        <v>0</v>
      </c>
      <c r="F305" s="56" t="s">
        <v>214</v>
      </c>
      <c r="G305" s="56" t="s">
        <v>214</v>
      </c>
      <c r="H305" s="56" t="s">
        <v>214</v>
      </c>
      <c r="I305" s="56" t="s">
        <v>214</v>
      </c>
      <c r="J305" s="56" t="s">
        <v>214</v>
      </c>
      <c r="K305" s="56" t="s">
        <v>214</v>
      </c>
      <c r="L305" s="56" t="s">
        <v>214</v>
      </c>
      <c r="M305" s="155" cm="1">
        <f t="array" aca="1" ref="M305" ca="1">IFERROR(ROWS(_xlfn.UNIQUE(_xlfn._xlws.FILTER(ID,(Date &gt;= M$303) * (Date &lt;= M$304) * (IFERROR(SEARCH(M$1, Key_Gps),0)&gt;0)))),0)</f>
        <v>0</v>
      </c>
      <c r="N305" s="96"/>
      <c r="Q305" s="75" t="str">
        <f t="shared" ca="1" si="192"/>
        <v/>
      </c>
      <c r="R305" s="76" t="str">
        <f t="shared" si="193"/>
        <v/>
      </c>
      <c r="S305" s="64" t="str">
        <f t="shared" si="203"/>
        <v/>
      </c>
      <c r="T305" s="42" t="str">
        <f t="shared" si="244"/>
        <v/>
      </c>
      <c r="U305" s="42" t="str">
        <f t="shared" si="245"/>
        <v/>
      </c>
      <c r="V305" s="42" t="str">
        <f t="shared" si="206"/>
        <v/>
      </c>
      <c r="W305" s="42" t="str">
        <f t="shared" si="218"/>
        <v/>
      </c>
      <c r="X305" s="42" t="str">
        <f t="shared" si="219"/>
        <v/>
      </c>
      <c r="Y305" s="42" t="str">
        <f t="shared" si="220"/>
        <v/>
      </c>
      <c r="Z305" s="42" t="str">
        <f t="shared" si="221"/>
        <v/>
      </c>
      <c r="AA305" s="42" t="str">
        <f t="shared" si="222"/>
        <v/>
      </c>
      <c r="AB305" s="42" t="str">
        <f t="shared" si="223"/>
        <v/>
      </c>
      <c r="AC305" s="42" t="str">
        <f t="shared" si="207"/>
        <v/>
      </c>
    </row>
    <row r="306" spans="1:29" ht="28.8" outlineLevel="1" x14ac:dyDescent="0.25">
      <c r="A306" s="42" t="s">
        <v>13</v>
      </c>
      <c r="B306" s="324"/>
      <c r="C306" s="49" t="s">
        <v>221</v>
      </c>
      <c r="D306" s="195" t="e">
        <f ca="1">ROUND((E306*ref!$B$4)/ref!$B$5,0)</f>
        <v>#NAME?</v>
      </c>
      <c r="E306" s="56" cm="1">
        <f t="array" aca="1" ref="E306" ca="1">IFERROR(ROWS(_xlfn.UNIQUE(_xlfn._xlws.FILTER(ID_Period_End,(Period_End &gt;= E$303) * (Period_End &lt;= E$304) * (IFERROR(SEARCH(E$1, Key_Gps),0)&gt;0)))),0)</f>
        <v>0</v>
      </c>
      <c r="F306" s="56" t="s">
        <v>214</v>
      </c>
      <c r="G306" s="56" t="s">
        <v>214</v>
      </c>
      <c r="H306" s="56" t="s">
        <v>214</v>
      </c>
      <c r="I306" s="56" t="s">
        <v>214</v>
      </c>
      <c r="J306" s="56" t="s">
        <v>214</v>
      </c>
      <c r="K306" s="56" t="s">
        <v>214</v>
      </c>
      <c r="L306" s="56" t="s">
        <v>214</v>
      </c>
      <c r="M306" s="155" cm="1">
        <f t="array" aca="1" ref="M306" ca="1">IFERROR(ROWS(_xlfn.UNIQUE(_xlfn._xlws.FILTER(ID_Period_End,(Period_End &gt;= M$303) * (Period_End &lt;= M$304) * (IFERROR(SEARCH(M$1, Key_Gps),0)&gt;0)))),0)</f>
        <v>0</v>
      </c>
      <c r="N306" s="96"/>
      <c r="O306" s="112" t="e">
        <f ca="1">D307/D305</f>
        <v>#DIV/0!</v>
      </c>
      <c r="P306" s="112" t="e">
        <f ca="1">E307/E305</f>
        <v>#DIV/0!</v>
      </c>
      <c r="Q306" s="75" t="str">
        <f t="shared" ca="1" si="192"/>
        <v/>
      </c>
      <c r="R306" s="76" t="str">
        <f t="shared" si="193"/>
        <v/>
      </c>
      <c r="S306" s="64" t="str">
        <f t="shared" si="203"/>
        <v/>
      </c>
      <c r="T306" s="42" t="str">
        <f t="shared" si="244"/>
        <v/>
      </c>
      <c r="U306" s="42" t="str">
        <f t="shared" si="245"/>
        <v/>
      </c>
      <c r="V306" s="42" t="str">
        <f t="shared" si="206"/>
        <v/>
      </c>
      <c r="W306" s="42" t="str">
        <f t="shared" si="218"/>
        <v/>
      </c>
      <c r="X306" s="42" t="str">
        <f t="shared" si="219"/>
        <v/>
      </c>
      <c r="Y306" s="42" t="str">
        <f t="shared" si="220"/>
        <v/>
      </c>
      <c r="Z306" s="42" t="str">
        <f t="shared" si="221"/>
        <v/>
      </c>
      <c r="AA306" s="42" t="str">
        <f t="shared" si="222"/>
        <v/>
      </c>
      <c r="AB306" s="42" t="str">
        <f t="shared" si="223"/>
        <v/>
      </c>
      <c r="AC306" s="42" t="str">
        <f t="shared" si="207"/>
        <v/>
      </c>
    </row>
    <row r="307" spans="1:29" ht="28.8" outlineLevel="1" x14ac:dyDescent="0.25">
      <c r="A307" s="42" t="s">
        <v>13</v>
      </c>
      <c r="B307" s="328"/>
      <c r="C307" s="49" t="s">
        <v>222</v>
      </c>
      <c r="D307" s="204">
        <f t="shared" ref="D307:E307" ca="1" si="246">_xlfn.LET(_xlpm.avg_wg_stmnt,IFERROR(MAX(0,MIN(4000,50+((ROUNDDOWN(D306/D305,0)-1)*100))),0),_xlpm.avg_wg_stmnt*D305)</f>
        <v>0</v>
      </c>
      <c r="E307" s="99">
        <f t="shared" ca="1" si="246"/>
        <v>0</v>
      </c>
      <c r="F307" s="102" t="s">
        <v>214</v>
      </c>
      <c r="G307" s="102" t="s">
        <v>214</v>
      </c>
      <c r="H307" s="102" t="s">
        <v>214</v>
      </c>
      <c r="I307" s="102" t="s">
        <v>214</v>
      </c>
      <c r="J307" s="102" t="s">
        <v>214</v>
      </c>
      <c r="K307" s="102" t="s">
        <v>214</v>
      </c>
      <c r="L307" s="102" t="s">
        <v>214</v>
      </c>
      <c r="M307" s="159">
        <f ca="1">_xlfn.LET(_xlpm.avg_wg_stmnt,IFERROR(MAX(0,MIN(4000,50+((ROUNDDOWN(M306/M305,0)-1)*100))),0),_xlpm.avg_wg_stmnt*M305)</f>
        <v>0</v>
      </c>
      <c r="N307" s="96" t="s">
        <v>223</v>
      </c>
      <c r="P307" s="42" t="s">
        <v>218</v>
      </c>
      <c r="Q307" s="75" t="str">
        <f t="shared" ca="1" si="192"/>
        <v/>
      </c>
      <c r="R307" s="76" t="str">
        <f t="shared" si="193"/>
        <v/>
      </c>
      <c r="S307" s="64" t="str">
        <f t="shared" si="203"/>
        <v/>
      </c>
      <c r="T307" s="42" t="str">
        <f t="shared" si="244"/>
        <v/>
      </c>
      <c r="U307" s="42" t="str">
        <f t="shared" si="245"/>
        <v/>
      </c>
      <c r="V307" s="42" t="str">
        <f t="shared" si="206"/>
        <v/>
      </c>
      <c r="W307" s="42" t="str">
        <f t="shared" si="218"/>
        <v/>
      </c>
      <c r="X307" s="42" t="str">
        <f t="shared" si="219"/>
        <v/>
      </c>
      <c r="Y307" s="42" t="str">
        <f t="shared" si="220"/>
        <v/>
      </c>
      <c r="Z307" s="42" t="str">
        <f t="shared" si="221"/>
        <v/>
      </c>
      <c r="AA307" s="42" t="str">
        <f t="shared" si="222"/>
        <v/>
      </c>
      <c r="AB307" s="42" t="str">
        <f t="shared" si="223"/>
        <v/>
      </c>
      <c r="AC307" s="42" t="str">
        <f t="shared" si="207"/>
        <v/>
      </c>
    </row>
    <row r="308" spans="1:29" x14ac:dyDescent="0.25">
      <c r="A308" s="42">
        <v>1</v>
      </c>
      <c r="C308" s="58"/>
      <c r="D308" s="208"/>
      <c r="E308" s="114"/>
      <c r="Q308" s="75" t="str">
        <f t="shared" si="192"/>
        <v/>
      </c>
      <c r="R308" s="76" t="str">
        <f t="shared" si="193"/>
        <v/>
      </c>
      <c r="S308" s="64" t="str">
        <f t="shared" si="203"/>
        <v/>
      </c>
      <c r="T308" s="42" t="str">
        <f t="shared" si="244"/>
        <v/>
      </c>
      <c r="U308" s="42" t="str">
        <f t="shared" si="245"/>
        <v/>
      </c>
      <c r="V308" s="42" t="str">
        <f t="shared" si="206"/>
        <v/>
      </c>
      <c r="W308" s="42" t="str">
        <f t="shared" si="218"/>
        <v/>
      </c>
      <c r="X308" s="42" t="str">
        <f t="shared" si="219"/>
        <v/>
      </c>
      <c r="Y308" s="42" t="str">
        <f t="shared" si="220"/>
        <v/>
      </c>
      <c r="Z308" s="42" t="str">
        <f t="shared" si="221"/>
        <v/>
      </c>
      <c r="AA308" s="42" t="str">
        <f t="shared" si="222"/>
        <v/>
      </c>
      <c r="AB308" s="42" t="str">
        <f t="shared" si="223"/>
        <v/>
      </c>
      <c r="AC308" s="42" t="str">
        <f t="shared" si="207"/>
        <v/>
      </c>
    </row>
    <row r="309" spans="1:29" ht="28.8" outlineLevel="1" x14ac:dyDescent="0.25">
      <c r="A309" s="42" t="s">
        <v>13</v>
      </c>
      <c r="B309" s="324" t="s">
        <v>224</v>
      </c>
      <c r="C309" s="49" t="s">
        <v>225</v>
      </c>
      <c r="D309" s="204" t="str">
        <f t="shared" ref="D309:M312" ca="1" si="247">_xlfn.LET(_xlpm.calc,IFERROR(SUMIFS(D$3:D$307,$P$3:$P$307,"*"&amp;$P309&amp;"*"),0),IF(_xlpm.calc=0,"-",_xlpm.calc))</f>
        <v>-</v>
      </c>
      <c r="E309" s="99" t="str">
        <f t="shared" si="247"/>
        <v>-</v>
      </c>
      <c r="F309" s="99" t="str">
        <f t="shared" si="247"/>
        <v>-</v>
      </c>
      <c r="G309" s="99" t="str">
        <f t="shared" si="247"/>
        <v>-</v>
      </c>
      <c r="H309" s="99" t="str">
        <f t="shared" si="247"/>
        <v>-</v>
      </c>
      <c r="I309" s="99" t="str">
        <f t="shared" si="247"/>
        <v>-</v>
      </c>
      <c r="J309" s="99" t="str">
        <f t="shared" si="247"/>
        <v>-</v>
      </c>
      <c r="K309" s="99" t="str">
        <f t="shared" si="247"/>
        <v>-</v>
      </c>
      <c r="L309" s="99" t="str">
        <f t="shared" si="247"/>
        <v>-</v>
      </c>
      <c r="M309" s="159" t="str">
        <f t="shared" si="247"/>
        <v>-</v>
      </c>
      <c r="N309" s="115" t="s">
        <v>226</v>
      </c>
      <c r="P309" s="42" t="s">
        <v>163</v>
      </c>
      <c r="Q309" s="75" t="str">
        <f t="shared" si="192"/>
        <v/>
      </c>
      <c r="R309" s="76" t="e">
        <f t="shared" si="193"/>
        <v>#VALUE!</v>
      </c>
      <c r="S309" s="64">
        <f t="shared" si="203"/>
        <v>1</v>
      </c>
      <c r="T309" s="42" t="str">
        <f t="shared" ca="1" si="244"/>
        <v>-</v>
      </c>
      <c r="U309" s="42" t="str">
        <f t="shared" si="245"/>
        <v>-</v>
      </c>
      <c r="V309" s="42" t="str">
        <f t="shared" si="206"/>
        <v>-</v>
      </c>
      <c r="W309" s="42" t="str">
        <f t="shared" si="218"/>
        <v>-</v>
      </c>
      <c r="X309" s="42" t="str">
        <f t="shared" si="219"/>
        <v>-</v>
      </c>
      <c r="Y309" s="42" t="str">
        <f t="shared" si="220"/>
        <v>-</v>
      </c>
      <c r="Z309" s="42" t="str">
        <f t="shared" si="221"/>
        <v>-</v>
      </c>
      <c r="AA309" s="42" t="str">
        <f t="shared" si="222"/>
        <v>-</v>
      </c>
      <c r="AB309" s="42" t="str">
        <f t="shared" si="223"/>
        <v>-</v>
      </c>
      <c r="AC309" s="42" t="str">
        <f t="shared" si="207"/>
        <v>-</v>
      </c>
    </row>
    <row r="310" spans="1:29" ht="28.8" outlineLevel="1" x14ac:dyDescent="0.25">
      <c r="A310" s="42" t="s">
        <v>13</v>
      </c>
      <c r="B310" s="324"/>
      <c r="C310" s="49" t="s">
        <v>227</v>
      </c>
      <c r="D310" s="204" t="str">
        <f t="shared" ca="1" si="247"/>
        <v>-</v>
      </c>
      <c r="E310" s="99" t="str">
        <f t="shared" ca="1" si="247"/>
        <v>-</v>
      </c>
      <c r="F310" s="99" t="str">
        <f t="shared" ca="1" si="247"/>
        <v>-</v>
      </c>
      <c r="G310" s="99" t="str">
        <f t="shared" ca="1" si="247"/>
        <v>-</v>
      </c>
      <c r="H310" s="99" t="str">
        <f t="shared" ca="1" si="247"/>
        <v>-</v>
      </c>
      <c r="I310" s="99" t="str">
        <f t="shared" ca="1" si="247"/>
        <v>-</v>
      </c>
      <c r="J310" s="99" t="str">
        <f t="shared" ca="1" si="247"/>
        <v>-</v>
      </c>
      <c r="K310" s="99" t="str">
        <f t="shared" ca="1" si="247"/>
        <v>-</v>
      </c>
      <c r="L310" s="99" t="str">
        <f t="shared" ca="1" si="247"/>
        <v>-</v>
      </c>
      <c r="M310" s="159" t="str">
        <f t="shared" ca="1" si="247"/>
        <v>-</v>
      </c>
      <c r="N310" s="96"/>
      <c r="P310" s="42" t="s">
        <v>165</v>
      </c>
      <c r="Q310" s="75" t="str">
        <f t="shared" ca="1" si="192"/>
        <v/>
      </c>
      <c r="R310" s="76" t="str">
        <f t="shared" si="193"/>
        <v/>
      </c>
      <c r="S310" s="64" t="str">
        <f t="shared" si="203"/>
        <v/>
      </c>
      <c r="T310" s="42" t="str">
        <f t="shared" si="244"/>
        <v/>
      </c>
      <c r="U310" s="42" t="str">
        <f t="shared" si="245"/>
        <v/>
      </c>
      <c r="V310" s="42" t="str">
        <f t="shared" si="206"/>
        <v/>
      </c>
      <c r="W310" s="42" t="str">
        <f t="shared" si="218"/>
        <v/>
      </c>
      <c r="X310" s="42" t="str">
        <f t="shared" si="219"/>
        <v/>
      </c>
      <c r="Y310" s="42" t="str">
        <f t="shared" si="220"/>
        <v/>
      </c>
      <c r="Z310" s="42" t="str">
        <f t="shared" si="221"/>
        <v/>
      </c>
      <c r="AA310" s="42" t="str">
        <f t="shared" si="222"/>
        <v/>
      </c>
      <c r="AB310" s="42" t="str">
        <f t="shared" si="223"/>
        <v/>
      </c>
      <c r="AC310" s="42" t="str">
        <f t="shared" si="207"/>
        <v/>
      </c>
    </row>
    <row r="311" spans="1:29" ht="28.8" outlineLevel="1" x14ac:dyDescent="0.25">
      <c r="A311" s="42" t="s">
        <v>13</v>
      </c>
      <c r="B311" s="324"/>
      <c r="C311" s="49" t="s">
        <v>228</v>
      </c>
      <c r="D311" s="204" t="str">
        <f t="shared" ca="1" si="247"/>
        <v>-</v>
      </c>
      <c r="E311" s="99" t="str">
        <f t="shared" ca="1" si="247"/>
        <v>-</v>
      </c>
      <c r="F311" s="99" t="str">
        <f t="shared" ca="1" si="247"/>
        <v>-</v>
      </c>
      <c r="G311" s="99" t="str">
        <f t="shared" ca="1" si="247"/>
        <v>-</v>
      </c>
      <c r="H311" s="99" t="str">
        <f t="shared" ca="1" si="247"/>
        <v>-</v>
      </c>
      <c r="I311" s="99" t="str">
        <f t="shared" ca="1" si="247"/>
        <v>-</v>
      </c>
      <c r="J311" s="99" t="str">
        <f t="shared" ca="1" si="247"/>
        <v>-</v>
      </c>
      <c r="K311" s="99" t="str">
        <f t="shared" ca="1" si="247"/>
        <v>-</v>
      </c>
      <c r="L311" s="99" t="str">
        <f t="shared" ca="1" si="247"/>
        <v>-</v>
      </c>
      <c r="M311" s="159" t="str">
        <f t="shared" ca="1" si="247"/>
        <v>-</v>
      </c>
      <c r="N311" s="96"/>
      <c r="P311" s="42" t="s">
        <v>229</v>
      </c>
      <c r="Q311" s="75" t="str">
        <f t="shared" ca="1" si="192"/>
        <v/>
      </c>
      <c r="R311" s="76" t="str">
        <f t="shared" si="193"/>
        <v/>
      </c>
      <c r="S311" s="64" t="str">
        <f t="shared" si="203"/>
        <v/>
      </c>
      <c r="T311" s="42" t="str">
        <f t="shared" si="244"/>
        <v/>
      </c>
      <c r="U311" s="42" t="str">
        <f t="shared" si="245"/>
        <v/>
      </c>
      <c r="V311" s="42" t="str">
        <f t="shared" si="206"/>
        <v/>
      </c>
      <c r="W311" s="42" t="str">
        <f t="shared" si="218"/>
        <v/>
      </c>
      <c r="X311" s="42" t="str">
        <f t="shared" si="219"/>
        <v/>
      </c>
      <c r="Y311" s="42" t="str">
        <f t="shared" si="220"/>
        <v/>
      </c>
      <c r="Z311" s="42" t="str">
        <f t="shared" si="221"/>
        <v/>
      </c>
      <c r="AA311" s="42" t="str">
        <f t="shared" si="222"/>
        <v/>
      </c>
      <c r="AB311" s="42" t="str">
        <f t="shared" si="223"/>
        <v/>
      </c>
      <c r="AC311" s="42" t="str">
        <f t="shared" si="207"/>
        <v/>
      </c>
    </row>
    <row r="312" spans="1:29" ht="28.8" outlineLevel="1" x14ac:dyDescent="0.25">
      <c r="A312" s="42" t="s">
        <v>13</v>
      </c>
      <c r="B312" s="324"/>
      <c r="C312" s="49" t="s">
        <v>230</v>
      </c>
      <c r="D312" s="204" t="str">
        <f t="shared" ca="1" si="247"/>
        <v>-</v>
      </c>
      <c r="E312" s="99" t="str">
        <f t="shared" ca="1" si="247"/>
        <v>-</v>
      </c>
      <c r="F312" s="99" t="str">
        <f t="shared" ca="1" si="247"/>
        <v>-</v>
      </c>
      <c r="G312" s="99" t="str">
        <f t="shared" ca="1" si="247"/>
        <v>-</v>
      </c>
      <c r="H312" s="99" t="str">
        <f t="shared" ca="1" si="247"/>
        <v>-</v>
      </c>
      <c r="I312" s="99" t="str">
        <f t="shared" ca="1" si="247"/>
        <v>-</v>
      </c>
      <c r="J312" s="99" t="str">
        <f t="shared" ca="1" si="247"/>
        <v>-</v>
      </c>
      <c r="K312" s="99" t="str">
        <f t="shared" ca="1" si="247"/>
        <v>-</v>
      </c>
      <c r="L312" s="99" t="str">
        <f t="shared" ca="1" si="247"/>
        <v>-</v>
      </c>
      <c r="M312" s="159" t="str">
        <f t="shared" ca="1" si="247"/>
        <v>-</v>
      </c>
      <c r="N312" s="96"/>
      <c r="P312" s="42" t="s">
        <v>167</v>
      </c>
      <c r="Q312" s="75" t="str">
        <f t="shared" ca="1" si="192"/>
        <v/>
      </c>
      <c r="R312" s="76" t="str">
        <f t="shared" si="193"/>
        <v/>
      </c>
      <c r="S312" s="64" t="str">
        <f t="shared" si="203"/>
        <v/>
      </c>
      <c r="T312" s="42" t="str">
        <f t="shared" si="244"/>
        <v/>
      </c>
      <c r="U312" s="42" t="str">
        <f t="shared" si="245"/>
        <v/>
      </c>
      <c r="V312" s="42" t="str">
        <f t="shared" si="206"/>
        <v/>
      </c>
      <c r="W312" s="42" t="str">
        <f t="shared" si="218"/>
        <v/>
      </c>
      <c r="X312" s="42" t="str">
        <f t="shared" si="219"/>
        <v/>
      </c>
      <c r="Y312" s="42" t="str">
        <f t="shared" si="220"/>
        <v/>
      </c>
      <c r="Z312" s="42" t="str">
        <f t="shared" si="221"/>
        <v/>
      </c>
      <c r="AA312" s="42" t="str">
        <f t="shared" si="222"/>
        <v/>
      </c>
      <c r="AB312" s="42" t="str">
        <f t="shared" si="223"/>
        <v/>
      </c>
      <c r="AC312" s="42" t="str">
        <f t="shared" si="207"/>
        <v/>
      </c>
    </row>
    <row r="313" spans="1:29" outlineLevel="1" x14ac:dyDescent="0.25">
      <c r="A313" s="42">
        <v>1</v>
      </c>
      <c r="B313" s="324"/>
      <c r="C313" s="58"/>
      <c r="D313" s="209"/>
      <c r="E313" s="185"/>
      <c r="F313" s="185"/>
      <c r="G313" s="185"/>
      <c r="H313" s="185"/>
      <c r="I313" s="185"/>
      <c r="J313" s="185"/>
      <c r="K313" s="185"/>
      <c r="L313" s="185"/>
      <c r="M313" s="186"/>
      <c r="Q313" s="75" t="str">
        <f t="shared" si="192"/>
        <v/>
      </c>
      <c r="R313" s="76" t="str">
        <f t="shared" si="193"/>
        <v/>
      </c>
      <c r="S313" s="64" t="str">
        <f t="shared" si="203"/>
        <v/>
      </c>
      <c r="T313" s="42" t="str">
        <f t="shared" si="244"/>
        <v/>
      </c>
      <c r="U313" s="42" t="str">
        <f t="shared" si="245"/>
        <v/>
      </c>
      <c r="V313" s="42" t="str">
        <f t="shared" si="206"/>
        <v/>
      </c>
      <c r="W313" s="42" t="str">
        <f t="shared" si="218"/>
        <v/>
      </c>
      <c r="X313" s="42" t="str">
        <f t="shared" si="219"/>
        <v/>
      </c>
      <c r="Y313" s="42" t="str">
        <f t="shared" si="220"/>
        <v/>
      </c>
      <c r="Z313" s="42" t="str">
        <f t="shared" si="221"/>
        <v/>
      </c>
      <c r="AA313" s="42" t="str">
        <f t="shared" si="222"/>
        <v/>
      </c>
      <c r="AB313" s="42" t="str">
        <f t="shared" si="223"/>
        <v/>
      </c>
      <c r="AC313" s="42" t="str">
        <f t="shared" si="207"/>
        <v/>
      </c>
    </row>
    <row r="314" spans="1:29" ht="28.8" outlineLevel="1" x14ac:dyDescent="0.25">
      <c r="A314" s="42" t="s">
        <v>13</v>
      </c>
      <c r="B314" s="327"/>
      <c r="C314" s="49" t="s">
        <v>231</v>
      </c>
      <c r="D314" s="204" t="str">
        <f t="shared" ref="D314:M317" ca="1" si="248">_xlfn.LET(_xlpm.calc,IFERROR(SUMIFS(D$3:D$307,$P$3:$P$307,"*"&amp;$P314&amp;"*"),0),IF(_xlpm.calc=0,"-",_xlpm.calc))</f>
        <v>-</v>
      </c>
      <c r="E314" s="99" t="str">
        <f t="shared" si="248"/>
        <v>-</v>
      </c>
      <c r="F314" s="99" t="str">
        <f t="shared" si="248"/>
        <v>-</v>
      </c>
      <c r="G314" s="99" t="str">
        <f t="shared" si="248"/>
        <v>-</v>
      </c>
      <c r="H314" s="99" t="str">
        <f t="shared" si="248"/>
        <v>-</v>
      </c>
      <c r="I314" s="99" t="str">
        <f t="shared" si="248"/>
        <v>-</v>
      </c>
      <c r="J314" s="99" t="str">
        <f t="shared" si="248"/>
        <v>-</v>
      </c>
      <c r="K314" s="99" t="str">
        <f t="shared" si="248"/>
        <v>-</v>
      </c>
      <c r="L314" s="99" t="str">
        <f t="shared" si="248"/>
        <v>-</v>
      </c>
      <c r="M314" s="159" t="str">
        <f t="shared" si="248"/>
        <v>-</v>
      </c>
      <c r="N314" s="115" t="s">
        <v>232</v>
      </c>
      <c r="P314" s="42" t="s">
        <v>173</v>
      </c>
      <c r="Q314" s="75" t="str">
        <f t="shared" si="192"/>
        <v/>
      </c>
      <c r="R314" s="76" t="e">
        <f t="shared" si="193"/>
        <v>#VALUE!</v>
      </c>
      <c r="S314" s="64">
        <f t="shared" si="203"/>
        <v>1</v>
      </c>
      <c r="T314" s="42" t="str">
        <f t="shared" ca="1" si="244"/>
        <v>-</v>
      </c>
      <c r="U314" s="42" t="str">
        <f t="shared" si="245"/>
        <v>-</v>
      </c>
      <c r="V314" s="42" t="str">
        <f t="shared" si="206"/>
        <v>-</v>
      </c>
      <c r="W314" s="42" t="str">
        <f t="shared" si="218"/>
        <v>-</v>
      </c>
      <c r="X314" s="42" t="str">
        <f t="shared" si="219"/>
        <v>-</v>
      </c>
      <c r="Y314" s="42" t="str">
        <f t="shared" si="220"/>
        <v>-</v>
      </c>
      <c r="Z314" s="42" t="str">
        <f t="shared" si="221"/>
        <v>-</v>
      </c>
      <c r="AA314" s="42" t="str">
        <f t="shared" si="222"/>
        <v>-</v>
      </c>
      <c r="AB314" s="42" t="str">
        <f t="shared" si="223"/>
        <v>-</v>
      </c>
      <c r="AC314" s="42" t="str">
        <f t="shared" si="207"/>
        <v>-</v>
      </c>
    </row>
    <row r="315" spans="1:29" ht="28.8" outlineLevel="1" x14ac:dyDescent="0.25">
      <c r="A315" s="42" t="s">
        <v>13</v>
      </c>
      <c r="B315" s="327"/>
      <c r="C315" s="49" t="s">
        <v>227</v>
      </c>
      <c r="D315" s="204" t="str">
        <f t="shared" ca="1" si="248"/>
        <v>-</v>
      </c>
      <c r="E315" s="99" t="str">
        <f t="shared" ca="1" si="248"/>
        <v>-</v>
      </c>
      <c r="F315" s="99" t="str">
        <f t="shared" ca="1" si="248"/>
        <v>-</v>
      </c>
      <c r="G315" s="99" t="str">
        <f t="shared" ca="1" si="248"/>
        <v>-</v>
      </c>
      <c r="H315" s="99" t="str">
        <f t="shared" ca="1" si="248"/>
        <v>-</v>
      </c>
      <c r="I315" s="99" t="str">
        <f t="shared" ca="1" si="248"/>
        <v>-</v>
      </c>
      <c r="J315" s="99" t="str">
        <f t="shared" ca="1" si="248"/>
        <v>-</v>
      </c>
      <c r="K315" s="99" t="str">
        <f t="shared" ca="1" si="248"/>
        <v>-</v>
      </c>
      <c r="L315" s="99" t="str">
        <f t="shared" ca="1" si="248"/>
        <v>-</v>
      </c>
      <c r="M315" s="159" t="str">
        <f t="shared" ca="1" si="248"/>
        <v>-</v>
      </c>
      <c r="N315" s="96"/>
      <c r="P315" s="42" t="s">
        <v>174</v>
      </c>
      <c r="Q315" s="75" t="str">
        <f t="shared" ca="1" si="192"/>
        <v/>
      </c>
      <c r="R315" s="76" t="str">
        <f t="shared" si="193"/>
        <v/>
      </c>
      <c r="S315" s="64" t="str">
        <f t="shared" si="203"/>
        <v/>
      </c>
      <c r="T315" s="42" t="str">
        <f t="shared" si="244"/>
        <v/>
      </c>
      <c r="U315" s="42" t="str">
        <f t="shared" si="245"/>
        <v/>
      </c>
      <c r="V315" s="42" t="str">
        <f t="shared" si="206"/>
        <v/>
      </c>
      <c r="W315" s="42" t="str">
        <f t="shared" si="218"/>
        <v/>
      </c>
      <c r="X315" s="42" t="str">
        <f t="shared" si="219"/>
        <v/>
      </c>
      <c r="Y315" s="42" t="str">
        <f t="shared" si="220"/>
        <v/>
      </c>
      <c r="Z315" s="42" t="str">
        <f t="shared" si="221"/>
        <v/>
      </c>
      <c r="AA315" s="42" t="str">
        <f t="shared" si="222"/>
        <v/>
      </c>
      <c r="AB315" s="42" t="str">
        <f t="shared" si="223"/>
        <v/>
      </c>
      <c r="AC315" s="42" t="str">
        <f t="shared" si="207"/>
        <v/>
      </c>
    </row>
    <row r="316" spans="1:29" ht="28.8" outlineLevel="1" x14ac:dyDescent="0.25">
      <c r="A316" s="42" t="s">
        <v>13</v>
      </c>
      <c r="B316" s="327"/>
      <c r="C316" s="49" t="s">
        <v>228</v>
      </c>
      <c r="D316" s="204" t="str">
        <f t="shared" ca="1" si="248"/>
        <v>-</v>
      </c>
      <c r="E316" s="99" t="str">
        <f t="shared" ca="1" si="248"/>
        <v>-</v>
      </c>
      <c r="F316" s="99" t="str">
        <f t="shared" ca="1" si="248"/>
        <v>-</v>
      </c>
      <c r="G316" s="99" t="str">
        <f t="shared" ca="1" si="248"/>
        <v>-</v>
      </c>
      <c r="H316" s="99" t="str">
        <f t="shared" ca="1" si="248"/>
        <v>-</v>
      </c>
      <c r="I316" s="99" t="str">
        <f t="shared" ca="1" si="248"/>
        <v>-</v>
      </c>
      <c r="J316" s="99" t="str">
        <f t="shared" ca="1" si="248"/>
        <v>-</v>
      </c>
      <c r="K316" s="99" t="str">
        <f t="shared" ca="1" si="248"/>
        <v>-</v>
      </c>
      <c r="L316" s="99" t="str">
        <f t="shared" ca="1" si="248"/>
        <v>-</v>
      </c>
      <c r="M316" s="159" t="str">
        <f t="shared" ca="1" si="248"/>
        <v>-</v>
      </c>
      <c r="N316" s="96"/>
      <c r="P316" s="42" t="s">
        <v>233</v>
      </c>
      <c r="Q316" s="75" t="str">
        <f t="shared" ca="1" si="192"/>
        <v/>
      </c>
      <c r="R316" s="76" t="str">
        <f t="shared" si="193"/>
        <v/>
      </c>
      <c r="S316" s="64" t="str">
        <f t="shared" si="203"/>
        <v/>
      </c>
      <c r="T316" s="42" t="str">
        <f t="shared" si="244"/>
        <v/>
      </c>
      <c r="U316" s="42" t="str">
        <f t="shared" si="245"/>
        <v/>
      </c>
      <c r="V316" s="42" t="str">
        <f t="shared" si="206"/>
        <v/>
      </c>
      <c r="W316" s="42" t="str">
        <f t="shared" si="218"/>
        <v/>
      </c>
      <c r="X316" s="42" t="str">
        <f t="shared" si="219"/>
        <v/>
      </c>
      <c r="Y316" s="42" t="str">
        <f t="shared" si="220"/>
        <v/>
      </c>
      <c r="Z316" s="42" t="str">
        <f t="shared" si="221"/>
        <v/>
      </c>
      <c r="AA316" s="42" t="str">
        <f t="shared" si="222"/>
        <v/>
      </c>
      <c r="AB316" s="42" t="str">
        <f t="shared" si="223"/>
        <v/>
      </c>
      <c r="AC316" s="42" t="str">
        <f t="shared" si="207"/>
        <v/>
      </c>
    </row>
    <row r="317" spans="1:29" ht="28.8" outlineLevel="1" x14ac:dyDescent="0.25">
      <c r="A317" s="42" t="s">
        <v>13</v>
      </c>
      <c r="B317" s="327"/>
      <c r="C317" s="49" t="s">
        <v>234</v>
      </c>
      <c r="D317" s="204" t="str">
        <f t="shared" ca="1" si="248"/>
        <v>-</v>
      </c>
      <c r="E317" s="99" t="str">
        <f t="shared" ca="1" si="248"/>
        <v>-</v>
      </c>
      <c r="F317" s="99" t="str">
        <f t="shared" ca="1" si="248"/>
        <v>-</v>
      </c>
      <c r="G317" s="99" t="str">
        <f t="shared" ca="1" si="248"/>
        <v>-</v>
      </c>
      <c r="H317" s="99" t="str">
        <f t="shared" ca="1" si="248"/>
        <v>-</v>
      </c>
      <c r="I317" s="99" t="str">
        <f t="shared" ca="1" si="248"/>
        <v>-</v>
      </c>
      <c r="J317" s="99" t="str">
        <f t="shared" ca="1" si="248"/>
        <v>-</v>
      </c>
      <c r="K317" s="99" t="str">
        <f t="shared" ca="1" si="248"/>
        <v>-</v>
      </c>
      <c r="L317" s="99" t="str">
        <f t="shared" ca="1" si="248"/>
        <v>-</v>
      </c>
      <c r="M317" s="159" t="str">
        <f t="shared" ca="1" si="248"/>
        <v>-</v>
      </c>
      <c r="N317" s="96"/>
      <c r="P317" s="42" t="s">
        <v>176</v>
      </c>
      <c r="Q317" s="75" t="str">
        <f t="shared" ref="Q317:Q327" ca="1" si="249">IF(IFERROR(SEARCH("(",E317),0)=0,"",VALUE(SUBSTITUTE(RIGHT(E317,LEN(E317)-SEARCH("(",E317)),")","")))</f>
        <v/>
      </c>
      <c r="R317" s="76" t="str">
        <f t="shared" ref="R317:R327" si="250">IF(U317="","",SUM(V317:AB317)-U317)</f>
        <v/>
      </c>
      <c r="S317" s="64" t="str">
        <f t="shared" si="203"/>
        <v/>
      </c>
      <c r="T317" s="42" t="str">
        <f t="shared" si="244"/>
        <v/>
      </c>
      <c r="U317" s="42" t="str">
        <f t="shared" si="245"/>
        <v/>
      </c>
      <c r="V317" s="42" t="str">
        <f t="shared" si="206"/>
        <v/>
      </c>
      <c r="W317" s="42" t="str">
        <f t="shared" si="218"/>
        <v/>
      </c>
      <c r="X317" s="42" t="str">
        <f t="shared" si="219"/>
        <v/>
      </c>
      <c r="Y317" s="42" t="str">
        <f t="shared" si="220"/>
        <v/>
      </c>
      <c r="Z317" s="42" t="str">
        <f t="shared" si="221"/>
        <v/>
      </c>
      <c r="AA317" s="42" t="str">
        <f t="shared" si="222"/>
        <v/>
      </c>
      <c r="AB317" s="42" t="str">
        <f t="shared" si="223"/>
        <v/>
      </c>
      <c r="AC317" s="42" t="str">
        <f t="shared" si="207"/>
        <v/>
      </c>
    </row>
    <row r="318" spans="1:29" outlineLevel="1" x14ac:dyDescent="0.25">
      <c r="A318" s="42">
        <v>1</v>
      </c>
      <c r="C318" s="58"/>
      <c r="D318" s="209"/>
      <c r="E318" s="185"/>
      <c r="F318" s="185"/>
      <c r="G318" s="185"/>
      <c r="H318" s="185"/>
      <c r="I318" s="185"/>
      <c r="J318" s="185"/>
      <c r="K318" s="185"/>
      <c r="L318" s="185"/>
      <c r="M318" s="186"/>
      <c r="Q318" s="75" t="str">
        <f t="shared" si="249"/>
        <v/>
      </c>
      <c r="R318" s="76" t="str">
        <f t="shared" si="250"/>
        <v/>
      </c>
      <c r="S318" s="64" t="str">
        <f t="shared" si="203"/>
        <v/>
      </c>
      <c r="T318" s="42" t="str">
        <f t="shared" si="244"/>
        <v/>
      </c>
      <c r="U318" s="42" t="str">
        <f t="shared" si="245"/>
        <v/>
      </c>
      <c r="V318" s="42" t="str">
        <f t="shared" si="206"/>
        <v/>
      </c>
      <c r="W318" s="42" t="str">
        <f t="shared" si="218"/>
        <v/>
      </c>
      <c r="X318" s="42" t="str">
        <f t="shared" si="219"/>
        <v/>
      </c>
      <c r="Y318" s="42" t="str">
        <f t="shared" si="220"/>
        <v/>
      </c>
      <c r="Z318" s="42" t="str">
        <f t="shared" si="221"/>
        <v/>
      </c>
      <c r="AA318" s="42" t="str">
        <f t="shared" si="222"/>
        <v/>
      </c>
      <c r="AB318" s="42" t="str">
        <f t="shared" si="223"/>
        <v/>
      </c>
      <c r="AC318" s="42" t="str">
        <f t="shared" si="207"/>
        <v/>
      </c>
    </row>
    <row r="319" spans="1:29" ht="28.8" outlineLevel="1" x14ac:dyDescent="0.25">
      <c r="A319" s="42" t="s">
        <v>13</v>
      </c>
      <c r="B319" s="324" t="s">
        <v>235</v>
      </c>
      <c r="C319" s="171" t="s">
        <v>236</v>
      </c>
      <c r="D319" s="205" t="str">
        <f t="shared" ref="D319:M322" ca="1" si="251">_xlfn.LET(_xlpm.calc,IFERROR(SUMIFS(D$3:D$307,$P$3:$P$307,"*"&amp;$P319&amp;"*"),0),IF(_xlpm.calc=0,"-",_xlpm.calc))</f>
        <v>-</v>
      </c>
      <c r="E319" s="172" t="str">
        <f t="shared" si="251"/>
        <v>-</v>
      </c>
      <c r="F319" s="172" t="str">
        <f t="shared" si="251"/>
        <v>-</v>
      </c>
      <c r="G319" s="172" t="str">
        <f t="shared" si="251"/>
        <v>-</v>
      </c>
      <c r="H319" s="172" t="str">
        <f t="shared" si="251"/>
        <v>-</v>
      </c>
      <c r="I319" s="172" t="str">
        <f t="shared" si="251"/>
        <v>-</v>
      </c>
      <c r="J319" s="172" t="str">
        <f t="shared" si="251"/>
        <v>-</v>
      </c>
      <c r="K319" s="172" t="str">
        <f t="shared" si="251"/>
        <v>-</v>
      </c>
      <c r="L319" s="172" t="str">
        <f t="shared" si="251"/>
        <v>-</v>
      </c>
      <c r="M319" s="173" t="str">
        <f t="shared" si="251"/>
        <v>-</v>
      </c>
      <c r="N319" s="175" t="s">
        <v>237</v>
      </c>
      <c r="P319" s="42" t="s">
        <v>168</v>
      </c>
      <c r="Q319" s="75" t="str">
        <f t="shared" si="249"/>
        <v/>
      </c>
      <c r="R319" s="76" t="e">
        <f t="shared" si="250"/>
        <v>#VALUE!</v>
      </c>
      <c r="S319" s="64">
        <f t="shared" si="203"/>
        <v>1</v>
      </c>
      <c r="T319" s="42" t="str">
        <f t="shared" ca="1" si="244"/>
        <v>-</v>
      </c>
      <c r="U319" s="42" t="str">
        <f t="shared" si="245"/>
        <v>-</v>
      </c>
      <c r="V319" s="42" t="str">
        <f t="shared" si="206"/>
        <v>-</v>
      </c>
      <c r="W319" s="42" t="str">
        <f t="shared" si="218"/>
        <v>-</v>
      </c>
      <c r="X319" s="42" t="str">
        <f t="shared" si="219"/>
        <v>-</v>
      </c>
      <c r="Y319" s="42" t="str">
        <f t="shared" si="220"/>
        <v>-</v>
      </c>
      <c r="Z319" s="42" t="str">
        <f t="shared" si="221"/>
        <v>-</v>
      </c>
      <c r="AA319" s="42" t="str">
        <f t="shared" si="222"/>
        <v>-</v>
      </c>
      <c r="AB319" s="42" t="str">
        <f t="shared" si="223"/>
        <v>-</v>
      </c>
      <c r="AC319" s="42" t="str">
        <f t="shared" si="207"/>
        <v>-</v>
      </c>
    </row>
    <row r="320" spans="1:29" ht="28.8" outlineLevel="1" x14ac:dyDescent="0.25">
      <c r="A320" s="42" t="s">
        <v>13</v>
      </c>
      <c r="B320" s="324"/>
      <c r="C320" s="171" t="s">
        <v>227</v>
      </c>
      <c r="D320" s="205" t="str">
        <f t="shared" ca="1" si="251"/>
        <v>-</v>
      </c>
      <c r="E320" s="172" t="str">
        <f t="shared" ca="1" si="251"/>
        <v>-</v>
      </c>
      <c r="F320" s="172" t="str">
        <f t="shared" ca="1" si="251"/>
        <v>-</v>
      </c>
      <c r="G320" s="172" t="str">
        <f t="shared" ca="1" si="251"/>
        <v>-</v>
      </c>
      <c r="H320" s="172" t="str">
        <f t="shared" ca="1" si="251"/>
        <v>-</v>
      </c>
      <c r="I320" s="172" t="str">
        <f t="shared" ca="1" si="251"/>
        <v>-</v>
      </c>
      <c r="J320" s="172" t="str">
        <f t="shared" ca="1" si="251"/>
        <v>-</v>
      </c>
      <c r="K320" s="172" t="str">
        <f t="shared" ca="1" si="251"/>
        <v>-</v>
      </c>
      <c r="L320" s="172" t="str">
        <f t="shared" ca="1" si="251"/>
        <v>-</v>
      </c>
      <c r="M320" s="173" t="str">
        <f t="shared" ca="1" si="251"/>
        <v>-</v>
      </c>
      <c r="N320" s="175" t="s">
        <v>226</v>
      </c>
      <c r="P320" s="42" t="s">
        <v>169</v>
      </c>
      <c r="Q320" s="75" t="str">
        <f t="shared" ca="1" si="249"/>
        <v/>
      </c>
      <c r="R320" s="76" t="str">
        <f t="shared" si="250"/>
        <v/>
      </c>
      <c r="S320" s="64" t="str">
        <f t="shared" si="203"/>
        <v/>
      </c>
      <c r="T320" s="42" t="str">
        <f t="shared" si="244"/>
        <v/>
      </c>
      <c r="U320" s="42" t="str">
        <f t="shared" si="245"/>
        <v/>
      </c>
      <c r="V320" s="42" t="str">
        <f t="shared" si="206"/>
        <v/>
      </c>
      <c r="W320" s="42" t="str">
        <f t="shared" si="218"/>
        <v/>
      </c>
      <c r="X320" s="42" t="str">
        <f t="shared" si="219"/>
        <v/>
      </c>
      <c r="Y320" s="42" t="str">
        <f t="shared" si="220"/>
        <v/>
      </c>
      <c r="Z320" s="42" t="str">
        <f t="shared" si="221"/>
        <v/>
      </c>
      <c r="AA320" s="42" t="str">
        <f t="shared" si="222"/>
        <v/>
      </c>
      <c r="AB320" s="42" t="str">
        <f t="shared" si="223"/>
        <v/>
      </c>
      <c r="AC320" s="42" t="str">
        <f t="shared" si="207"/>
        <v/>
      </c>
    </row>
    <row r="321" spans="1:29" ht="28.8" outlineLevel="1" x14ac:dyDescent="0.25">
      <c r="A321" s="42" t="s">
        <v>13</v>
      </c>
      <c r="B321" s="324"/>
      <c r="C321" s="171" t="s">
        <v>228</v>
      </c>
      <c r="D321" s="205" t="str">
        <f t="shared" ca="1" si="251"/>
        <v>-</v>
      </c>
      <c r="E321" s="172" t="str">
        <f t="shared" ca="1" si="251"/>
        <v>-</v>
      </c>
      <c r="F321" s="172" t="str">
        <f t="shared" ca="1" si="251"/>
        <v>-</v>
      </c>
      <c r="G321" s="172" t="str">
        <f t="shared" ca="1" si="251"/>
        <v>-</v>
      </c>
      <c r="H321" s="172" t="str">
        <f t="shared" ca="1" si="251"/>
        <v>-</v>
      </c>
      <c r="I321" s="172" t="str">
        <f t="shared" ca="1" si="251"/>
        <v>-</v>
      </c>
      <c r="J321" s="172" t="str">
        <f t="shared" ca="1" si="251"/>
        <v>-</v>
      </c>
      <c r="K321" s="172" t="str">
        <f t="shared" ca="1" si="251"/>
        <v>-</v>
      </c>
      <c r="L321" s="172" t="str">
        <f t="shared" ca="1" si="251"/>
        <v>-</v>
      </c>
      <c r="M321" s="173" t="str">
        <f t="shared" ca="1" si="251"/>
        <v>-</v>
      </c>
      <c r="N321" s="174"/>
      <c r="P321" s="42" t="s">
        <v>238</v>
      </c>
      <c r="Q321" s="75" t="str">
        <f t="shared" ca="1" si="249"/>
        <v/>
      </c>
      <c r="R321" s="76" t="str">
        <f t="shared" si="250"/>
        <v/>
      </c>
      <c r="S321" s="64" t="str">
        <f t="shared" si="203"/>
        <v/>
      </c>
      <c r="T321" s="42" t="str">
        <f t="shared" si="244"/>
        <v/>
      </c>
      <c r="U321" s="42" t="str">
        <f t="shared" si="245"/>
        <v/>
      </c>
      <c r="V321" s="42" t="str">
        <f t="shared" si="206"/>
        <v/>
      </c>
      <c r="W321" s="42" t="str">
        <f t="shared" si="218"/>
        <v/>
      </c>
      <c r="X321" s="42" t="str">
        <f t="shared" si="219"/>
        <v/>
      </c>
      <c r="Y321" s="42" t="str">
        <f t="shared" si="220"/>
        <v/>
      </c>
      <c r="Z321" s="42" t="str">
        <f t="shared" si="221"/>
        <v/>
      </c>
      <c r="AA321" s="42" t="str">
        <f t="shared" si="222"/>
        <v/>
      </c>
      <c r="AB321" s="42" t="str">
        <f t="shared" si="223"/>
        <v/>
      </c>
      <c r="AC321" s="42" t="str">
        <f t="shared" si="207"/>
        <v/>
      </c>
    </row>
    <row r="322" spans="1:29" ht="28.8" outlineLevel="1" x14ac:dyDescent="0.25">
      <c r="A322" s="42" t="s">
        <v>13</v>
      </c>
      <c r="B322" s="324"/>
      <c r="C322" s="171" t="s">
        <v>234</v>
      </c>
      <c r="D322" s="205" t="str">
        <f t="shared" ca="1" si="251"/>
        <v>-</v>
      </c>
      <c r="E322" s="172" t="str">
        <f t="shared" ca="1" si="251"/>
        <v>-</v>
      </c>
      <c r="F322" s="172" t="str">
        <f t="shared" ca="1" si="251"/>
        <v>-</v>
      </c>
      <c r="G322" s="172" t="str">
        <f t="shared" ca="1" si="251"/>
        <v>-</v>
      </c>
      <c r="H322" s="172" t="str">
        <f t="shared" ca="1" si="251"/>
        <v>-</v>
      </c>
      <c r="I322" s="172" t="str">
        <f t="shared" ca="1" si="251"/>
        <v>-</v>
      </c>
      <c r="J322" s="172" t="str">
        <f t="shared" ca="1" si="251"/>
        <v>-</v>
      </c>
      <c r="K322" s="172" t="str">
        <f t="shared" ca="1" si="251"/>
        <v>-</v>
      </c>
      <c r="L322" s="172" t="str">
        <f t="shared" ca="1" si="251"/>
        <v>-</v>
      </c>
      <c r="M322" s="173" t="str">
        <f t="shared" ca="1" si="251"/>
        <v>-</v>
      </c>
      <c r="N322" s="174"/>
      <c r="P322" s="42" t="s">
        <v>170</v>
      </c>
      <c r="Q322" s="75" t="str">
        <f t="shared" ca="1" si="249"/>
        <v/>
      </c>
      <c r="R322" s="76" t="str">
        <f t="shared" si="250"/>
        <v/>
      </c>
      <c r="S322" s="64" t="str">
        <f t="shared" si="203"/>
        <v/>
      </c>
      <c r="T322" s="42" t="str">
        <f t="shared" si="244"/>
        <v/>
      </c>
      <c r="U322" s="42" t="str">
        <f t="shared" si="245"/>
        <v/>
      </c>
      <c r="V322" s="42" t="str">
        <f t="shared" si="206"/>
        <v/>
      </c>
      <c r="W322" s="42" t="str">
        <f t="shared" si="218"/>
        <v/>
      </c>
      <c r="X322" s="42" t="str">
        <f t="shared" si="219"/>
        <v/>
      </c>
      <c r="Y322" s="42" t="str">
        <f t="shared" si="220"/>
        <v/>
      </c>
      <c r="Z322" s="42" t="str">
        <f t="shared" si="221"/>
        <v/>
      </c>
      <c r="AA322" s="42" t="str">
        <f t="shared" si="222"/>
        <v/>
      </c>
      <c r="AB322" s="42" t="str">
        <f t="shared" si="223"/>
        <v/>
      </c>
      <c r="AC322" s="42" t="str">
        <f t="shared" si="207"/>
        <v/>
      </c>
    </row>
    <row r="323" spans="1:29" outlineLevel="1" x14ac:dyDescent="0.25">
      <c r="A323" s="42">
        <v>1</v>
      </c>
      <c r="B323" s="324"/>
      <c r="C323" s="176"/>
      <c r="D323" s="210"/>
      <c r="E323" s="183"/>
      <c r="F323" s="183"/>
      <c r="G323" s="183"/>
      <c r="H323" s="183"/>
      <c r="I323" s="183"/>
      <c r="J323" s="183"/>
      <c r="K323" s="183"/>
      <c r="L323" s="183"/>
      <c r="M323" s="182"/>
      <c r="N323" s="176"/>
      <c r="Q323" s="75" t="str">
        <f t="shared" si="249"/>
        <v/>
      </c>
      <c r="R323" s="76" t="str">
        <f t="shared" si="250"/>
        <v/>
      </c>
      <c r="S323" s="64" t="str">
        <f t="shared" si="203"/>
        <v/>
      </c>
      <c r="T323" s="42" t="str">
        <f t="shared" si="244"/>
        <v/>
      </c>
      <c r="U323" s="42" t="str">
        <f t="shared" si="245"/>
        <v/>
      </c>
      <c r="V323" s="42" t="str">
        <f t="shared" si="206"/>
        <v/>
      </c>
      <c r="W323" s="42" t="str">
        <f t="shared" si="218"/>
        <v/>
      </c>
      <c r="X323" s="42" t="str">
        <f t="shared" si="219"/>
        <v/>
      </c>
      <c r="Y323" s="42" t="str">
        <f t="shared" si="220"/>
        <v/>
      </c>
      <c r="Z323" s="42" t="str">
        <f t="shared" si="221"/>
        <v/>
      </c>
      <c r="AA323" s="42" t="str">
        <f t="shared" si="222"/>
        <v/>
      </c>
      <c r="AB323" s="42" t="str">
        <f t="shared" si="223"/>
        <v/>
      </c>
      <c r="AC323" s="42" t="str">
        <f t="shared" si="207"/>
        <v/>
      </c>
    </row>
    <row r="324" spans="1:29" ht="28.8" outlineLevel="1" x14ac:dyDescent="0.25">
      <c r="A324" s="42" t="s">
        <v>13</v>
      </c>
      <c r="B324" s="327"/>
      <c r="C324" s="171" t="s">
        <v>239</v>
      </c>
      <c r="D324" s="205" t="str">
        <f t="shared" ref="D324:M327" ca="1" si="252">_xlfn.LET(_xlpm.calc,IFERROR(SUMIFS(D$3:D$307,$P$3:$P$307,"*"&amp;$P324&amp;"*"),0),IF(_xlpm.calc=0,"-",_xlpm.calc))</f>
        <v>-</v>
      </c>
      <c r="E324" s="172" t="str">
        <f t="shared" si="252"/>
        <v>-</v>
      </c>
      <c r="F324" s="172" t="str">
        <f t="shared" si="252"/>
        <v>-</v>
      </c>
      <c r="G324" s="172" t="str">
        <f t="shared" si="252"/>
        <v>-</v>
      </c>
      <c r="H324" s="172" t="str">
        <f t="shared" si="252"/>
        <v>-</v>
      </c>
      <c r="I324" s="172" t="str">
        <f t="shared" si="252"/>
        <v>-</v>
      </c>
      <c r="J324" s="172" t="str">
        <f t="shared" si="252"/>
        <v>-</v>
      </c>
      <c r="K324" s="172" t="str">
        <f t="shared" si="252"/>
        <v>-</v>
      </c>
      <c r="L324" s="172" t="str">
        <f t="shared" si="252"/>
        <v>-</v>
      </c>
      <c r="M324" s="173" t="str">
        <f t="shared" si="252"/>
        <v>-</v>
      </c>
      <c r="N324" s="175" t="s">
        <v>237</v>
      </c>
      <c r="P324" s="42" t="s">
        <v>177</v>
      </c>
      <c r="Q324" s="75" t="str">
        <f t="shared" si="249"/>
        <v/>
      </c>
      <c r="R324" s="76" t="e">
        <f t="shared" si="250"/>
        <v>#VALUE!</v>
      </c>
      <c r="S324" s="64">
        <f t="shared" si="203"/>
        <v>1</v>
      </c>
      <c r="T324" s="42" t="str">
        <f t="shared" ca="1" si="244"/>
        <v>-</v>
      </c>
      <c r="U324" s="42" t="str">
        <f t="shared" si="245"/>
        <v>-</v>
      </c>
      <c r="V324" s="42" t="str">
        <f t="shared" si="206"/>
        <v>-</v>
      </c>
      <c r="W324" s="42" t="str">
        <f t="shared" si="218"/>
        <v>-</v>
      </c>
      <c r="X324" s="42" t="str">
        <f t="shared" si="219"/>
        <v>-</v>
      </c>
      <c r="Y324" s="42" t="str">
        <f t="shared" si="220"/>
        <v>-</v>
      </c>
      <c r="Z324" s="42" t="str">
        <f t="shared" si="221"/>
        <v>-</v>
      </c>
      <c r="AA324" s="42" t="str">
        <f t="shared" si="222"/>
        <v>-</v>
      </c>
      <c r="AB324" s="42" t="str">
        <f t="shared" si="223"/>
        <v>-</v>
      </c>
      <c r="AC324" s="42" t="str">
        <f t="shared" si="207"/>
        <v>-</v>
      </c>
    </row>
    <row r="325" spans="1:29" ht="28.8" outlineLevel="1" x14ac:dyDescent="0.25">
      <c r="A325" s="42" t="s">
        <v>13</v>
      </c>
      <c r="B325" s="327"/>
      <c r="C325" s="171" t="s">
        <v>227</v>
      </c>
      <c r="D325" s="205" t="str">
        <f t="shared" ca="1" si="252"/>
        <v>-</v>
      </c>
      <c r="E325" s="172" t="str">
        <f t="shared" ca="1" si="252"/>
        <v>-</v>
      </c>
      <c r="F325" s="172" t="str">
        <f t="shared" ca="1" si="252"/>
        <v>-</v>
      </c>
      <c r="G325" s="172" t="str">
        <f t="shared" ca="1" si="252"/>
        <v>-</v>
      </c>
      <c r="H325" s="172" t="str">
        <f t="shared" ca="1" si="252"/>
        <v>-</v>
      </c>
      <c r="I325" s="172" t="str">
        <f t="shared" ca="1" si="252"/>
        <v>-</v>
      </c>
      <c r="J325" s="172" t="str">
        <f t="shared" ca="1" si="252"/>
        <v>-</v>
      </c>
      <c r="K325" s="172" t="str">
        <f t="shared" ca="1" si="252"/>
        <v>-</v>
      </c>
      <c r="L325" s="172" t="str">
        <f t="shared" ca="1" si="252"/>
        <v>-</v>
      </c>
      <c r="M325" s="173" t="str">
        <f t="shared" ca="1" si="252"/>
        <v>-</v>
      </c>
      <c r="N325" s="175" t="s">
        <v>232</v>
      </c>
      <c r="P325" s="42" t="s">
        <v>178</v>
      </c>
      <c r="Q325" s="75" t="str">
        <f t="shared" ca="1" si="249"/>
        <v/>
      </c>
      <c r="R325" s="76" t="str">
        <f t="shared" si="250"/>
        <v/>
      </c>
      <c r="S325" s="64" t="str">
        <f t="shared" si="203"/>
        <v/>
      </c>
      <c r="T325" s="42" t="str">
        <f t="shared" si="244"/>
        <v/>
      </c>
      <c r="U325" s="42" t="str">
        <f t="shared" si="245"/>
        <v/>
      </c>
      <c r="V325" s="42" t="str">
        <f t="shared" si="206"/>
        <v/>
      </c>
      <c r="W325" s="42" t="str">
        <f t="shared" si="218"/>
        <v/>
      </c>
      <c r="X325" s="42" t="str">
        <f t="shared" si="219"/>
        <v/>
      </c>
      <c r="Y325" s="42" t="str">
        <f t="shared" si="220"/>
        <v/>
      </c>
      <c r="Z325" s="42" t="str">
        <f t="shared" si="221"/>
        <v/>
      </c>
      <c r="AA325" s="42" t="str">
        <f t="shared" si="222"/>
        <v/>
      </c>
      <c r="AB325" s="42" t="str">
        <f t="shared" si="223"/>
        <v/>
      </c>
      <c r="AC325" s="42" t="str">
        <f t="shared" si="207"/>
        <v/>
      </c>
    </row>
    <row r="326" spans="1:29" ht="28.8" outlineLevel="1" x14ac:dyDescent="0.25">
      <c r="A326" s="42" t="s">
        <v>13</v>
      </c>
      <c r="B326" s="327"/>
      <c r="C326" s="171" t="s">
        <v>228</v>
      </c>
      <c r="D326" s="205" t="str">
        <f t="shared" ca="1" si="252"/>
        <v>-</v>
      </c>
      <c r="E326" s="172" t="str">
        <f t="shared" ca="1" si="252"/>
        <v>-</v>
      </c>
      <c r="F326" s="172" t="str">
        <f t="shared" ca="1" si="252"/>
        <v>-</v>
      </c>
      <c r="G326" s="172" t="str">
        <f t="shared" ca="1" si="252"/>
        <v>-</v>
      </c>
      <c r="H326" s="172" t="str">
        <f t="shared" ca="1" si="252"/>
        <v>-</v>
      </c>
      <c r="I326" s="172" t="str">
        <f t="shared" ca="1" si="252"/>
        <v>-</v>
      </c>
      <c r="J326" s="172" t="str">
        <f t="shared" ca="1" si="252"/>
        <v>-</v>
      </c>
      <c r="K326" s="172" t="str">
        <f t="shared" ca="1" si="252"/>
        <v>-</v>
      </c>
      <c r="L326" s="172" t="str">
        <f t="shared" ca="1" si="252"/>
        <v>-</v>
      </c>
      <c r="M326" s="173" t="str">
        <f t="shared" ca="1" si="252"/>
        <v>-</v>
      </c>
      <c r="N326" s="174"/>
      <c r="P326" s="42" t="s">
        <v>240</v>
      </c>
      <c r="Q326" s="75" t="str">
        <f t="shared" ca="1" si="249"/>
        <v/>
      </c>
      <c r="R326" s="76" t="str">
        <f t="shared" si="250"/>
        <v/>
      </c>
      <c r="S326" s="64" t="str">
        <f t="shared" si="203"/>
        <v/>
      </c>
      <c r="T326" s="42" t="str">
        <f t="shared" si="244"/>
        <v/>
      </c>
      <c r="U326" s="42" t="str">
        <f t="shared" si="245"/>
        <v/>
      </c>
      <c r="V326" s="42" t="str">
        <f t="shared" si="206"/>
        <v/>
      </c>
      <c r="W326" s="42" t="str">
        <f t="shared" si="218"/>
        <v/>
      </c>
      <c r="X326" s="42" t="str">
        <f t="shared" si="219"/>
        <v/>
      </c>
      <c r="Y326" s="42" t="str">
        <f t="shared" si="220"/>
        <v/>
      </c>
      <c r="Z326" s="42" t="str">
        <f t="shared" si="221"/>
        <v/>
      </c>
      <c r="AA326" s="42" t="str">
        <f t="shared" si="222"/>
        <v/>
      </c>
      <c r="AB326" s="42" t="str">
        <f t="shared" si="223"/>
        <v/>
      </c>
      <c r="AC326" s="42" t="str">
        <f t="shared" si="207"/>
        <v/>
      </c>
    </row>
    <row r="327" spans="1:29" ht="28.8" outlineLevel="1" x14ac:dyDescent="0.25">
      <c r="A327" s="42" t="s">
        <v>13</v>
      </c>
      <c r="B327" s="327"/>
      <c r="C327" s="171" t="s">
        <v>234</v>
      </c>
      <c r="D327" s="205" t="str">
        <f t="shared" ca="1" si="252"/>
        <v>-</v>
      </c>
      <c r="E327" s="172" t="str">
        <f t="shared" ca="1" si="252"/>
        <v>-</v>
      </c>
      <c r="F327" s="172" t="str">
        <f t="shared" ca="1" si="252"/>
        <v>-</v>
      </c>
      <c r="G327" s="172" t="str">
        <f t="shared" ca="1" si="252"/>
        <v>-</v>
      </c>
      <c r="H327" s="172" t="str">
        <f t="shared" ca="1" si="252"/>
        <v>-</v>
      </c>
      <c r="I327" s="172" t="str">
        <f t="shared" ca="1" si="252"/>
        <v>-</v>
      </c>
      <c r="J327" s="172" t="str">
        <f t="shared" ca="1" si="252"/>
        <v>-</v>
      </c>
      <c r="K327" s="172" t="str">
        <f t="shared" ca="1" si="252"/>
        <v>-</v>
      </c>
      <c r="L327" s="172" t="str">
        <f t="shared" ca="1" si="252"/>
        <v>-</v>
      </c>
      <c r="M327" s="173" t="str">
        <f t="shared" ca="1" si="252"/>
        <v>-</v>
      </c>
      <c r="N327" s="174"/>
      <c r="P327" s="42" t="s">
        <v>179</v>
      </c>
      <c r="Q327" s="75" t="str">
        <f t="shared" ca="1" si="249"/>
        <v/>
      </c>
      <c r="R327" s="76" t="str">
        <f t="shared" si="250"/>
        <v/>
      </c>
      <c r="S327" s="64" t="str">
        <f t="shared" si="203"/>
        <v/>
      </c>
      <c r="T327" s="42" t="str">
        <f t="shared" si="244"/>
        <v/>
      </c>
      <c r="U327" s="42" t="str">
        <f t="shared" si="245"/>
        <v/>
      </c>
      <c r="V327" s="42" t="str">
        <f t="shared" si="206"/>
        <v/>
      </c>
      <c r="W327" s="42" t="str">
        <f t="shared" si="218"/>
        <v/>
      </c>
      <c r="X327" s="42" t="str">
        <f t="shared" si="219"/>
        <v/>
      </c>
      <c r="Y327" s="42" t="str">
        <f t="shared" si="220"/>
        <v/>
      </c>
      <c r="Z327" s="42" t="str">
        <f t="shared" si="221"/>
        <v/>
      </c>
      <c r="AA327" s="42" t="str">
        <f t="shared" si="222"/>
        <v/>
      </c>
      <c r="AB327" s="42" t="str">
        <f t="shared" si="223"/>
        <v/>
      </c>
      <c r="AC327" s="42" t="str">
        <f t="shared" si="207"/>
        <v/>
      </c>
    </row>
  </sheetData>
  <autoFilter ref="A3:AB108" xr:uid="{AF483978-7D82-41DE-9196-772EEE755728}"/>
  <mergeCells count="20">
    <mergeCell ref="B283:B293"/>
    <mergeCell ref="B211:B223"/>
    <mergeCell ref="B225:B237"/>
    <mergeCell ref="B250:B261"/>
    <mergeCell ref="B319:B327"/>
    <mergeCell ref="B309:B317"/>
    <mergeCell ref="B295:B301"/>
    <mergeCell ref="B303:B307"/>
    <mergeCell ref="B140:B157"/>
    <mergeCell ref="E2:L2"/>
    <mergeCell ref="B180:B209"/>
    <mergeCell ref="N2:N3"/>
    <mergeCell ref="B263:B281"/>
    <mergeCell ref="B4:B20"/>
    <mergeCell ref="B22:B61"/>
    <mergeCell ref="B70:B103"/>
    <mergeCell ref="B239:B248"/>
    <mergeCell ref="B159:B178"/>
    <mergeCell ref="B105:B138"/>
    <mergeCell ref="B63:B68"/>
  </mergeCells>
  <conditionalFormatting sqref="N1:O2 N4:O298 N299 N300:P300 N301:O304 N305 N306:P306 N307:O1048576">
    <cfRule type="containsText" dxfId="1" priority="2" operator="containsText" text="ERROR">
      <formula>NOT(ISERROR(SEARCH("ERROR",N1)))</formula>
    </cfRule>
  </conditionalFormatting>
  <conditionalFormatting sqref="O3:P3">
    <cfRule type="containsText" dxfId="0" priority="1" operator="containsText" text="ERROR">
      <formula>NOT(ISERROR(SEARCH("ERROR",O3)))</formula>
    </cfRule>
  </conditionalFormatting>
  <printOptions horizontalCentered="1"/>
  <pageMargins left="0.25" right="0.25" top="0.75" bottom="0.5" header="0.25" footer="0.25"/>
  <pageSetup paperSize="5" scale="58" fitToHeight="300" orientation="landscape" horizontalDpi="1200" verticalDpi="1200" r:id="rId1"/>
  <headerFooter>
    <oddHeader>&amp;L&amp;"-,Bold"CONFIDENTIAL -
FOR MEDIATION 
PURPOSES ONLY&amp;C&amp;"-,Bold"&amp;12&amp;F - &amp;A&amp;R&amp;"-,Bold"&amp;D</oddHeader>
    <oddFooter>&amp;CPage &amp;P of &amp;N</oddFooter>
  </headerFooter>
  <rowBreaks count="13" manualBreakCount="13">
    <brk id="21" min="1" max="12" man="1"/>
    <brk id="62" min="1" max="12" man="1"/>
    <brk id="69" min="1" max="12" man="1"/>
    <brk id="104" min="1" max="12" man="1"/>
    <brk id="139" min="1" max="12" man="1"/>
    <brk id="158" min="1" max="12" man="1"/>
    <brk id="179" min="1" max="12" man="1"/>
    <brk id="210" min="1" max="12" man="1"/>
    <brk id="238" min="1" max="12" man="1"/>
    <brk id="262" min="1" max="12" man="1"/>
    <brk id="282" min="1" max="12" man="1"/>
    <brk id="294" min="1" max="12" man="1"/>
    <brk id="308" min="1" max="12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EBCA9-7BF1-4209-BD6B-EC0D62683B4D}">
  <sheetPr>
    <tabColor rgb="FFFFFF00"/>
  </sheetPr>
  <dimension ref="A1:B19"/>
  <sheetViews>
    <sheetView workbookViewId="0"/>
  </sheetViews>
  <sheetFormatPr defaultColWidth="8.88671875" defaultRowHeight="13.2" x14ac:dyDescent="0.25"/>
  <cols>
    <col min="1" max="1" width="24.88671875" bestFit="1" customWidth="1"/>
    <col min="2" max="2" width="8.44140625" bestFit="1" customWidth="1"/>
  </cols>
  <sheetData>
    <row r="1" spans="1:2" ht="14.4" x14ac:dyDescent="0.25">
      <c r="A1" s="6" t="s">
        <v>241</v>
      </c>
      <c r="B1" s="7">
        <v>44927</v>
      </c>
    </row>
    <row r="2" spans="1:2" ht="14.4" x14ac:dyDescent="0.25">
      <c r="A2" s="6" t="s">
        <v>242</v>
      </c>
      <c r="B2" s="8">
        <v>1</v>
      </c>
    </row>
    <row r="3" spans="1:2" ht="14.4" x14ac:dyDescent="0.25">
      <c r="A3" s="6" t="s">
        <v>243</v>
      </c>
      <c r="B3" s="7">
        <f ca="1">TODAY()</f>
        <v>46083</v>
      </c>
    </row>
    <row r="4" spans="1:2" ht="14.4" x14ac:dyDescent="0.25">
      <c r="A4" s="6" t="s">
        <v>244</v>
      </c>
      <c r="B4" s="9">
        <f>1/B2</f>
        <v>1</v>
      </c>
    </row>
    <row r="5" spans="1:2" ht="14.4" x14ac:dyDescent="0.25">
      <c r="A5" s="6" t="s">
        <v>245</v>
      </c>
      <c r="B5" s="1" t="e">
        <f ca="1">YEARFRAC('Class Analysis'!E4,'Class Analysis'!E5)/YEARFRAC('Class Analysis'!D4,'Class Analysis'!D5)</f>
        <v>#NAME?</v>
      </c>
    </row>
    <row r="6" spans="1:2" ht="14.4" x14ac:dyDescent="0.25">
      <c r="A6" s="6" t="s">
        <v>246</v>
      </c>
      <c r="B6" s="2">
        <f>B1-365-65</f>
        <v>44497</v>
      </c>
    </row>
    <row r="7" spans="1:2" ht="14.4" x14ac:dyDescent="0.25">
      <c r="A7" s="6" t="s">
        <v>247</v>
      </c>
      <c r="B7" s="2">
        <f>DATE(YEAR($B$1)-4,MONTH($B$1),DAY($B$1))</f>
        <v>43466</v>
      </c>
    </row>
    <row r="8" spans="1:2" ht="14.4" x14ac:dyDescent="0.25">
      <c r="A8" s="6" t="s">
        <v>248</v>
      </c>
      <c r="B8" s="7">
        <f>B1</f>
        <v>44927</v>
      </c>
    </row>
    <row r="9" spans="1:2" ht="14.4" x14ac:dyDescent="0.25">
      <c r="A9" s="6" t="s">
        <v>249</v>
      </c>
      <c r="B9" s="1" t="e">
        <f ca="1">YEARFRAC('PAGA Analysis'!E3,'PAGA Analysis'!E4)/YEARFRAC('PAGA Analysis'!D3,'PAGA Analysis'!D4)</f>
        <v>#NAME?</v>
      </c>
    </row>
    <row r="11" spans="1:2" ht="14.4" x14ac:dyDescent="0.25">
      <c r="A11" s="233" t="s">
        <v>250</v>
      </c>
      <c r="B11" s="234" t="str">
        <f>'Class Analysis'!$E$1</f>
        <v>e</v>
      </c>
    </row>
    <row r="12" spans="1:2" ht="14.4" x14ac:dyDescent="0.25">
      <c r="A12" s="6" t="s">
        <v>15</v>
      </c>
      <c r="B12" s="235" t="e">
        <f>'Class Analysis'!E4</f>
        <v>#NAME?</v>
      </c>
    </row>
    <row r="13" spans="1:2" ht="14.4" x14ac:dyDescent="0.25">
      <c r="A13" s="6" t="s">
        <v>16</v>
      </c>
      <c r="B13" s="235" t="e">
        <f>'Class Analysis'!E5</f>
        <v>#NAME?</v>
      </c>
    </row>
    <row r="14" spans="1:2" ht="14.4" x14ac:dyDescent="0.25">
      <c r="A14" s="6" t="s">
        <v>17</v>
      </c>
      <c r="B14" s="236" cm="1">
        <f t="array" ref="B14">IFERROR(ROWS(_xlfn.UNIQUE(_xlfn._xlws.FILTER(ID,(Date &gt;= B12) * (Date &lt;= B13) * (IFERROR(SEARCH(B11, Key_Gps),0)&gt;0)))),0)</f>
        <v>0</v>
      </c>
    </row>
    <row r="15" spans="1:2" ht="14.4" x14ac:dyDescent="0.25">
      <c r="A15" s="6" t="s">
        <v>251</v>
      </c>
      <c r="B15" s="236" t="e">
        <f>B13-B12+1</f>
        <v>#NAME?</v>
      </c>
    </row>
    <row r="16" spans="1:2" ht="14.4" x14ac:dyDescent="0.25">
      <c r="A16" s="6" t="s">
        <v>252</v>
      </c>
      <c r="B16" s="235">
        <f ca="1">$B$3</f>
        <v>46083</v>
      </c>
    </row>
    <row r="17" spans="1:2" ht="14.4" x14ac:dyDescent="0.25">
      <c r="A17" s="6" t="s">
        <v>253</v>
      </c>
      <c r="B17" s="236" t="e">
        <f>B14/B15</f>
        <v>#NAME?</v>
      </c>
    </row>
    <row r="18" spans="1:2" ht="14.4" x14ac:dyDescent="0.25">
      <c r="A18" s="6" t="s">
        <v>254</v>
      </c>
      <c r="B18" s="236" t="e">
        <f ca="1">B16-B13</f>
        <v>#NAME?</v>
      </c>
    </row>
    <row r="19" spans="1:2" ht="14.4" x14ac:dyDescent="0.25">
      <c r="A19" s="6" t="s">
        <v>255</v>
      </c>
      <c r="B19" s="237" t="e">
        <f ca="1">ROUND(B18*B17,0)</f>
        <v>#NAME?</v>
      </c>
    </row>
  </sheetData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2294C-E434-41C2-9C44-859A4A300291}">
  <sheetPr>
    <tabColor rgb="FFFFFF00"/>
  </sheetPr>
  <dimension ref="A1:CX85"/>
  <sheetViews>
    <sheetView workbookViewId="0"/>
  </sheetViews>
  <sheetFormatPr defaultRowHeight="13.2" x14ac:dyDescent="0.25"/>
  <cols>
    <col min="1" max="1" width="57" bestFit="1" customWidth="1"/>
    <col min="2" max="101" width="20.44140625" style="240" customWidth="1"/>
    <col min="102" max="102" width="25" style="236" bestFit="1" customWidth="1"/>
  </cols>
  <sheetData>
    <row r="1" spans="1:102" x14ac:dyDescent="0.25">
      <c r="A1" s="238" t="s">
        <v>256</v>
      </c>
      <c r="B1" s="239"/>
      <c r="C1" s="234"/>
      <c r="CX1" s="236" t="str">
        <f>"'" &amp; "Time Punch Data" &amp; "'!$" &amp; SUBSTITUTE(ADDRESS(1, MATCH($A1, 'Time Punch Data'!$1:$1, 0), 4), "1", "") &amp; ":$" &amp; SUBSTITUTE(ADDRESS(1, MATCH($A1, 'Time Punch Data'!$1:$1, 0), 4), "1", "")</f>
        <v>'Time Punch Data'!$T:$T</v>
      </c>
    </row>
    <row r="2" spans="1:102" x14ac:dyDescent="0.25">
      <c r="A2" s="241" t="s">
        <v>257</v>
      </c>
      <c r="B2" s="242" t="str">
        <f>"Row"&amp;COLUMN(A2)</f>
        <v>Row1</v>
      </c>
      <c r="C2" s="242" t="str">
        <f t="shared" ref="C2:BN2" si="0">"Row"&amp;COLUMN(B2)</f>
        <v>Row2</v>
      </c>
      <c r="D2" s="242" t="str">
        <f t="shared" si="0"/>
        <v>Row3</v>
      </c>
      <c r="E2" s="242" t="str">
        <f t="shared" si="0"/>
        <v>Row4</v>
      </c>
      <c r="F2" s="242" t="str">
        <f t="shared" si="0"/>
        <v>Row5</v>
      </c>
      <c r="G2" s="242" t="str">
        <f t="shared" si="0"/>
        <v>Row6</v>
      </c>
      <c r="H2" s="242" t="str">
        <f t="shared" si="0"/>
        <v>Row7</v>
      </c>
      <c r="I2" s="242" t="str">
        <f t="shared" si="0"/>
        <v>Row8</v>
      </c>
      <c r="J2" s="242" t="str">
        <f t="shared" si="0"/>
        <v>Row9</v>
      </c>
      <c r="K2" s="242" t="str">
        <f t="shared" si="0"/>
        <v>Row10</v>
      </c>
      <c r="L2" s="242" t="str">
        <f t="shared" si="0"/>
        <v>Row11</v>
      </c>
      <c r="M2" s="242" t="str">
        <f t="shared" si="0"/>
        <v>Row12</v>
      </c>
      <c r="N2" s="242" t="str">
        <f t="shared" si="0"/>
        <v>Row13</v>
      </c>
      <c r="O2" s="242" t="str">
        <f t="shared" si="0"/>
        <v>Row14</v>
      </c>
      <c r="P2" s="242" t="str">
        <f t="shared" si="0"/>
        <v>Row15</v>
      </c>
      <c r="Q2" s="242" t="str">
        <f t="shared" si="0"/>
        <v>Row16</v>
      </c>
      <c r="R2" s="242" t="str">
        <f t="shared" si="0"/>
        <v>Row17</v>
      </c>
      <c r="S2" s="242" t="str">
        <f t="shared" si="0"/>
        <v>Row18</v>
      </c>
      <c r="T2" s="242" t="str">
        <f t="shared" si="0"/>
        <v>Row19</v>
      </c>
      <c r="U2" s="242" t="str">
        <f t="shared" si="0"/>
        <v>Row20</v>
      </c>
      <c r="V2" s="242" t="str">
        <f t="shared" si="0"/>
        <v>Row21</v>
      </c>
      <c r="W2" s="242" t="str">
        <f t="shared" si="0"/>
        <v>Row22</v>
      </c>
      <c r="X2" s="242" t="str">
        <f t="shared" si="0"/>
        <v>Row23</v>
      </c>
      <c r="Y2" s="242" t="str">
        <f t="shared" si="0"/>
        <v>Row24</v>
      </c>
      <c r="Z2" s="242" t="str">
        <f t="shared" si="0"/>
        <v>Row25</v>
      </c>
      <c r="AA2" s="242" t="str">
        <f t="shared" si="0"/>
        <v>Row26</v>
      </c>
      <c r="AB2" s="242" t="str">
        <f t="shared" si="0"/>
        <v>Row27</v>
      </c>
      <c r="AC2" s="242" t="str">
        <f t="shared" si="0"/>
        <v>Row28</v>
      </c>
      <c r="AD2" s="242" t="str">
        <f t="shared" si="0"/>
        <v>Row29</v>
      </c>
      <c r="AE2" s="242" t="str">
        <f t="shared" si="0"/>
        <v>Row30</v>
      </c>
      <c r="AF2" s="242" t="str">
        <f t="shared" si="0"/>
        <v>Row31</v>
      </c>
      <c r="AG2" s="242" t="str">
        <f t="shared" si="0"/>
        <v>Row32</v>
      </c>
      <c r="AH2" s="242" t="str">
        <f t="shared" si="0"/>
        <v>Row33</v>
      </c>
      <c r="AI2" s="242" t="str">
        <f t="shared" si="0"/>
        <v>Row34</v>
      </c>
      <c r="AJ2" s="242" t="str">
        <f t="shared" si="0"/>
        <v>Row35</v>
      </c>
      <c r="AK2" s="242" t="str">
        <f t="shared" si="0"/>
        <v>Row36</v>
      </c>
      <c r="AL2" s="242" t="str">
        <f t="shared" si="0"/>
        <v>Row37</v>
      </c>
      <c r="AM2" s="242" t="str">
        <f t="shared" si="0"/>
        <v>Row38</v>
      </c>
      <c r="AN2" s="242" t="str">
        <f t="shared" si="0"/>
        <v>Row39</v>
      </c>
      <c r="AO2" s="242" t="str">
        <f t="shared" si="0"/>
        <v>Row40</v>
      </c>
      <c r="AP2" s="242" t="str">
        <f t="shared" si="0"/>
        <v>Row41</v>
      </c>
      <c r="AQ2" s="242" t="str">
        <f t="shared" si="0"/>
        <v>Row42</v>
      </c>
      <c r="AR2" s="242" t="str">
        <f t="shared" si="0"/>
        <v>Row43</v>
      </c>
      <c r="AS2" s="242" t="str">
        <f t="shared" si="0"/>
        <v>Row44</v>
      </c>
      <c r="AT2" s="242" t="str">
        <f t="shared" si="0"/>
        <v>Row45</v>
      </c>
      <c r="AU2" s="242" t="str">
        <f t="shared" si="0"/>
        <v>Row46</v>
      </c>
      <c r="AV2" s="242" t="str">
        <f t="shared" si="0"/>
        <v>Row47</v>
      </c>
      <c r="AW2" s="242" t="str">
        <f t="shared" si="0"/>
        <v>Row48</v>
      </c>
      <c r="AX2" s="242" t="str">
        <f t="shared" si="0"/>
        <v>Row49</v>
      </c>
      <c r="AY2" s="242" t="str">
        <f t="shared" si="0"/>
        <v>Row50</v>
      </c>
      <c r="AZ2" s="242" t="str">
        <f t="shared" si="0"/>
        <v>Row51</v>
      </c>
      <c r="BA2" s="242" t="str">
        <f t="shared" si="0"/>
        <v>Row52</v>
      </c>
      <c r="BB2" s="242" t="str">
        <f t="shared" si="0"/>
        <v>Row53</v>
      </c>
      <c r="BC2" s="242" t="str">
        <f t="shared" si="0"/>
        <v>Row54</v>
      </c>
      <c r="BD2" s="242" t="str">
        <f t="shared" si="0"/>
        <v>Row55</v>
      </c>
      <c r="BE2" s="242" t="str">
        <f t="shared" si="0"/>
        <v>Row56</v>
      </c>
      <c r="BF2" s="242" t="str">
        <f t="shared" si="0"/>
        <v>Row57</v>
      </c>
      <c r="BG2" s="242" t="str">
        <f t="shared" si="0"/>
        <v>Row58</v>
      </c>
      <c r="BH2" s="242" t="str">
        <f t="shared" si="0"/>
        <v>Row59</v>
      </c>
      <c r="BI2" s="242" t="str">
        <f t="shared" si="0"/>
        <v>Row60</v>
      </c>
      <c r="BJ2" s="242" t="str">
        <f t="shared" si="0"/>
        <v>Row61</v>
      </c>
      <c r="BK2" s="242" t="str">
        <f t="shared" si="0"/>
        <v>Row62</v>
      </c>
      <c r="BL2" s="242" t="str">
        <f t="shared" si="0"/>
        <v>Row63</v>
      </c>
      <c r="BM2" s="242" t="str">
        <f t="shared" si="0"/>
        <v>Row64</v>
      </c>
      <c r="BN2" s="242" t="str">
        <f t="shared" si="0"/>
        <v>Row65</v>
      </c>
      <c r="BO2" s="242" t="str">
        <f t="shared" ref="BO2:CW2" si="1">"Row"&amp;COLUMN(BN2)</f>
        <v>Row66</v>
      </c>
      <c r="BP2" s="242" t="str">
        <f t="shared" si="1"/>
        <v>Row67</v>
      </c>
      <c r="BQ2" s="242" t="str">
        <f t="shared" si="1"/>
        <v>Row68</v>
      </c>
      <c r="BR2" s="242" t="str">
        <f t="shared" si="1"/>
        <v>Row69</v>
      </c>
      <c r="BS2" s="242" t="str">
        <f t="shared" si="1"/>
        <v>Row70</v>
      </c>
      <c r="BT2" s="242" t="str">
        <f t="shared" si="1"/>
        <v>Row71</v>
      </c>
      <c r="BU2" s="242" t="str">
        <f t="shared" si="1"/>
        <v>Row72</v>
      </c>
      <c r="BV2" s="242" t="str">
        <f t="shared" si="1"/>
        <v>Row73</v>
      </c>
      <c r="BW2" s="242" t="str">
        <f t="shared" si="1"/>
        <v>Row74</v>
      </c>
      <c r="BX2" s="242" t="str">
        <f t="shared" si="1"/>
        <v>Row75</v>
      </c>
      <c r="BY2" s="242" t="str">
        <f t="shared" si="1"/>
        <v>Row76</v>
      </c>
      <c r="BZ2" s="242" t="str">
        <f t="shared" si="1"/>
        <v>Row77</v>
      </c>
      <c r="CA2" s="242" t="str">
        <f t="shared" si="1"/>
        <v>Row78</v>
      </c>
      <c r="CB2" s="242" t="str">
        <f t="shared" si="1"/>
        <v>Row79</v>
      </c>
      <c r="CC2" s="242" t="str">
        <f t="shared" si="1"/>
        <v>Row80</v>
      </c>
      <c r="CD2" s="242" t="str">
        <f t="shared" si="1"/>
        <v>Row81</v>
      </c>
      <c r="CE2" s="242" t="str">
        <f t="shared" si="1"/>
        <v>Row82</v>
      </c>
      <c r="CF2" s="242" t="str">
        <f t="shared" si="1"/>
        <v>Row83</v>
      </c>
      <c r="CG2" s="242" t="str">
        <f t="shared" si="1"/>
        <v>Row84</v>
      </c>
      <c r="CH2" s="242" t="str">
        <f t="shared" si="1"/>
        <v>Row85</v>
      </c>
      <c r="CI2" s="242" t="str">
        <f t="shared" si="1"/>
        <v>Row86</v>
      </c>
      <c r="CJ2" s="242" t="str">
        <f t="shared" si="1"/>
        <v>Row87</v>
      </c>
      <c r="CK2" s="242" t="str">
        <f t="shared" si="1"/>
        <v>Row88</v>
      </c>
      <c r="CL2" s="242" t="str">
        <f t="shared" si="1"/>
        <v>Row89</v>
      </c>
      <c r="CM2" s="242" t="str">
        <f t="shared" si="1"/>
        <v>Row90</v>
      </c>
      <c r="CN2" s="242" t="str">
        <f t="shared" si="1"/>
        <v>Row91</v>
      </c>
      <c r="CO2" s="242" t="str">
        <f t="shared" si="1"/>
        <v>Row92</v>
      </c>
      <c r="CP2" s="242" t="str">
        <f t="shared" si="1"/>
        <v>Row93</v>
      </c>
      <c r="CQ2" s="242" t="str">
        <f t="shared" si="1"/>
        <v>Row94</v>
      </c>
      <c r="CR2" s="242" t="str">
        <f t="shared" si="1"/>
        <v>Row95</v>
      </c>
      <c r="CS2" s="242" t="str">
        <f t="shared" si="1"/>
        <v>Row96</v>
      </c>
      <c r="CT2" s="242" t="str">
        <f t="shared" si="1"/>
        <v>Row97</v>
      </c>
      <c r="CU2" s="242" t="str">
        <f t="shared" si="1"/>
        <v>Row98</v>
      </c>
      <c r="CV2" s="242" t="str">
        <f t="shared" si="1"/>
        <v>Row99</v>
      </c>
      <c r="CW2" s="242" t="str">
        <f t="shared" si="1"/>
        <v>Row100</v>
      </c>
      <c r="CX2" s="243"/>
    </row>
    <row r="3" spans="1:102" x14ac:dyDescent="0.25">
      <c r="A3" s="244" t="s">
        <v>258</v>
      </c>
      <c r="B3" s="245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5"/>
      <c r="S3" s="245"/>
      <c r="T3" s="245"/>
      <c r="U3" s="245"/>
      <c r="V3" s="245"/>
      <c r="W3" s="245"/>
      <c r="X3" s="245"/>
      <c r="Y3" s="245"/>
      <c r="Z3" s="245"/>
      <c r="AA3" s="245"/>
      <c r="AB3" s="245"/>
      <c r="AC3" s="245"/>
      <c r="AD3" s="245"/>
      <c r="AE3" s="245"/>
      <c r="AF3" s="245"/>
      <c r="AG3" s="245"/>
      <c r="AH3" s="245"/>
      <c r="AI3" s="245"/>
      <c r="AJ3" s="245"/>
      <c r="AK3" s="245"/>
      <c r="AL3" s="245"/>
      <c r="AM3" s="245"/>
      <c r="AN3" s="245"/>
      <c r="AO3" s="245"/>
      <c r="AP3" s="245"/>
      <c r="AQ3" s="245"/>
      <c r="AR3" s="245"/>
      <c r="AS3" s="245"/>
      <c r="AT3" s="245"/>
      <c r="AU3" s="245"/>
      <c r="AV3" s="245"/>
      <c r="AW3" s="245"/>
      <c r="AX3" s="245"/>
      <c r="AY3" s="245"/>
      <c r="AZ3" s="245"/>
      <c r="BA3" s="245"/>
      <c r="BB3" s="245"/>
      <c r="BC3" s="245"/>
      <c r="BD3" s="245"/>
      <c r="BE3" s="245"/>
      <c r="BF3" s="245"/>
      <c r="BG3" s="245"/>
      <c r="BH3" s="245"/>
      <c r="BI3" s="245"/>
      <c r="BJ3" s="245"/>
      <c r="BK3" s="245"/>
      <c r="BL3" s="245"/>
      <c r="BM3" s="245"/>
      <c r="BN3" s="245"/>
      <c r="BO3" s="245"/>
      <c r="BP3" s="245"/>
      <c r="BQ3" s="245"/>
      <c r="BR3" s="245"/>
      <c r="BS3" s="245"/>
      <c r="BT3" s="245"/>
      <c r="BU3" s="245"/>
      <c r="BV3" s="245"/>
      <c r="BW3" s="245"/>
      <c r="BX3" s="245"/>
      <c r="BY3" s="245"/>
      <c r="BZ3" s="245"/>
      <c r="CA3" s="245"/>
      <c r="CB3" s="245"/>
      <c r="CC3" s="245"/>
      <c r="CD3" s="245"/>
      <c r="CE3" s="245"/>
      <c r="CF3" s="245"/>
      <c r="CG3" s="245"/>
      <c r="CH3" s="245"/>
      <c r="CI3" s="245"/>
      <c r="CJ3" s="245"/>
      <c r="CK3" s="245"/>
      <c r="CL3" s="245"/>
      <c r="CM3" s="245"/>
      <c r="CN3" s="245"/>
      <c r="CO3" s="245"/>
      <c r="CP3" s="245"/>
      <c r="CQ3" s="245"/>
      <c r="CR3" s="245"/>
      <c r="CS3" s="245"/>
      <c r="CT3" s="245"/>
      <c r="CU3" s="245"/>
      <c r="CV3" s="245"/>
      <c r="CW3" s="245"/>
    </row>
    <row r="4" spans="1:102" x14ac:dyDescent="0.25">
      <c r="A4" s="246" t="s">
        <v>1</v>
      </c>
      <c r="B4" s="245" t="e" cm="1" vm="1">
        <f t="array" aca="1" ref="B4" ca="1">TRANSPOSE(_xlfn._xlws.FILTER(INDIRECT($CX4), INDIRECT($CX$1) = $B$1))</f>
        <v>#VALUE!</v>
      </c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245"/>
      <c r="Z4" s="245"/>
      <c r="AA4" s="245"/>
      <c r="AB4" s="245"/>
      <c r="AC4" s="245"/>
      <c r="AD4" s="245"/>
      <c r="AE4" s="245"/>
      <c r="AF4" s="245"/>
      <c r="AG4" s="245"/>
      <c r="AH4" s="245"/>
      <c r="AI4" s="245"/>
      <c r="AJ4" s="245"/>
      <c r="AK4" s="245"/>
      <c r="AL4" s="245"/>
      <c r="AM4" s="245"/>
      <c r="AN4" s="245"/>
      <c r="AO4" s="245"/>
      <c r="AP4" s="245"/>
      <c r="AQ4" s="245"/>
      <c r="AR4" s="245"/>
      <c r="AS4" s="245"/>
      <c r="AT4" s="245"/>
      <c r="AU4" s="245"/>
      <c r="AV4" s="245"/>
      <c r="AW4" s="245"/>
      <c r="AX4" s="245"/>
      <c r="AY4" s="245"/>
      <c r="AZ4" s="245"/>
      <c r="BA4" s="245"/>
      <c r="BB4" s="245"/>
      <c r="BC4" s="245"/>
      <c r="BD4" s="245"/>
      <c r="BE4" s="245"/>
      <c r="BF4" s="245"/>
      <c r="BG4" s="245"/>
      <c r="BH4" s="245"/>
      <c r="BI4" s="245"/>
      <c r="BJ4" s="245"/>
      <c r="BK4" s="245"/>
      <c r="BL4" s="245"/>
      <c r="BM4" s="245"/>
      <c r="BN4" s="245"/>
      <c r="BO4" s="245"/>
      <c r="BP4" s="245"/>
      <c r="BQ4" s="245"/>
      <c r="BR4" s="245"/>
      <c r="BS4" s="245"/>
      <c r="BT4" s="245"/>
      <c r="BU4" s="245"/>
      <c r="BV4" s="245"/>
      <c r="BW4" s="245"/>
      <c r="BX4" s="245"/>
      <c r="BY4" s="245"/>
      <c r="BZ4" s="245"/>
      <c r="CA4" s="245"/>
      <c r="CB4" s="245"/>
      <c r="CC4" s="245"/>
      <c r="CD4" s="245"/>
      <c r="CE4" s="245"/>
      <c r="CF4" s="245"/>
      <c r="CG4" s="245"/>
      <c r="CH4" s="245"/>
      <c r="CI4" s="245"/>
      <c r="CJ4" s="245"/>
      <c r="CK4" s="245"/>
      <c r="CL4" s="245"/>
      <c r="CM4" s="245"/>
      <c r="CN4" s="245"/>
      <c r="CO4" s="245"/>
      <c r="CP4" s="245"/>
      <c r="CQ4" s="245"/>
      <c r="CR4" s="245"/>
      <c r="CS4" s="245"/>
      <c r="CT4" s="245"/>
      <c r="CU4" s="245"/>
      <c r="CV4" s="245"/>
      <c r="CW4" s="245"/>
      <c r="CX4" s="236" t="str">
        <f>"'" &amp; "Time Punch Data" &amp; "'!$" &amp; SUBSTITUTE(ADDRESS(1, MATCH($A4, 'Time Punch Data'!$1:$1, 0), 4), "1", "") &amp; ":$" &amp; SUBSTITUTE(ADDRESS(1, MATCH($A4, 'Time Punch Data'!$1:$1, 0), 4), "1", "")</f>
        <v>'Time Punch Data'!$N:$N</v>
      </c>
    </row>
    <row r="5" spans="1:102" x14ac:dyDescent="0.25">
      <c r="A5" s="246" t="s">
        <v>2</v>
      </c>
      <c r="B5" s="245" t="e" cm="1" vm="1">
        <f t="array" aca="1" ref="B5" ca="1">TRANSPOSE(_xlfn._xlws.FILTER(INDIRECT($CX5), INDIRECT($CX$1) = $B$1))</f>
        <v>#VALUE!</v>
      </c>
      <c r="C5" s="245"/>
      <c r="D5" s="245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245"/>
      <c r="Z5" s="245"/>
      <c r="AA5" s="245"/>
      <c r="AB5" s="245"/>
      <c r="AC5" s="245"/>
      <c r="AD5" s="245"/>
      <c r="AE5" s="245"/>
      <c r="AF5" s="245"/>
      <c r="AG5" s="245"/>
      <c r="AH5" s="245"/>
      <c r="AI5" s="245"/>
      <c r="AJ5" s="245"/>
      <c r="AK5" s="245"/>
      <c r="AL5" s="245"/>
      <c r="AM5" s="245"/>
      <c r="AN5" s="245"/>
      <c r="AO5" s="245"/>
      <c r="AP5" s="245"/>
      <c r="AQ5" s="245"/>
      <c r="AR5" s="245"/>
      <c r="AS5" s="245"/>
      <c r="AT5" s="245"/>
      <c r="AU5" s="245"/>
      <c r="AV5" s="245"/>
      <c r="AW5" s="245"/>
      <c r="AX5" s="245"/>
      <c r="AY5" s="245"/>
      <c r="AZ5" s="245"/>
      <c r="BA5" s="245"/>
      <c r="BB5" s="245"/>
      <c r="BC5" s="245"/>
      <c r="BD5" s="245"/>
      <c r="BE5" s="245"/>
      <c r="BF5" s="245"/>
      <c r="BG5" s="245"/>
      <c r="BH5" s="245"/>
      <c r="BI5" s="245"/>
      <c r="BJ5" s="245"/>
      <c r="BK5" s="245"/>
      <c r="BL5" s="245"/>
      <c r="BM5" s="245"/>
      <c r="BN5" s="245"/>
      <c r="BO5" s="245"/>
      <c r="BP5" s="245"/>
      <c r="BQ5" s="245"/>
      <c r="BR5" s="245"/>
      <c r="BS5" s="245"/>
      <c r="BT5" s="245"/>
      <c r="BU5" s="245"/>
      <c r="BV5" s="245"/>
      <c r="BW5" s="245"/>
      <c r="BX5" s="245"/>
      <c r="BY5" s="245"/>
      <c r="BZ5" s="245"/>
      <c r="CA5" s="245"/>
      <c r="CB5" s="245"/>
      <c r="CC5" s="245"/>
      <c r="CD5" s="245"/>
      <c r="CE5" s="245"/>
      <c r="CF5" s="245"/>
      <c r="CG5" s="245"/>
      <c r="CH5" s="245"/>
      <c r="CI5" s="245"/>
      <c r="CJ5" s="245"/>
      <c r="CK5" s="245"/>
      <c r="CL5" s="245"/>
      <c r="CM5" s="245"/>
      <c r="CN5" s="245"/>
      <c r="CO5" s="245"/>
      <c r="CP5" s="245"/>
      <c r="CQ5" s="245"/>
      <c r="CR5" s="245"/>
      <c r="CS5" s="245"/>
      <c r="CT5" s="245"/>
      <c r="CU5" s="245"/>
      <c r="CV5" s="245"/>
      <c r="CW5" s="245"/>
      <c r="CX5" s="236" t="str">
        <f>"'" &amp; "Time Punch Data" &amp; "'!$" &amp; SUBSTITUTE(ADDRESS(1, MATCH($A5, 'Time Punch Data'!$1:$1, 0), 4), "1", "") &amp; ":$" &amp; SUBSTITUTE(ADDRESS(1, MATCH($A5, 'Time Punch Data'!$1:$1, 0), 4), "1", "")</f>
        <v>'Time Punch Data'!$O:$O</v>
      </c>
    </row>
    <row r="6" spans="1:102" s="3" customFormat="1" x14ac:dyDescent="0.25">
      <c r="A6" s="247" t="s">
        <v>259</v>
      </c>
      <c r="B6" s="248" t="e" cm="1" vm="1">
        <f t="array" aca="1" ref="B6" ca="1">TRANSPOSE(_xlfn._xlws.FILTER(INDIRECT($CX6), INDIRECT($CX$1) = $B$1))</f>
        <v>#VALUE!</v>
      </c>
      <c r="C6" s="248"/>
      <c r="D6" s="248"/>
      <c r="E6" s="248"/>
      <c r="F6" s="248"/>
      <c r="G6" s="248"/>
      <c r="H6" s="248"/>
      <c r="I6" s="248"/>
      <c r="J6" s="248"/>
      <c r="K6" s="248"/>
      <c r="L6" s="248"/>
      <c r="M6" s="248"/>
      <c r="N6" s="248"/>
      <c r="O6" s="248"/>
      <c r="P6" s="248"/>
      <c r="Q6" s="248"/>
      <c r="R6" s="248"/>
      <c r="S6" s="248"/>
      <c r="T6" s="248"/>
      <c r="U6" s="248"/>
      <c r="V6" s="248"/>
      <c r="W6" s="248"/>
      <c r="X6" s="248"/>
      <c r="Y6" s="248"/>
      <c r="Z6" s="248"/>
      <c r="AA6" s="248"/>
      <c r="AB6" s="248"/>
      <c r="AC6" s="248"/>
      <c r="AD6" s="248"/>
      <c r="AE6" s="248"/>
      <c r="AF6" s="248"/>
      <c r="AG6" s="248"/>
      <c r="AH6" s="248"/>
      <c r="AI6" s="248"/>
      <c r="AJ6" s="248"/>
      <c r="AK6" s="248"/>
      <c r="AL6" s="248"/>
      <c r="AM6" s="248"/>
      <c r="AN6" s="248"/>
      <c r="AO6" s="248"/>
      <c r="AP6" s="248"/>
      <c r="AQ6" s="248"/>
      <c r="AR6" s="248"/>
      <c r="AS6" s="248"/>
      <c r="AT6" s="248"/>
      <c r="AU6" s="248"/>
      <c r="AV6" s="248"/>
      <c r="AW6" s="248"/>
      <c r="AX6" s="248"/>
      <c r="AY6" s="248"/>
      <c r="AZ6" s="248"/>
      <c r="BA6" s="248"/>
      <c r="BB6" s="248"/>
      <c r="BC6" s="248"/>
      <c r="BD6" s="248"/>
      <c r="BE6" s="248"/>
      <c r="BF6" s="248"/>
      <c r="BG6" s="248"/>
      <c r="BH6" s="248"/>
      <c r="BI6" s="248"/>
      <c r="BJ6" s="248"/>
      <c r="BK6" s="248"/>
      <c r="BL6" s="248"/>
      <c r="BM6" s="248"/>
      <c r="BN6" s="248"/>
      <c r="BO6" s="248"/>
      <c r="BP6" s="248"/>
      <c r="BQ6" s="248"/>
      <c r="BR6" s="248"/>
      <c r="BS6" s="248"/>
      <c r="BT6" s="248"/>
      <c r="BU6" s="248"/>
      <c r="BV6" s="248"/>
      <c r="BW6" s="248"/>
      <c r="BX6" s="248"/>
      <c r="BY6" s="248"/>
      <c r="BZ6" s="248"/>
      <c r="CA6" s="248"/>
      <c r="CB6" s="248"/>
      <c r="CC6" s="248"/>
      <c r="CD6" s="248"/>
      <c r="CE6" s="248"/>
      <c r="CF6" s="248"/>
      <c r="CG6" s="248"/>
      <c r="CH6" s="248"/>
      <c r="CI6" s="248"/>
      <c r="CJ6" s="248"/>
      <c r="CK6" s="248"/>
      <c r="CL6" s="248"/>
      <c r="CM6" s="248"/>
      <c r="CN6" s="248"/>
      <c r="CO6" s="248"/>
      <c r="CP6" s="248"/>
      <c r="CQ6" s="248"/>
      <c r="CR6" s="248"/>
      <c r="CS6" s="248"/>
      <c r="CT6" s="248"/>
      <c r="CU6" s="248"/>
      <c r="CV6" s="248"/>
      <c r="CW6" s="248"/>
      <c r="CX6" s="249" t="str">
        <f>"'" &amp; "Time Punch Data" &amp; "'!$" &amp; SUBSTITUTE(ADDRESS(1, MATCH($A6, 'Time Punch Data'!$1:$1, 0), 4), "1", "") &amp; ":$" &amp; SUBSTITUTE(ADDRESS(1, MATCH($A6, 'Time Punch Data'!$1:$1, 0), 4), "1", "")</f>
        <v>'Time Punch Data'!$A:$A</v>
      </c>
    </row>
    <row r="7" spans="1:102" x14ac:dyDescent="0.25">
      <c r="A7" s="246" t="s">
        <v>260</v>
      </c>
      <c r="B7" s="245" t="e" cm="1" vm="1">
        <f t="array" aca="1" ref="B7" ca="1">TRANSPOSE(_xlfn._xlws.FILTER(INDIRECT($CX7), INDIRECT($CX$1) = $B$1))</f>
        <v>#VALUE!</v>
      </c>
      <c r="C7" s="245"/>
      <c r="D7" s="245"/>
      <c r="E7" s="245"/>
      <c r="F7" s="245"/>
      <c r="G7" s="245"/>
      <c r="H7" s="245"/>
      <c r="I7" s="245"/>
      <c r="J7" s="245"/>
      <c r="K7" s="245"/>
      <c r="L7" s="245"/>
      <c r="M7" s="245"/>
      <c r="N7" s="245"/>
      <c r="O7" s="245"/>
      <c r="P7" s="245"/>
      <c r="Q7" s="245"/>
      <c r="R7" s="245"/>
      <c r="S7" s="245"/>
      <c r="T7" s="245"/>
      <c r="U7" s="245"/>
      <c r="V7" s="245"/>
      <c r="W7" s="245"/>
      <c r="X7" s="245"/>
      <c r="Y7" s="245"/>
      <c r="Z7" s="245"/>
      <c r="AA7" s="245"/>
      <c r="AB7" s="245"/>
      <c r="AC7" s="245"/>
      <c r="AD7" s="245"/>
      <c r="AE7" s="245"/>
      <c r="AF7" s="245"/>
      <c r="AG7" s="245"/>
      <c r="AH7" s="245"/>
      <c r="AI7" s="245"/>
      <c r="AJ7" s="245"/>
      <c r="AK7" s="245"/>
      <c r="AL7" s="245"/>
      <c r="AM7" s="245"/>
      <c r="AN7" s="245"/>
      <c r="AO7" s="245"/>
      <c r="AP7" s="245"/>
      <c r="AQ7" s="245"/>
      <c r="AR7" s="245"/>
      <c r="AS7" s="245"/>
      <c r="AT7" s="245"/>
      <c r="AU7" s="245"/>
      <c r="AV7" s="245"/>
      <c r="AW7" s="245"/>
      <c r="AX7" s="245"/>
      <c r="AY7" s="245"/>
      <c r="AZ7" s="245"/>
      <c r="BA7" s="245"/>
      <c r="BB7" s="245"/>
      <c r="BC7" s="245"/>
      <c r="BD7" s="245"/>
      <c r="BE7" s="245"/>
      <c r="BF7" s="245"/>
      <c r="BG7" s="245"/>
      <c r="BH7" s="245"/>
      <c r="BI7" s="245"/>
      <c r="BJ7" s="245"/>
      <c r="BK7" s="245"/>
      <c r="BL7" s="245"/>
      <c r="BM7" s="245"/>
      <c r="BN7" s="245"/>
      <c r="BO7" s="245"/>
      <c r="BP7" s="245"/>
      <c r="BQ7" s="245"/>
      <c r="BR7" s="245"/>
      <c r="BS7" s="245"/>
      <c r="BT7" s="245"/>
      <c r="BU7" s="245"/>
      <c r="BV7" s="245"/>
      <c r="BW7" s="245"/>
      <c r="BX7" s="245"/>
      <c r="BY7" s="245"/>
      <c r="BZ7" s="245"/>
      <c r="CA7" s="245"/>
      <c r="CB7" s="245"/>
      <c r="CC7" s="245"/>
      <c r="CD7" s="245"/>
      <c r="CE7" s="245"/>
      <c r="CF7" s="245"/>
      <c r="CG7" s="245"/>
      <c r="CH7" s="245"/>
      <c r="CI7" s="245"/>
      <c r="CJ7" s="245"/>
      <c r="CK7" s="245"/>
      <c r="CL7" s="245"/>
      <c r="CM7" s="245"/>
      <c r="CN7" s="245"/>
      <c r="CO7" s="245"/>
      <c r="CP7" s="245"/>
      <c r="CQ7" s="245"/>
      <c r="CR7" s="245"/>
      <c r="CS7" s="245"/>
      <c r="CT7" s="245"/>
      <c r="CU7" s="245"/>
      <c r="CV7" s="245"/>
      <c r="CW7" s="245"/>
      <c r="CX7" s="236" t="str">
        <f>"'" &amp; "Time Punch Data" &amp; "'!$" &amp; SUBSTITUTE(ADDRESS(1, MATCH($A7, 'Time Punch Data'!$1:$1, 0), 4), "1", "") &amp; ":$" &amp; SUBSTITUTE(ADDRESS(1, MATCH($A7, 'Time Punch Data'!$1:$1, 0), 4), "1", "")</f>
        <v>'Time Punch Data'!$AI:$AI</v>
      </c>
    </row>
    <row r="8" spans="1:102" x14ac:dyDescent="0.25">
      <c r="A8" s="246" t="s">
        <v>261</v>
      </c>
      <c r="B8" s="245" t="e" cm="1" vm="1">
        <f t="array" aca="1" ref="B8" ca="1">TRANSPOSE(_xlfn._xlws.FILTER(INDIRECT($CX8), INDIRECT($CX$1) = $B$1))</f>
        <v>#VALUE!</v>
      </c>
      <c r="C8" s="245"/>
      <c r="D8" s="245"/>
      <c r="E8" s="245"/>
      <c r="F8" s="245"/>
      <c r="G8" s="245"/>
      <c r="H8" s="245"/>
      <c r="I8" s="245"/>
      <c r="J8" s="245"/>
      <c r="K8" s="245"/>
      <c r="L8" s="245"/>
      <c r="M8" s="245"/>
      <c r="N8" s="245"/>
      <c r="O8" s="245"/>
      <c r="P8" s="245"/>
      <c r="Q8" s="245"/>
      <c r="R8" s="245"/>
      <c r="S8" s="245"/>
      <c r="T8" s="245"/>
      <c r="U8" s="245"/>
      <c r="V8" s="245"/>
      <c r="W8" s="245"/>
      <c r="X8" s="245"/>
      <c r="Y8" s="245"/>
      <c r="Z8" s="245"/>
      <c r="AA8" s="245"/>
      <c r="AB8" s="245"/>
      <c r="AC8" s="245"/>
      <c r="AD8" s="245"/>
      <c r="AE8" s="245"/>
      <c r="AF8" s="245"/>
      <c r="AG8" s="245"/>
      <c r="AH8" s="245"/>
      <c r="AI8" s="245"/>
      <c r="AJ8" s="245"/>
      <c r="AK8" s="245"/>
      <c r="AL8" s="245"/>
      <c r="AM8" s="245"/>
      <c r="AN8" s="245"/>
      <c r="AO8" s="245"/>
      <c r="AP8" s="245"/>
      <c r="AQ8" s="245"/>
      <c r="AR8" s="245"/>
      <c r="AS8" s="245"/>
      <c r="AT8" s="245"/>
      <c r="AU8" s="245"/>
      <c r="AV8" s="245"/>
      <c r="AW8" s="245"/>
      <c r="AX8" s="245"/>
      <c r="AY8" s="245"/>
      <c r="AZ8" s="245"/>
      <c r="BA8" s="245"/>
      <c r="BB8" s="245"/>
      <c r="BC8" s="245"/>
      <c r="BD8" s="245"/>
      <c r="BE8" s="245"/>
      <c r="BF8" s="245"/>
      <c r="BG8" s="245"/>
      <c r="BH8" s="245"/>
      <c r="BI8" s="245"/>
      <c r="BJ8" s="245"/>
      <c r="BK8" s="245"/>
      <c r="BL8" s="245"/>
      <c r="BM8" s="245"/>
      <c r="BN8" s="245"/>
      <c r="BO8" s="245"/>
      <c r="BP8" s="245"/>
      <c r="BQ8" s="245"/>
      <c r="BR8" s="245"/>
      <c r="BS8" s="245"/>
      <c r="BT8" s="245"/>
      <c r="BU8" s="245"/>
      <c r="BV8" s="245"/>
      <c r="BW8" s="245"/>
      <c r="BX8" s="245"/>
      <c r="BY8" s="245"/>
      <c r="BZ8" s="245"/>
      <c r="CA8" s="245"/>
      <c r="CB8" s="245"/>
      <c r="CC8" s="245"/>
      <c r="CD8" s="245"/>
      <c r="CE8" s="245"/>
      <c r="CF8" s="245"/>
      <c r="CG8" s="245"/>
      <c r="CH8" s="245"/>
      <c r="CI8" s="245"/>
      <c r="CJ8" s="245"/>
      <c r="CK8" s="245"/>
      <c r="CL8" s="245"/>
      <c r="CM8" s="245"/>
      <c r="CN8" s="245"/>
      <c r="CO8" s="245"/>
      <c r="CP8" s="245"/>
      <c r="CQ8" s="245"/>
      <c r="CR8" s="245"/>
      <c r="CS8" s="245"/>
      <c r="CT8" s="245"/>
      <c r="CU8" s="245"/>
      <c r="CV8" s="245"/>
      <c r="CW8" s="245"/>
      <c r="CX8" s="236" t="str">
        <f>"'" &amp; "Time Punch Data" &amp; "'!$" &amp; SUBSTITUTE(ADDRESS(1, MATCH($A8, 'Time Punch Data'!$1:$1, 0), 4), "1", "") &amp; ":$" &amp; SUBSTITUTE(ADDRESS(1, MATCH($A8, 'Time Punch Data'!$1:$1, 0), 4), "1", "")</f>
        <v>'Time Punch Data'!$AE:$AE</v>
      </c>
    </row>
    <row r="9" spans="1:102" s="267" customFormat="1" x14ac:dyDescent="0.25">
      <c r="A9" s="250" t="s">
        <v>262</v>
      </c>
      <c r="B9" s="251" t="e" cm="1" vm="1">
        <f t="array" aca="1" ref="B9" ca="1">TRANSPOSE(_xlfn._xlws.FILTER(INDIRECT($CX9), INDIRECT($CX$1) = $B$1))</f>
        <v>#VALUE!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  <c r="Q9" s="251"/>
      <c r="R9" s="251"/>
      <c r="S9" s="251"/>
      <c r="T9" s="251"/>
      <c r="U9" s="251"/>
      <c r="V9" s="251"/>
      <c r="W9" s="251"/>
      <c r="X9" s="251"/>
      <c r="Y9" s="251"/>
      <c r="Z9" s="251"/>
      <c r="AA9" s="251"/>
      <c r="AB9" s="251"/>
      <c r="AC9" s="251"/>
      <c r="AD9" s="251"/>
      <c r="AE9" s="251"/>
      <c r="AF9" s="251"/>
      <c r="AG9" s="251"/>
      <c r="AH9" s="251"/>
      <c r="AI9" s="251"/>
      <c r="AJ9" s="251"/>
      <c r="AK9" s="251"/>
      <c r="AL9" s="251"/>
      <c r="AM9" s="251"/>
      <c r="AN9" s="251"/>
      <c r="AO9" s="251"/>
      <c r="AP9" s="251"/>
      <c r="AQ9" s="251"/>
      <c r="AR9" s="251"/>
      <c r="AS9" s="251"/>
      <c r="AT9" s="251"/>
      <c r="AU9" s="251"/>
      <c r="AV9" s="251"/>
      <c r="AW9" s="251"/>
      <c r="AX9" s="251"/>
      <c r="AY9" s="251"/>
      <c r="AZ9" s="251"/>
      <c r="BA9" s="251"/>
      <c r="BB9" s="251"/>
      <c r="BC9" s="251"/>
      <c r="BD9" s="251"/>
      <c r="BE9" s="251"/>
      <c r="BF9" s="251"/>
      <c r="BG9" s="251"/>
      <c r="BH9" s="251"/>
      <c r="BI9" s="251"/>
      <c r="BJ9" s="251"/>
      <c r="BK9" s="251"/>
      <c r="BL9" s="251"/>
      <c r="BM9" s="251"/>
      <c r="BN9" s="251"/>
      <c r="BO9" s="251"/>
      <c r="BP9" s="251"/>
      <c r="BQ9" s="251"/>
      <c r="BR9" s="251"/>
      <c r="BS9" s="251"/>
      <c r="BT9" s="251"/>
      <c r="BU9" s="251"/>
      <c r="BV9" s="251"/>
      <c r="BW9" s="251"/>
      <c r="BX9" s="251"/>
      <c r="BY9" s="251"/>
      <c r="BZ9" s="251"/>
      <c r="CA9" s="251"/>
      <c r="CB9" s="251"/>
      <c r="CC9" s="251"/>
      <c r="CD9" s="251"/>
      <c r="CE9" s="251"/>
      <c r="CF9" s="251"/>
      <c r="CG9" s="251"/>
      <c r="CH9" s="251"/>
      <c r="CI9" s="251"/>
      <c r="CJ9" s="251"/>
      <c r="CK9" s="251"/>
      <c r="CL9" s="251"/>
      <c r="CM9" s="251"/>
      <c r="CN9" s="251"/>
      <c r="CO9" s="251"/>
      <c r="CP9" s="251"/>
      <c r="CQ9" s="251"/>
      <c r="CR9" s="251"/>
      <c r="CS9" s="251"/>
      <c r="CT9" s="251"/>
      <c r="CU9" s="251"/>
      <c r="CV9" s="251"/>
      <c r="CW9" s="251"/>
      <c r="CX9" s="266" t="str">
        <f>"'" &amp; "Time Punch Data" &amp; "'!$" &amp; SUBSTITUTE(ADDRESS(1, MATCH($A9, 'Time Punch Data'!$1:$1, 0), 4), "1", "") &amp; ":$" &amp; SUBSTITUTE(ADDRESS(1, MATCH($A9, 'Time Punch Data'!$1:$1, 0), 4), "1", "")</f>
        <v>'Time Punch Data'!$AD:$AD</v>
      </c>
    </row>
    <row r="10" spans="1:102" x14ac:dyDescent="0.25">
      <c r="A10" s="246" t="s">
        <v>263</v>
      </c>
      <c r="B10" s="245" t="e" cm="1" vm="1">
        <f t="array" aca="1" ref="B10" ca="1">TRANSPOSE(_xlfn._xlws.FILTER(INDIRECT($CX10), INDIRECT($CX$1) = $B$1))</f>
        <v>#VALUE!</v>
      </c>
      <c r="C10" s="245"/>
      <c r="D10" s="245"/>
      <c r="E10" s="245"/>
      <c r="F10" s="245"/>
      <c r="G10" s="245"/>
      <c r="H10" s="245"/>
      <c r="I10" s="245"/>
      <c r="J10" s="245"/>
      <c r="K10" s="245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  <c r="X10" s="245"/>
      <c r="Y10" s="245"/>
      <c r="Z10" s="245"/>
      <c r="AA10" s="245"/>
      <c r="AB10" s="245"/>
      <c r="AC10" s="245"/>
      <c r="AD10" s="245"/>
      <c r="AE10" s="245"/>
      <c r="AF10" s="245"/>
      <c r="AG10" s="245"/>
      <c r="AH10" s="245"/>
      <c r="AI10" s="245"/>
      <c r="AJ10" s="245"/>
      <c r="AK10" s="245"/>
      <c r="AL10" s="245"/>
      <c r="AM10" s="245"/>
      <c r="AN10" s="245"/>
      <c r="AO10" s="245"/>
      <c r="AP10" s="245"/>
      <c r="AQ10" s="245"/>
      <c r="AR10" s="245"/>
      <c r="AS10" s="245"/>
      <c r="AT10" s="245"/>
      <c r="AU10" s="245"/>
      <c r="AV10" s="245"/>
      <c r="AW10" s="245"/>
      <c r="AX10" s="245"/>
      <c r="AY10" s="245"/>
      <c r="AZ10" s="245"/>
      <c r="BA10" s="245"/>
      <c r="BB10" s="245"/>
      <c r="BC10" s="245"/>
      <c r="BD10" s="245"/>
      <c r="BE10" s="245"/>
      <c r="BF10" s="245"/>
      <c r="BG10" s="245"/>
      <c r="BH10" s="245"/>
      <c r="BI10" s="245"/>
      <c r="BJ10" s="245"/>
      <c r="BK10" s="245"/>
      <c r="BL10" s="245"/>
      <c r="BM10" s="245"/>
      <c r="BN10" s="245"/>
      <c r="BO10" s="245"/>
      <c r="BP10" s="245"/>
      <c r="BQ10" s="245"/>
      <c r="BR10" s="245"/>
      <c r="BS10" s="245"/>
      <c r="BT10" s="245"/>
      <c r="BU10" s="245"/>
      <c r="BV10" s="245"/>
      <c r="BW10" s="245"/>
      <c r="BX10" s="245"/>
      <c r="BY10" s="245"/>
      <c r="BZ10" s="245"/>
      <c r="CA10" s="245"/>
      <c r="CB10" s="245"/>
      <c r="CC10" s="245"/>
      <c r="CD10" s="245"/>
      <c r="CE10" s="245"/>
      <c r="CF10" s="245"/>
      <c r="CG10" s="245"/>
      <c r="CH10" s="245"/>
      <c r="CI10" s="245"/>
      <c r="CJ10" s="245"/>
      <c r="CK10" s="245"/>
      <c r="CL10" s="245"/>
      <c r="CM10" s="245"/>
      <c r="CN10" s="245"/>
      <c r="CO10" s="245"/>
      <c r="CP10" s="245"/>
      <c r="CQ10" s="245"/>
      <c r="CR10" s="245"/>
      <c r="CS10" s="245"/>
      <c r="CT10" s="245"/>
      <c r="CU10" s="245"/>
      <c r="CV10" s="245"/>
      <c r="CW10" s="245"/>
      <c r="CX10" s="236" t="str">
        <f>"'" &amp; "Time Punch Data" &amp; "'!$" &amp; SUBSTITUTE(ADDRESS(1, MATCH($A10, 'Time Punch Data'!$1:$1, 0), 4), "1", "") &amp; ":$" &amp; SUBSTITUTE(ADDRESS(1, MATCH($A10, 'Time Punch Data'!$1:$1, 0), 4), "1", "")</f>
        <v>'Time Punch Data'!$AO:$AO</v>
      </c>
    </row>
    <row r="11" spans="1:102" x14ac:dyDescent="0.25">
      <c r="A11" s="246" t="s">
        <v>264</v>
      </c>
      <c r="B11" s="245" t="e" cm="1" vm="1">
        <f t="array" aca="1" ref="B11" ca="1">TRANSPOSE(_xlfn._xlws.FILTER(INDIRECT($CX11), INDIRECT($CX$1) = $B$1))</f>
        <v>#VALUE!</v>
      </c>
      <c r="C11" s="245"/>
      <c r="D11" s="245"/>
      <c r="E11" s="245"/>
      <c r="F11" s="245"/>
      <c r="G11" s="245"/>
      <c r="H11" s="245"/>
      <c r="I11" s="245"/>
      <c r="J11" s="245"/>
      <c r="K11" s="245"/>
      <c r="L11" s="245"/>
      <c r="M11" s="245"/>
      <c r="N11" s="245"/>
      <c r="O11" s="245"/>
      <c r="P11" s="245"/>
      <c r="Q11" s="245"/>
      <c r="R11" s="245"/>
      <c r="S11" s="245"/>
      <c r="T11" s="245"/>
      <c r="U11" s="245"/>
      <c r="V11" s="245"/>
      <c r="W11" s="245"/>
      <c r="X11" s="245"/>
      <c r="Y11" s="245"/>
      <c r="Z11" s="245"/>
      <c r="AA11" s="245"/>
      <c r="AB11" s="245"/>
      <c r="AC11" s="245"/>
      <c r="AD11" s="245"/>
      <c r="AE11" s="245"/>
      <c r="AF11" s="245"/>
      <c r="AG11" s="245"/>
      <c r="AH11" s="245"/>
      <c r="AI11" s="245"/>
      <c r="AJ11" s="245"/>
      <c r="AK11" s="245"/>
      <c r="AL11" s="245"/>
      <c r="AM11" s="245"/>
      <c r="AN11" s="245"/>
      <c r="AO11" s="245"/>
      <c r="AP11" s="245"/>
      <c r="AQ11" s="245"/>
      <c r="AR11" s="245"/>
      <c r="AS11" s="245"/>
      <c r="AT11" s="245"/>
      <c r="AU11" s="245"/>
      <c r="AV11" s="245"/>
      <c r="AW11" s="245"/>
      <c r="AX11" s="245"/>
      <c r="AY11" s="245"/>
      <c r="AZ11" s="245"/>
      <c r="BA11" s="245"/>
      <c r="BB11" s="245"/>
      <c r="BC11" s="245"/>
      <c r="BD11" s="245"/>
      <c r="BE11" s="245"/>
      <c r="BF11" s="245"/>
      <c r="BG11" s="245"/>
      <c r="BH11" s="245"/>
      <c r="BI11" s="245"/>
      <c r="BJ11" s="245"/>
      <c r="BK11" s="245"/>
      <c r="BL11" s="245"/>
      <c r="BM11" s="245"/>
      <c r="BN11" s="245"/>
      <c r="BO11" s="245"/>
      <c r="BP11" s="245"/>
      <c r="BQ11" s="245"/>
      <c r="BR11" s="245"/>
      <c r="BS11" s="245"/>
      <c r="BT11" s="245"/>
      <c r="BU11" s="245"/>
      <c r="BV11" s="245"/>
      <c r="BW11" s="245"/>
      <c r="BX11" s="245"/>
      <c r="BY11" s="245"/>
      <c r="BZ11" s="245"/>
      <c r="CA11" s="245"/>
      <c r="CB11" s="245"/>
      <c r="CC11" s="245"/>
      <c r="CD11" s="245"/>
      <c r="CE11" s="245"/>
      <c r="CF11" s="245"/>
      <c r="CG11" s="245"/>
      <c r="CH11" s="245"/>
      <c r="CI11" s="245"/>
      <c r="CJ11" s="245"/>
      <c r="CK11" s="245"/>
      <c r="CL11" s="245"/>
      <c r="CM11" s="245"/>
      <c r="CN11" s="245"/>
      <c r="CO11" s="245"/>
      <c r="CP11" s="245"/>
      <c r="CQ11" s="245"/>
      <c r="CR11" s="245"/>
      <c r="CS11" s="245"/>
      <c r="CT11" s="245"/>
      <c r="CU11" s="245"/>
      <c r="CV11" s="245"/>
      <c r="CW11" s="245"/>
      <c r="CX11" s="236" t="str">
        <f>"'" &amp; "Time Punch Data" &amp; "'!$" &amp; SUBSTITUTE(ADDRESS(1, MATCH($A11, 'Time Punch Data'!$1:$1, 0), 4), "1", "") &amp; ":$" &amp; SUBSTITUTE(ADDRESS(1, MATCH($A11, 'Time Punch Data'!$1:$1, 0), 4), "1", "")</f>
        <v>'Time Punch Data'!$I:$I</v>
      </c>
    </row>
    <row r="12" spans="1:102" x14ac:dyDescent="0.25">
      <c r="A12" s="246" t="s">
        <v>265</v>
      </c>
      <c r="B12" s="245" t="e" cm="1" vm="1">
        <f t="array" aca="1" ref="B12" ca="1">TRANSPOSE(_xlfn._xlws.FILTER(INDIRECT($CX12), INDIRECT($CX$1) = $B$1))</f>
        <v>#VALUE!</v>
      </c>
      <c r="C12" s="245"/>
      <c r="D12" s="245"/>
      <c r="E12" s="245"/>
      <c r="F12" s="245"/>
      <c r="G12" s="245"/>
      <c r="H12" s="245"/>
      <c r="I12" s="245"/>
      <c r="J12" s="245"/>
      <c r="K12" s="245"/>
      <c r="L12" s="245"/>
      <c r="M12" s="245"/>
      <c r="N12" s="245"/>
      <c r="O12" s="245"/>
      <c r="P12" s="245"/>
      <c r="Q12" s="245"/>
      <c r="R12" s="245"/>
      <c r="S12" s="245"/>
      <c r="T12" s="245"/>
      <c r="U12" s="245"/>
      <c r="V12" s="245"/>
      <c r="W12" s="245"/>
      <c r="X12" s="245"/>
      <c r="Y12" s="245"/>
      <c r="Z12" s="245"/>
      <c r="AA12" s="245"/>
      <c r="AB12" s="245"/>
      <c r="AC12" s="245"/>
      <c r="AD12" s="245"/>
      <c r="AE12" s="245"/>
      <c r="AF12" s="245"/>
      <c r="AG12" s="245"/>
      <c r="AH12" s="245"/>
      <c r="AI12" s="245"/>
      <c r="AJ12" s="245"/>
      <c r="AK12" s="245"/>
      <c r="AL12" s="245"/>
      <c r="AM12" s="245"/>
      <c r="AN12" s="245"/>
      <c r="AO12" s="245"/>
      <c r="AP12" s="245"/>
      <c r="AQ12" s="245"/>
      <c r="AR12" s="245"/>
      <c r="AS12" s="245"/>
      <c r="AT12" s="245"/>
      <c r="AU12" s="245"/>
      <c r="AV12" s="245"/>
      <c r="AW12" s="245"/>
      <c r="AX12" s="245"/>
      <c r="AY12" s="245"/>
      <c r="AZ12" s="245"/>
      <c r="BA12" s="245"/>
      <c r="BB12" s="245"/>
      <c r="BC12" s="245"/>
      <c r="BD12" s="245"/>
      <c r="BE12" s="245"/>
      <c r="BF12" s="245"/>
      <c r="BG12" s="245"/>
      <c r="BH12" s="245"/>
      <c r="BI12" s="245"/>
      <c r="BJ12" s="245"/>
      <c r="BK12" s="245"/>
      <c r="BL12" s="245"/>
      <c r="BM12" s="245"/>
      <c r="BN12" s="245"/>
      <c r="BO12" s="245"/>
      <c r="BP12" s="245"/>
      <c r="BQ12" s="245"/>
      <c r="BR12" s="245"/>
      <c r="BS12" s="245"/>
      <c r="BT12" s="245"/>
      <c r="BU12" s="245"/>
      <c r="BV12" s="245"/>
      <c r="BW12" s="245"/>
      <c r="BX12" s="245"/>
      <c r="BY12" s="245"/>
      <c r="BZ12" s="245"/>
      <c r="CA12" s="245"/>
      <c r="CB12" s="245"/>
      <c r="CC12" s="245"/>
      <c r="CD12" s="245"/>
      <c r="CE12" s="245"/>
      <c r="CF12" s="245"/>
      <c r="CG12" s="245"/>
      <c r="CH12" s="245"/>
      <c r="CI12" s="245"/>
      <c r="CJ12" s="245"/>
      <c r="CK12" s="245"/>
      <c r="CL12" s="245"/>
      <c r="CM12" s="245"/>
      <c r="CN12" s="245"/>
      <c r="CO12" s="245"/>
      <c r="CP12" s="245"/>
      <c r="CQ12" s="245"/>
      <c r="CR12" s="245"/>
      <c r="CS12" s="245"/>
      <c r="CT12" s="245"/>
      <c r="CU12" s="245"/>
      <c r="CV12" s="245"/>
      <c r="CW12" s="245"/>
      <c r="CX12" s="236" t="str">
        <f>"'" &amp; "Time Punch Data" &amp; "'!$" &amp; SUBSTITUTE(ADDRESS(1, MATCH($A12, 'Time Punch Data'!$1:$1, 0), 4), "1", "") &amp; ":$" &amp; SUBSTITUTE(ADDRESS(1, MATCH($A12, 'Time Punch Data'!$1:$1, 0), 4), "1", "")</f>
        <v>'Time Punch Data'!$AY:$AY</v>
      </c>
    </row>
    <row r="13" spans="1:102" x14ac:dyDescent="0.25">
      <c r="A13" s="246" t="s">
        <v>266</v>
      </c>
      <c r="B13" s="245" t="e" cm="1" vm="1">
        <f t="array" aca="1" ref="B13" ca="1">TRANSPOSE(_xlfn._xlws.FILTER(INDIRECT($CX13), INDIRECT($CX$1) = $B$1))</f>
        <v>#VALUE!</v>
      </c>
      <c r="C13" s="245"/>
      <c r="D13" s="245"/>
      <c r="E13" s="245"/>
      <c r="F13" s="245"/>
      <c r="G13" s="245"/>
      <c r="H13" s="245"/>
      <c r="I13" s="245"/>
      <c r="J13" s="245"/>
      <c r="K13" s="245"/>
      <c r="L13" s="245"/>
      <c r="M13" s="245"/>
      <c r="N13" s="245"/>
      <c r="O13" s="245"/>
      <c r="P13" s="245"/>
      <c r="Q13" s="245"/>
      <c r="R13" s="245"/>
      <c r="S13" s="245"/>
      <c r="T13" s="245"/>
      <c r="U13" s="245"/>
      <c r="V13" s="245"/>
      <c r="W13" s="245"/>
      <c r="X13" s="245"/>
      <c r="Y13" s="245"/>
      <c r="Z13" s="245"/>
      <c r="AA13" s="245"/>
      <c r="AB13" s="245"/>
      <c r="AC13" s="245"/>
      <c r="AD13" s="245"/>
      <c r="AE13" s="245"/>
      <c r="AF13" s="245"/>
      <c r="AG13" s="245"/>
      <c r="AH13" s="245"/>
      <c r="AI13" s="245"/>
      <c r="AJ13" s="245"/>
      <c r="AK13" s="245"/>
      <c r="AL13" s="245"/>
      <c r="AM13" s="245"/>
      <c r="AN13" s="245"/>
      <c r="AO13" s="245"/>
      <c r="AP13" s="245"/>
      <c r="AQ13" s="245"/>
      <c r="AR13" s="245"/>
      <c r="AS13" s="245"/>
      <c r="AT13" s="245"/>
      <c r="AU13" s="245"/>
      <c r="AV13" s="245"/>
      <c r="AW13" s="245"/>
      <c r="AX13" s="245"/>
      <c r="AY13" s="245"/>
      <c r="AZ13" s="245"/>
      <c r="BA13" s="245"/>
      <c r="BB13" s="245"/>
      <c r="BC13" s="245"/>
      <c r="BD13" s="245"/>
      <c r="BE13" s="245"/>
      <c r="BF13" s="245"/>
      <c r="BG13" s="245"/>
      <c r="BH13" s="245"/>
      <c r="BI13" s="245"/>
      <c r="BJ13" s="245"/>
      <c r="BK13" s="245"/>
      <c r="BL13" s="245"/>
      <c r="BM13" s="245"/>
      <c r="BN13" s="245"/>
      <c r="BO13" s="245"/>
      <c r="BP13" s="245"/>
      <c r="BQ13" s="245"/>
      <c r="BR13" s="245"/>
      <c r="BS13" s="245"/>
      <c r="BT13" s="245"/>
      <c r="BU13" s="245"/>
      <c r="BV13" s="245"/>
      <c r="BW13" s="245"/>
      <c r="BX13" s="245"/>
      <c r="BY13" s="245"/>
      <c r="BZ13" s="245"/>
      <c r="CA13" s="245"/>
      <c r="CB13" s="245"/>
      <c r="CC13" s="245"/>
      <c r="CD13" s="245"/>
      <c r="CE13" s="245"/>
      <c r="CF13" s="245"/>
      <c r="CG13" s="245"/>
      <c r="CH13" s="245"/>
      <c r="CI13" s="245"/>
      <c r="CJ13" s="245"/>
      <c r="CK13" s="245"/>
      <c r="CL13" s="245"/>
      <c r="CM13" s="245"/>
      <c r="CN13" s="245"/>
      <c r="CO13" s="245"/>
      <c r="CP13" s="245"/>
      <c r="CQ13" s="245"/>
      <c r="CR13" s="245"/>
      <c r="CS13" s="245"/>
      <c r="CT13" s="245"/>
      <c r="CU13" s="245"/>
      <c r="CV13" s="245"/>
      <c r="CW13" s="245"/>
      <c r="CX13" s="236" t="str">
        <f>"'" &amp; "Time Punch Data" &amp; "'!$" &amp; SUBSTITUTE(ADDRESS(1, MATCH($A13, 'Time Punch Data'!$1:$1, 0), 4), "1", "") &amp; ":$" &amp; SUBSTITUTE(ADDRESS(1, MATCH($A13, 'Time Punch Data'!$1:$1, 0), 4), "1", "")</f>
        <v>'Time Punch Data'!$AZ:$AZ</v>
      </c>
    </row>
    <row r="14" spans="1:102" x14ac:dyDescent="0.25">
      <c r="A14" s="246" t="s">
        <v>267</v>
      </c>
      <c r="B14" s="245" t="e" cm="1" vm="1">
        <f t="array" aca="1" ref="B14" ca="1">TRANSPOSE(_xlfn._xlws.FILTER(INDIRECT($CX14), INDIRECT($CX$1) = $B$1))</f>
        <v>#VALUE!</v>
      </c>
      <c r="C14" s="245"/>
      <c r="D14" s="245"/>
      <c r="E14" s="245"/>
      <c r="F14" s="245"/>
      <c r="G14" s="245"/>
      <c r="H14" s="245"/>
      <c r="I14" s="245"/>
      <c r="J14" s="245"/>
      <c r="K14" s="245"/>
      <c r="L14" s="245"/>
      <c r="M14" s="245"/>
      <c r="N14" s="245"/>
      <c r="O14" s="245"/>
      <c r="P14" s="245"/>
      <c r="Q14" s="245"/>
      <c r="R14" s="245"/>
      <c r="S14" s="245"/>
      <c r="T14" s="245"/>
      <c r="U14" s="245"/>
      <c r="V14" s="245"/>
      <c r="W14" s="245"/>
      <c r="X14" s="245"/>
      <c r="Y14" s="245"/>
      <c r="Z14" s="245"/>
      <c r="AA14" s="245"/>
      <c r="AB14" s="245"/>
      <c r="AC14" s="245"/>
      <c r="AD14" s="245"/>
      <c r="AE14" s="245"/>
      <c r="AF14" s="245"/>
      <c r="AG14" s="245"/>
      <c r="AH14" s="245"/>
      <c r="AI14" s="245"/>
      <c r="AJ14" s="245"/>
      <c r="AK14" s="245"/>
      <c r="AL14" s="245"/>
      <c r="AM14" s="245"/>
      <c r="AN14" s="245"/>
      <c r="AO14" s="245"/>
      <c r="AP14" s="245"/>
      <c r="AQ14" s="245"/>
      <c r="AR14" s="245"/>
      <c r="AS14" s="245"/>
      <c r="AT14" s="245"/>
      <c r="AU14" s="245"/>
      <c r="AV14" s="245"/>
      <c r="AW14" s="245"/>
      <c r="AX14" s="245"/>
      <c r="AY14" s="245"/>
      <c r="AZ14" s="245"/>
      <c r="BA14" s="245"/>
      <c r="BB14" s="245"/>
      <c r="BC14" s="245"/>
      <c r="BD14" s="245"/>
      <c r="BE14" s="245"/>
      <c r="BF14" s="245"/>
      <c r="BG14" s="245"/>
      <c r="BH14" s="245"/>
      <c r="BI14" s="245"/>
      <c r="BJ14" s="245"/>
      <c r="BK14" s="245"/>
      <c r="BL14" s="245"/>
      <c r="BM14" s="245"/>
      <c r="BN14" s="245"/>
      <c r="BO14" s="245"/>
      <c r="BP14" s="245"/>
      <c r="BQ14" s="245"/>
      <c r="BR14" s="245"/>
      <c r="BS14" s="245"/>
      <c r="BT14" s="245"/>
      <c r="BU14" s="245"/>
      <c r="BV14" s="245"/>
      <c r="BW14" s="245"/>
      <c r="BX14" s="245"/>
      <c r="BY14" s="245"/>
      <c r="BZ14" s="245"/>
      <c r="CA14" s="245"/>
      <c r="CB14" s="245"/>
      <c r="CC14" s="245"/>
      <c r="CD14" s="245"/>
      <c r="CE14" s="245"/>
      <c r="CF14" s="245"/>
      <c r="CG14" s="245"/>
      <c r="CH14" s="245"/>
      <c r="CI14" s="245"/>
      <c r="CJ14" s="245"/>
      <c r="CK14" s="245"/>
      <c r="CL14" s="245"/>
      <c r="CM14" s="245"/>
      <c r="CN14" s="245"/>
      <c r="CO14" s="245"/>
      <c r="CP14" s="245"/>
      <c r="CQ14" s="245"/>
      <c r="CR14" s="245"/>
      <c r="CS14" s="245"/>
      <c r="CT14" s="245"/>
      <c r="CU14" s="245"/>
      <c r="CV14" s="245"/>
      <c r="CW14" s="245"/>
      <c r="CX14" s="236" t="str">
        <f>"'" &amp; "Time Punch Data" &amp; "'!$" &amp; SUBSTITUTE(ADDRESS(1, MATCH($A14, 'Time Punch Data'!$1:$1, 0), 4), "1", "") &amp; ":$" &amp; SUBSTITUTE(ADDRESS(1, MATCH($A14, 'Time Punch Data'!$1:$1, 0), 4), "1", "")</f>
        <v>'Time Punch Data'!$AL:$AL</v>
      </c>
    </row>
    <row r="15" spans="1:102" x14ac:dyDescent="0.25">
      <c r="A15" s="246" t="s">
        <v>268</v>
      </c>
      <c r="B15" s="245" t="e" cm="1" vm="1">
        <f t="array" aca="1" ref="B15" ca="1">TRANSPOSE(_xlfn._xlws.FILTER(INDIRECT($CX15), INDIRECT($CX$1) = $B$1))</f>
        <v>#VALUE!</v>
      </c>
      <c r="C15" s="245"/>
      <c r="D15" s="245"/>
      <c r="E15" s="245"/>
      <c r="F15" s="245"/>
      <c r="G15" s="245"/>
      <c r="H15" s="245"/>
      <c r="I15" s="245"/>
      <c r="J15" s="245"/>
      <c r="K15" s="245"/>
      <c r="L15" s="245"/>
      <c r="M15" s="245"/>
      <c r="N15" s="245"/>
      <c r="O15" s="245"/>
      <c r="P15" s="245"/>
      <c r="Q15" s="245"/>
      <c r="R15" s="245"/>
      <c r="S15" s="245"/>
      <c r="T15" s="245"/>
      <c r="U15" s="245"/>
      <c r="V15" s="245"/>
      <c r="W15" s="245"/>
      <c r="X15" s="245"/>
      <c r="Y15" s="245"/>
      <c r="Z15" s="245"/>
      <c r="AA15" s="245"/>
      <c r="AB15" s="245"/>
      <c r="AC15" s="245"/>
      <c r="AD15" s="245"/>
      <c r="AE15" s="245"/>
      <c r="AF15" s="245"/>
      <c r="AG15" s="245"/>
      <c r="AH15" s="245"/>
      <c r="AI15" s="245"/>
      <c r="AJ15" s="245"/>
      <c r="AK15" s="245"/>
      <c r="AL15" s="245"/>
      <c r="AM15" s="245"/>
      <c r="AN15" s="245"/>
      <c r="AO15" s="245"/>
      <c r="AP15" s="245"/>
      <c r="AQ15" s="245"/>
      <c r="AR15" s="245"/>
      <c r="AS15" s="245"/>
      <c r="AT15" s="245"/>
      <c r="AU15" s="245"/>
      <c r="AV15" s="245"/>
      <c r="AW15" s="245"/>
      <c r="AX15" s="245"/>
      <c r="AY15" s="245"/>
      <c r="AZ15" s="245"/>
      <c r="BA15" s="245"/>
      <c r="BB15" s="245"/>
      <c r="BC15" s="245"/>
      <c r="BD15" s="245"/>
      <c r="BE15" s="245"/>
      <c r="BF15" s="245"/>
      <c r="BG15" s="245"/>
      <c r="BH15" s="245"/>
      <c r="BI15" s="245"/>
      <c r="BJ15" s="245"/>
      <c r="BK15" s="245"/>
      <c r="BL15" s="245"/>
      <c r="BM15" s="245"/>
      <c r="BN15" s="245"/>
      <c r="BO15" s="245"/>
      <c r="BP15" s="245"/>
      <c r="BQ15" s="245"/>
      <c r="BR15" s="245"/>
      <c r="BS15" s="245"/>
      <c r="BT15" s="245"/>
      <c r="BU15" s="245"/>
      <c r="BV15" s="245"/>
      <c r="BW15" s="245"/>
      <c r="BX15" s="245"/>
      <c r="BY15" s="245"/>
      <c r="BZ15" s="245"/>
      <c r="CA15" s="245"/>
      <c r="CB15" s="245"/>
      <c r="CC15" s="245"/>
      <c r="CD15" s="245"/>
      <c r="CE15" s="245"/>
      <c r="CF15" s="245"/>
      <c r="CG15" s="245"/>
      <c r="CH15" s="245"/>
      <c r="CI15" s="245"/>
      <c r="CJ15" s="245"/>
      <c r="CK15" s="245"/>
      <c r="CL15" s="245"/>
      <c r="CM15" s="245"/>
      <c r="CN15" s="245"/>
      <c r="CO15" s="245"/>
      <c r="CP15" s="245"/>
      <c r="CQ15" s="245"/>
      <c r="CR15" s="245"/>
      <c r="CS15" s="245"/>
      <c r="CT15" s="245"/>
      <c r="CU15" s="245"/>
      <c r="CV15" s="245"/>
      <c r="CW15" s="245"/>
      <c r="CX15" s="236" t="str">
        <f>"'" &amp; "Time Punch Data" &amp; "'!$" &amp; SUBSTITUTE(ADDRESS(1, MATCH($A15, 'Time Punch Data'!$1:$1, 0), 4), "1", "") &amp; ":$" &amp; SUBSTITUTE(ADDRESS(1, MATCH($A15, 'Time Punch Data'!$1:$1, 0), 4), "1", "")</f>
        <v>'Time Punch Data'!$BA:$BA</v>
      </c>
    </row>
    <row r="16" spans="1:102" x14ac:dyDescent="0.25">
      <c r="A16" s="246" t="s">
        <v>269</v>
      </c>
      <c r="B16" s="245" t="e" cm="1" vm="1">
        <f t="array" aca="1" ref="B16" ca="1">TRANSPOSE(_xlfn._xlws.FILTER(INDIRECT($CX16), INDIRECT($CX$1) = $B$1))</f>
        <v>#VALUE!</v>
      </c>
      <c r="C16" s="245"/>
      <c r="D16" s="245"/>
      <c r="E16" s="245"/>
      <c r="F16" s="245"/>
      <c r="G16" s="245"/>
      <c r="H16" s="245"/>
      <c r="I16" s="245"/>
      <c r="J16" s="245"/>
      <c r="K16" s="245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  <c r="X16" s="245"/>
      <c r="Y16" s="245"/>
      <c r="Z16" s="245"/>
      <c r="AA16" s="245"/>
      <c r="AB16" s="245"/>
      <c r="AC16" s="245"/>
      <c r="AD16" s="245"/>
      <c r="AE16" s="245"/>
      <c r="AF16" s="245"/>
      <c r="AG16" s="245"/>
      <c r="AH16" s="245"/>
      <c r="AI16" s="245"/>
      <c r="AJ16" s="245"/>
      <c r="AK16" s="245"/>
      <c r="AL16" s="245"/>
      <c r="AM16" s="245"/>
      <c r="AN16" s="245"/>
      <c r="AO16" s="245"/>
      <c r="AP16" s="245"/>
      <c r="AQ16" s="245"/>
      <c r="AR16" s="245"/>
      <c r="AS16" s="245"/>
      <c r="AT16" s="245"/>
      <c r="AU16" s="245"/>
      <c r="AV16" s="245"/>
      <c r="AW16" s="245"/>
      <c r="AX16" s="245"/>
      <c r="AY16" s="245"/>
      <c r="AZ16" s="245"/>
      <c r="BA16" s="245"/>
      <c r="BB16" s="245"/>
      <c r="BC16" s="245"/>
      <c r="BD16" s="245"/>
      <c r="BE16" s="245"/>
      <c r="BF16" s="245"/>
      <c r="BG16" s="245"/>
      <c r="BH16" s="245"/>
      <c r="BI16" s="245"/>
      <c r="BJ16" s="245"/>
      <c r="BK16" s="245"/>
      <c r="BL16" s="245"/>
      <c r="BM16" s="245"/>
      <c r="BN16" s="245"/>
      <c r="BO16" s="245"/>
      <c r="BP16" s="245"/>
      <c r="BQ16" s="245"/>
      <c r="BR16" s="245"/>
      <c r="BS16" s="245"/>
      <c r="BT16" s="245"/>
      <c r="BU16" s="245"/>
      <c r="BV16" s="245"/>
      <c r="BW16" s="245"/>
      <c r="BX16" s="245"/>
      <c r="BY16" s="245"/>
      <c r="BZ16" s="245"/>
      <c r="CA16" s="245"/>
      <c r="CB16" s="245"/>
      <c r="CC16" s="245"/>
      <c r="CD16" s="245"/>
      <c r="CE16" s="245"/>
      <c r="CF16" s="245"/>
      <c r="CG16" s="245"/>
      <c r="CH16" s="245"/>
      <c r="CI16" s="245"/>
      <c r="CJ16" s="245"/>
      <c r="CK16" s="245"/>
      <c r="CL16" s="245"/>
      <c r="CM16" s="245"/>
      <c r="CN16" s="245"/>
      <c r="CO16" s="245"/>
      <c r="CP16" s="245"/>
      <c r="CQ16" s="245"/>
      <c r="CR16" s="245"/>
      <c r="CS16" s="245"/>
      <c r="CT16" s="245"/>
      <c r="CU16" s="245"/>
      <c r="CV16" s="245"/>
      <c r="CW16" s="245"/>
      <c r="CX16" s="236" t="str">
        <f>"'" &amp; "Time Punch Data" &amp; "'!$" &amp; SUBSTITUTE(ADDRESS(1, MATCH($A16, 'Time Punch Data'!$1:$1, 0), 4), "1", "") &amp; ":$" &amp; SUBSTITUTE(ADDRESS(1, MATCH($A16, 'Time Punch Data'!$1:$1, 0), 4), "1", "")</f>
        <v>'Time Punch Data'!$BB:$BB</v>
      </c>
    </row>
    <row r="17" spans="1:102" x14ac:dyDescent="0.25">
      <c r="A17" s="246" t="s">
        <v>270</v>
      </c>
      <c r="B17" s="245" t="e" cm="1" vm="1">
        <f t="array" aca="1" ref="B17" ca="1">TRANSPOSE(_xlfn._xlws.FILTER(INDIRECT($CX17), INDIRECT($CX$1) = $B$1))</f>
        <v>#VALUE!</v>
      </c>
      <c r="C17" s="245"/>
      <c r="D17" s="245"/>
      <c r="E17" s="245"/>
      <c r="F17" s="245"/>
      <c r="G17" s="245"/>
      <c r="H17" s="245"/>
      <c r="I17" s="245"/>
      <c r="J17" s="245"/>
      <c r="K17" s="245"/>
      <c r="L17" s="245"/>
      <c r="M17" s="245"/>
      <c r="N17" s="245"/>
      <c r="O17" s="245"/>
      <c r="P17" s="245"/>
      <c r="Q17" s="245"/>
      <c r="R17" s="245"/>
      <c r="S17" s="245"/>
      <c r="T17" s="245"/>
      <c r="U17" s="245"/>
      <c r="V17" s="245"/>
      <c r="W17" s="245"/>
      <c r="X17" s="245"/>
      <c r="Y17" s="245"/>
      <c r="Z17" s="245"/>
      <c r="AA17" s="245"/>
      <c r="AB17" s="245"/>
      <c r="AC17" s="245"/>
      <c r="AD17" s="245"/>
      <c r="AE17" s="245"/>
      <c r="AF17" s="245"/>
      <c r="AG17" s="245"/>
      <c r="AH17" s="245"/>
      <c r="AI17" s="245"/>
      <c r="AJ17" s="245"/>
      <c r="AK17" s="245"/>
      <c r="AL17" s="245"/>
      <c r="AM17" s="245"/>
      <c r="AN17" s="245"/>
      <c r="AO17" s="245"/>
      <c r="AP17" s="245"/>
      <c r="AQ17" s="245"/>
      <c r="AR17" s="245"/>
      <c r="AS17" s="245"/>
      <c r="AT17" s="245"/>
      <c r="AU17" s="245"/>
      <c r="AV17" s="245"/>
      <c r="AW17" s="245"/>
      <c r="AX17" s="245"/>
      <c r="AY17" s="245"/>
      <c r="AZ17" s="245"/>
      <c r="BA17" s="245"/>
      <c r="BB17" s="245"/>
      <c r="BC17" s="245"/>
      <c r="BD17" s="245"/>
      <c r="BE17" s="245"/>
      <c r="BF17" s="245"/>
      <c r="BG17" s="245"/>
      <c r="BH17" s="245"/>
      <c r="BI17" s="245"/>
      <c r="BJ17" s="245"/>
      <c r="BK17" s="245"/>
      <c r="BL17" s="245"/>
      <c r="BM17" s="245"/>
      <c r="BN17" s="245"/>
      <c r="BO17" s="245"/>
      <c r="BP17" s="245"/>
      <c r="BQ17" s="245"/>
      <c r="BR17" s="245"/>
      <c r="BS17" s="245"/>
      <c r="BT17" s="245"/>
      <c r="BU17" s="245"/>
      <c r="BV17" s="245"/>
      <c r="BW17" s="245"/>
      <c r="BX17" s="245"/>
      <c r="BY17" s="245"/>
      <c r="BZ17" s="245"/>
      <c r="CA17" s="245"/>
      <c r="CB17" s="245"/>
      <c r="CC17" s="245"/>
      <c r="CD17" s="245"/>
      <c r="CE17" s="245"/>
      <c r="CF17" s="245"/>
      <c r="CG17" s="245"/>
      <c r="CH17" s="245"/>
      <c r="CI17" s="245"/>
      <c r="CJ17" s="245"/>
      <c r="CK17" s="245"/>
      <c r="CL17" s="245"/>
      <c r="CM17" s="245"/>
      <c r="CN17" s="245"/>
      <c r="CO17" s="245"/>
      <c r="CP17" s="245"/>
      <c r="CQ17" s="245"/>
      <c r="CR17" s="245"/>
      <c r="CS17" s="245"/>
      <c r="CT17" s="245"/>
      <c r="CU17" s="245"/>
      <c r="CV17" s="245"/>
      <c r="CW17" s="245"/>
      <c r="CX17" s="236" t="str">
        <f>"'" &amp; "Time Punch Data" &amp; "'!$" &amp; SUBSTITUTE(ADDRESS(1, MATCH($A17, 'Time Punch Data'!$1:$1, 0), 4), "1", "") &amp; ":$" &amp; SUBSTITUTE(ADDRESS(1, MATCH($A17, 'Time Punch Data'!$1:$1, 0), 4), "1", "")</f>
        <v>'Time Punch Data'!$BC:$BC</v>
      </c>
    </row>
    <row r="18" spans="1:102" x14ac:dyDescent="0.25">
      <c r="A18" s="246" t="s">
        <v>271</v>
      </c>
      <c r="B18" s="245" t="e" cm="1" vm="1">
        <f t="array" aca="1" ref="B18" ca="1">TRANSPOSE(_xlfn._xlws.FILTER(INDIRECT($CX18), INDIRECT($CX$1) = $B$1))</f>
        <v>#VALUE!</v>
      </c>
      <c r="C18" s="245"/>
      <c r="D18" s="245"/>
      <c r="E18" s="245"/>
      <c r="F18" s="245"/>
      <c r="G18" s="245"/>
      <c r="H18" s="245"/>
      <c r="I18" s="245"/>
      <c r="J18" s="245"/>
      <c r="K18" s="245"/>
      <c r="L18" s="245"/>
      <c r="M18" s="245"/>
      <c r="N18" s="245"/>
      <c r="O18" s="245"/>
      <c r="P18" s="245"/>
      <c r="Q18" s="245"/>
      <c r="R18" s="245"/>
      <c r="S18" s="245"/>
      <c r="T18" s="245"/>
      <c r="U18" s="245"/>
      <c r="V18" s="245"/>
      <c r="W18" s="245"/>
      <c r="X18" s="245"/>
      <c r="Y18" s="245"/>
      <c r="Z18" s="245"/>
      <c r="AA18" s="245"/>
      <c r="AB18" s="245"/>
      <c r="AC18" s="245"/>
      <c r="AD18" s="245"/>
      <c r="AE18" s="245"/>
      <c r="AF18" s="245"/>
      <c r="AG18" s="245"/>
      <c r="AH18" s="245"/>
      <c r="AI18" s="245"/>
      <c r="AJ18" s="245"/>
      <c r="AK18" s="245"/>
      <c r="AL18" s="245"/>
      <c r="AM18" s="245"/>
      <c r="AN18" s="245"/>
      <c r="AO18" s="245"/>
      <c r="AP18" s="245"/>
      <c r="AQ18" s="245"/>
      <c r="AR18" s="245"/>
      <c r="AS18" s="245"/>
      <c r="AT18" s="245"/>
      <c r="AU18" s="245"/>
      <c r="AV18" s="245"/>
      <c r="AW18" s="245"/>
      <c r="AX18" s="245"/>
      <c r="AY18" s="245"/>
      <c r="AZ18" s="245"/>
      <c r="BA18" s="245"/>
      <c r="BB18" s="245"/>
      <c r="BC18" s="245"/>
      <c r="BD18" s="245"/>
      <c r="BE18" s="245"/>
      <c r="BF18" s="245"/>
      <c r="BG18" s="245"/>
      <c r="BH18" s="245"/>
      <c r="BI18" s="245"/>
      <c r="BJ18" s="245"/>
      <c r="BK18" s="245"/>
      <c r="BL18" s="245"/>
      <c r="BM18" s="245"/>
      <c r="BN18" s="245"/>
      <c r="BO18" s="245"/>
      <c r="BP18" s="245"/>
      <c r="BQ18" s="245"/>
      <c r="BR18" s="245"/>
      <c r="BS18" s="245"/>
      <c r="BT18" s="245"/>
      <c r="BU18" s="245"/>
      <c r="BV18" s="245"/>
      <c r="BW18" s="245"/>
      <c r="BX18" s="245"/>
      <c r="BY18" s="245"/>
      <c r="BZ18" s="245"/>
      <c r="CA18" s="245"/>
      <c r="CB18" s="245"/>
      <c r="CC18" s="245"/>
      <c r="CD18" s="245"/>
      <c r="CE18" s="245"/>
      <c r="CF18" s="245"/>
      <c r="CG18" s="245"/>
      <c r="CH18" s="245"/>
      <c r="CI18" s="245"/>
      <c r="CJ18" s="245"/>
      <c r="CK18" s="245"/>
      <c r="CL18" s="245"/>
      <c r="CM18" s="245"/>
      <c r="CN18" s="245"/>
      <c r="CO18" s="245"/>
      <c r="CP18" s="245"/>
      <c r="CQ18" s="245"/>
      <c r="CR18" s="245"/>
      <c r="CS18" s="245"/>
      <c r="CT18" s="245"/>
      <c r="CU18" s="245"/>
      <c r="CV18" s="245"/>
      <c r="CW18" s="245"/>
      <c r="CX18" s="236" t="str">
        <f>"'" &amp; "Time Punch Data" &amp; "'!$" &amp; SUBSTITUTE(ADDRESS(1, MATCH($A18, 'Time Punch Data'!$1:$1, 0), 4), "1", "") &amp; ":$" &amp; SUBSTITUTE(ADDRESS(1, MATCH($A18, 'Time Punch Data'!$1:$1, 0), 4), "1", "")</f>
        <v>'Time Punch Data'!$BD:$BD</v>
      </c>
    </row>
    <row r="19" spans="1:102" x14ac:dyDescent="0.25">
      <c r="A19" s="246" t="s">
        <v>272</v>
      </c>
      <c r="B19" s="245" t="e" cm="1" vm="1">
        <f t="array" aca="1" ref="B19" ca="1">TRANSPOSE(_xlfn._xlws.FILTER(INDIRECT($CX19), INDIRECT($CX$1) = $B$1))</f>
        <v>#VALUE!</v>
      </c>
      <c r="C19" s="245"/>
      <c r="D19" s="245"/>
      <c r="E19" s="245"/>
      <c r="F19" s="245"/>
      <c r="G19" s="245"/>
      <c r="H19" s="245"/>
      <c r="I19" s="245"/>
      <c r="J19" s="245"/>
      <c r="K19" s="245"/>
      <c r="L19" s="245"/>
      <c r="M19" s="245"/>
      <c r="N19" s="245"/>
      <c r="O19" s="245"/>
      <c r="P19" s="245"/>
      <c r="Q19" s="245"/>
      <c r="R19" s="245"/>
      <c r="S19" s="245"/>
      <c r="T19" s="245"/>
      <c r="U19" s="245"/>
      <c r="V19" s="245"/>
      <c r="W19" s="245"/>
      <c r="X19" s="245"/>
      <c r="Y19" s="245"/>
      <c r="Z19" s="245"/>
      <c r="AA19" s="245"/>
      <c r="AB19" s="245"/>
      <c r="AC19" s="245"/>
      <c r="AD19" s="245"/>
      <c r="AE19" s="245"/>
      <c r="AF19" s="245"/>
      <c r="AG19" s="245"/>
      <c r="AH19" s="245"/>
      <c r="AI19" s="245"/>
      <c r="AJ19" s="245"/>
      <c r="AK19" s="245"/>
      <c r="AL19" s="245"/>
      <c r="AM19" s="245"/>
      <c r="AN19" s="245"/>
      <c r="AO19" s="245"/>
      <c r="AP19" s="245"/>
      <c r="AQ19" s="245"/>
      <c r="AR19" s="245"/>
      <c r="AS19" s="245"/>
      <c r="AT19" s="245"/>
      <c r="AU19" s="245"/>
      <c r="AV19" s="245"/>
      <c r="AW19" s="245"/>
      <c r="AX19" s="245"/>
      <c r="AY19" s="245"/>
      <c r="AZ19" s="245"/>
      <c r="BA19" s="245"/>
      <c r="BB19" s="245"/>
      <c r="BC19" s="245"/>
      <c r="BD19" s="245"/>
      <c r="BE19" s="245"/>
      <c r="BF19" s="245"/>
      <c r="BG19" s="245"/>
      <c r="BH19" s="245"/>
      <c r="BI19" s="245"/>
      <c r="BJ19" s="245"/>
      <c r="BK19" s="245"/>
      <c r="BL19" s="245"/>
      <c r="BM19" s="245"/>
      <c r="BN19" s="245"/>
      <c r="BO19" s="245"/>
      <c r="BP19" s="245"/>
      <c r="BQ19" s="245"/>
      <c r="BR19" s="245"/>
      <c r="BS19" s="245"/>
      <c r="BT19" s="245"/>
      <c r="BU19" s="245"/>
      <c r="BV19" s="245"/>
      <c r="BW19" s="245"/>
      <c r="BX19" s="245"/>
      <c r="BY19" s="245"/>
      <c r="BZ19" s="245"/>
      <c r="CA19" s="245"/>
      <c r="CB19" s="245"/>
      <c r="CC19" s="245"/>
      <c r="CD19" s="245"/>
      <c r="CE19" s="245"/>
      <c r="CF19" s="245"/>
      <c r="CG19" s="245"/>
      <c r="CH19" s="245"/>
      <c r="CI19" s="245"/>
      <c r="CJ19" s="245"/>
      <c r="CK19" s="245"/>
      <c r="CL19" s="245"/>
      <c r="CM19" s="245"/>
      <c r="CN19" s="245"/>
      <c r="CO19" s="245"/>
      <c r="CP19" s="245"/>
      <c r="CQ19" s="245"/>
      <c r="CR19" s="245"/>
      <c r="CS19" s="245"/>
      <c r="CT19" s="245"/>
      <c r="CU19" s="245"/>
      <c r="CV19" s="245"/>
      <c r="CW19" s="245"/>
      <c r="CX19" s="236" t="str">
        <f>"'" &amp; "Time Punch Data" &amp; "'!$" &amp; SUBSTITUTE(ADDRESS(1, MATCH($A19, 'Time Punch Data'!$1:$1, 0), 4), "1", "") &amp; ":$" &amp; SUBSTITUTE(ADDRESS(1, MATCH($A19, 'Time Punch Data'!$1:$1, 0), 4), "1", "")</f>
        <v>'Time Punch Data'!$BE:$BE</v>
      </c>
    </row>
    <row r="20" spans="1:102" x14ac:dyDescent="0.25">
      <c r="A20" s="246" t="s">
        <v>273</v>
      </c>
      <c r="B20" s="245" t="e" cm="1" vm="1">
        <f t="array" aca="1" ref="B20" ca="1">TRANSPOSE(_xlfn._xlws.FILTER(INDIRECT($CX20), INDIRECT($CX$1) = $B$1))</f>
        <v>#VALUE!</v>
      </c>
      <c r="C20" s="245"/>
      <c r="D20" s="245"/>
      <c r="E20" s="245"/>
      <c r="F20" s="245"/>
      <c r="G20" s="245"/>
      <c r="H20" s="245"/>
      <c r="I20" s="245"/>
      <c r="J20" s="245"/>
      <c r="K20" s="245"/>
      <c r="L20" s="245"/>
      <c r="M20" s="245"/>
      <c r="N20" s="245"/>
      <c r="O20" s="245"/>
      <c r="P20" s="245"/>
      <c r="Q20" s="245"/>
      <c r="R20" s="245"/>
      <c r="S20" s="245"/>
      <c r="T20" s="245"/>
      <c r="U20" s="245"/>
      <c r="V20" s="245"/>
      <c r="W20" s="245"/>
      <c r="X20" s="245"/>
      <c r="Y20" s="245"/>
      <c r="Z20" s="245"/>
      <c r="AA20" s="245"/>
      <c r="AB20" s="245"/>
      <c r="AC20" s="245"/>
      <c r="AD20" s="245"/>
      <c r="AE20" s="245"/>
      <c r="AF20" s="245"/>
      <c r="AG20" s="245"/>
      <c r="AH20" s="245"/>
      <c r="AI20" s="245"/>
      <c r="AJ20" s="245"/>
      <c r="AK20" s="245"/>
      <c r="AL20" s="245"/>
      <c r="AM20" s="245"/>
      <c r="AN20" s="245"/>
      <c r="AO20" s="245"/>
      <c r="AP20" s="245"/>
      <c r="AQ20" s="245"/>
      <c r="AR20" s="245"/>
      <c r="AS20" s="245"/>
      <c r="AT20" s="245"/>
      <c r="AU20" s="245"/>
      <c r="AV20" s="245"/>
      <c r="AW20" s="245"/>
      <c r="AX20" s="245"/>
      <c r="AY20" s="245"/>
      <c r="AZ20" s="245"/>
      <c r="BA20" s="245"/>
      <c r="BB20" s="245"/>
      <c r="BC20" s="245"/>
      <c r="BD20" s="245"/>
      <c r="BE20" s="245"/>
      <c r="BF20" s="245"/>
      <c r="BG20" s="245"/>
      <c r="BH20" s="245"/>
      <c r="BI20" s="245"/>
      <c r="BJ20" s="245"/>
      <c r="BK20" s="245"/>
      <c r="BL20" s="245"/>
      <c r="BM20" s="245"/>
      <c r="BN20" s="245"/>
      <c r="BO20" s="245"/>
      <c r="BP20" s="245"/>
      <c r="BQ20" s="245"/>
      <c r="BR20" s="245"/>
      <c r="BS20" s="245"/>
      <c r="BT20" s="245"/>
      <c r="BU20" s="245"/>
      <c r="BV20" s="245"/>
      <c r="BW20" s="245"/>
      <c r="BX20" s="245"/>
      <c r="BY20" s="245"/>
      <c r="BZ20" s="245"/>
      <c r="CA20" s="245"/>
      <c r="CB20" s="245"/>
      <c r="CC20" s="245"/>
      <c r="CD20" s="245"/>
      <c r="CE20" s="245"/>
      <c r="CF20" s="245"/>
      <c r="CG20" s="245"/>
      <c r="CH20" s="245"/>
      <c r="CI20" s="245"/>
      <c r="CJ20" s="245"/>
      <c r="CK20" s="245"/>
      <c r="CL20" s="245"/>
      <c r="CM20" s="245"/>
      <c r="CN20" s="245"/>
      <c r="CO20" s="245"/>
      <c r="CP20" s="245"/>
      <c r="CQ20" s="245"/>
      <c r="CR20" s="245"/>
      <c r="CS20" s="245"/>
      <c r="CT20" s="245"/>
      <c r="CU20" s="245"/>
      <c r="CV20" s="245"/>
      <c r="CW20" s="245"/>
      <c r="CX20" s="236" t="str">
        <f>"'" &amp; "Time Punch Data" &amp; "'!$" &amp; SUBSTITUTE(ADDRESS(1, MATCH($A20, 'Time Punch Data'!$1:$1, 0), 4), "1", "") &amp; ":$" &amp; SUBSTITUTE(ADDRESS(1, MATCH($A20, 'Time Punch Data'!$1:$1, 0), 4), "1", "")</f>
        <v>'Time Punch Data'!$BF:$BF</v>
      </c>
    </row>
    <row r="21" spans="1:102" x14ac:dyDescent="0.25">
      <c r="A21" s="253" t="s">
        <v>274</v>
      </c>
      <c r="B21" s="254"/>
      <c r="C21" s="254"/>
      <c r="D21" s="254"/>
      <c r="E21" s="254"/>
      <c r="F21" s="254"/>
      <c r="G21" s="254"/>
      <c r="H21" s="254"/>
      <c r="I21" s="254"/>
      <c r="J21" s="254"/>
      <c r="K21" s="254"/>
      <c r="L21" s="254"/>
      <c r="M21" s="254"/>
      <c r="N21" s="254"/>
      <c r="O21" s="254"/>
      <c r="P21" s="254"/>
      <c r="Q21" s="254"/>
      <c r="R21" s="254"/>
      <c r="S21" s="254"/>
      <c r="T21" s="254"/>
      <c r="U21" s="254"/>
      <c r="V21" s="254"/>
      <c r="W21" s="254"/>
      <c r="X21" s="254"/>
      <c r="Y21" s="254"/>
      <c r="Z21" s="254"/>
      <c r="AA21" s="254"/>
      <c r="AB21" s="254"/>
      <c r="AC21" s="254"/>
      <c r="AD21" s="254"/>
      <c r="AE21" s="254"/>
      <c r="AF21" s="254"/>
      <c r="AG21" s="254"/>
      <c r="AH21" s="254"/>
      <c r="AI21" s="254"/>
      <c r="AJ21" s="254"/>
      <c r="AK21" s="254"/>
      <c r="AL21" s="254"/>
      <c r="AM21" s="254"/>
      <c r="AN21" s="254"/>
      <c r="AO21" s="254"/>
      <c r="AP21" s="254"/>
      <c r="AQ21" s="254"/>
      <c r="AR21" s="254"/>
      <c r="AS21" s="254"/>
      <c r="AT21" s="254"/>
      <c r="AU21" s="254"/>
      <c r="AV21" s="254"/>
      <c r="AW21" s="254"/>
      <c r="AX21" s="254"/>
      <c r="AY21" s="254"/>
      <c r="AZ21" s="254"/>
      <c r="BA21" s="254"/>
      <c r="BB21" s="254"/>
      <c r="BC21" s="254"/>
      <c r="BD21" s="254"/>
      <c r="BE21" s="254"/>
      <c r="BF21" s="254"/>
      <c r="BG21" s="254"/>
      <c r="BH21" s="254"/>
      <c r="BI21" s="254"/>
      <c r="BJ21" s="254"/>
      <c r="BK21" s="254"/>
      <c r="BL21" s="254"/>
      <c r="BM21" s="254"/>
      <c r="BN21" s="254"/>
      <c r="BO21" s="254"/>
      <c r="BP21" s="254"/>
      <c r="BQ21" s="254"/>
      <c r="BR21" s="254"/>
      <c r="BS21" s="254"/>
      <c r="BT21" s="254"/>
      <c r="BU21" s="254"/>
      <c r="BV21" s="254"/>
      <c r="BW21" s="254"/>
      <c r="BX21" s="254"/>
      <c r="BY21" s="254"/>
      <c r="BZ21" s="254"/>
      <c r="CA21" s="254"/>
      <c r="CB21" s="254"/>
      <c r="CC21" s="254"/>
      <c r="CD21" s="254"/>
      <c r="CE21" s="254"/>
      <c r="CF21" s="254"/>
      <c r="CG21" s="254"/>
      <c r="CH21" s="254"/>
      <c r="CI21" s="254"/>
      <c r="CJ21" s="254"/>
      <c r="CK21" s="254"/>
      <c r="CL21" s="254"/>
      <c r="CM21" s="254"/>
      <c r="CN21" s="254"/>
      <c r="CO21" s="254"/>
      <c r="CP21" s="254"/>
      <c r="CQ21" s="254"/>
      <c r="CR21" s="254"/>
      <c r="CS21" s="254"/>
      <c r="CT21" s="254"/>
      <c r="CU21" s="254"/>
      <c r="CV21" s="254"/>
      <c r="CW21" s="254"/>
    </row>
    <row r="22" spans="1:102" s="3" customFormat="1" x14ac:dyDescent="0.25">
      <c r="A22" s="268" t="s">
        <v>259</v>
      </c>
      <c r="B22" s="269" t="e" cm="1">
        <f t="array" aca="1" ref="B22" ca="1">TRANSPOSE(_xlfn._xlws.FILTER(INDIRECT($A22), ID_Period_End = $B$1))</f>
        <v>#REF!</v>
      </c>
      <c r="C22" s="269"/>
      <c r="D22" s="269"/>
      <c r="E22" s="269"/>
      <c r="F22" s="269"/>
      <c r="G22" s="269"/>
      <c r="H22" s="269"/>
      <c r="I22" s="269"/>
      <c r="J22" s="269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69"/>
      <c r="W22" s="269"/>
      <c r="X22" s="269"/>
      <c r="Y22" s="269"/>
      <c r="Z22" s="269"/>
      <c r="AA22" s="269"/>
      <c r="AB22" s="269"/>
      <c r="AC22" s="269"/>
      <c r="AD22" s="269"/>
      <c r="AE22" s="269"/>
      <c r="AF22" s="269"/>
      <c r="AG22" s="269"/>
      <c r="AH22" s="269"/>
      <c r="AI22" s="269"/>
      <c r="AJ22" s="269"/>
      <c r="AK22" s="269"/>
      <c r="AL22" s="269"/>
      <c r="AM22" s="269"/>
      <c r="AN22" s="269"/>
      <c r="AO22" s="269"/>
      <c r="AP22" s="269"/>
      <c r="AQ22" s="269"/>
      <c r="AR22" s="269"/>
      <c r="AS22" s="269"/>
      <c r="AT22" s="269"/>
      <c r="AU22" s="269"/>
      <c r="AV22" s="269"/>
      <c r="AW22" s="269"/>
      <c r="AX22" s="269"/>
      <c r="AY22" s="269"/>
      <c r="AZ22" s="269"/>
      <c r="BA22" s="269"/>
      <c r="BB22" s="269"/>
      <c r="BC22" s="269"/>
      <c r="BD22" s="269"/>
      <c r="BE22" s="269"/>
      <c r="BF22" s="269"/>
      <c r="BG22" s="269"/>
      <c r="BH22" s="269"/>
      <c r="BI22" s="269"/>
      <c r="BJ22" s="269"/>
      <c r="BK22" s="269"/>
      <c r="BL22" s="269"/>
      <c r="BM22" s="269"/>
      <c r="BN22" s="269"/>
      <c r="BO22" s="269"/>
      <c r="BP22" s="269"/>
      <c r="BQ22" s="269"/>
      <c r="BR22" s="269"/>
      <c r="BS22" s="269"/>
      <c r="BT22" s="269"/>
      <c r="BU22" s="269"/>
      <c r="BV22" s="269"/>
      <c r="BW22" s="269"/>
      <c r="BX22" s="269"/>
      <c r="BY22" s="269"/>
      <c r="BZ22" s="269"/>
      <c r="CA22" s="269"/>
      <c r="CB22" s="269"/>
      <c r="CC22" s="269"/>
      <c r="CD22" s="269"/>
      <c r="CE22" s="269"/>
      <c r="CF22" s="269"/>
      <c r="CG22" s="269"/>
      <c r="CH22" s="269"/>
      <c r="CI22" s="269"/>
      <c r="CJ22" s="269"/>
      <c r="CK22" s="269"/>
      <c r="CL22" s="269"/>
      <c r="CM22" s="269"/>
      <c r="CN22" s="269"/>
      <c r="CO22" s="269"/>
      <c r="CP22" s="269"/>
      <c r="CQ22" s="269"/>
      <c r="CR22" s="269"/>
      <c r="CS22" s="269"/>
      <c r="CT22" s="269"/>
      <c r="CU22" s="269"/>
      <c r="CV22" s="269"/>
      <c r="CW22" s="269"/>
      <c r="CX22" s="249"/>
    </row>
    <row r="23" spans="1:102" s="3" customFormat="1" x14ac:dyDescent="0.25">
      <c r="A23" s="268" t="s">
        <v>5</v>
      </c>
      <c r="B23" s="269" t="e" cm="1">
        <f t="array" aca="1" ref="B23" ca="1">TRANSPOSE(_xlfn._xlws.FILTER(INDIRECT($A23), ID_Period_End = $B$1))</f>
        <v>#REF!</v>
      </c>
      <c r="C23" s="269"/>
      <c r="D23" s="269"/>
      <c r="E23" s="269"/>
      <c r="F23" s="269"/>
      <c r="G23" s="269"/>
      <c r="H23" s="269"/>
      <c r="I23" s="269"/>
      <c r="J23" s="269"/>
      <c r="K23" s="269"/>
      <c r="L23" s="269"/>
      <c r="M23" s="269"/>
      <c r="N23" s="269"/>
      <c r="O23" s="269"/>
      <c r="P23" s="269"/>
      <c r="Q23" s="269"/>
      <c r="R23" s="269"/>
      <c r="S23" s="269"/>
      <c r="T23" s="269"/>
      <c r="U23" s="269"/>
      <c r="V23" s="269"/>
      <c r="W23" s="269"/>
      <c r="X23" s="269"/>
      <c r="Y23" s="269"/>
      <c r="Z23" s="269"/>
      <c r="AA23" s="269"/>
      <c r="AB23" s="269"/>
      <c r="AC23" s="269"/>
      <c r="AD23" s="269"/>
      <c r="AE23" s="269"/>
      <c r="AF23" s="269"/>
      <c r="AG23" s="269"/>
      <c r="AH23" s="269"/>
      <c r="AI23" s="269"/>
      <c r="AJ23" s="269"/>
      <c r="AK23" s="269"/>
      <c r="AL23" s="269"/>
      <c r="AM23" s="269"/>
      <c r="AN23" s="269"/>
      <c r="AO23" s="269"/>
      <c r="AP23" s="269"/>
      <c r="AQ23" s="269"/>
      <c r="AR23" s="269"/>
      <c r="AS23" s="269"/>
      <c r="AT23" s="269"/>
      <c r="AU23" s="269"/>
      <c r="AV23" s="269"/>
      <c r="AW23" s="269"/>
      <c r="AX23" s="269"/>
      <c r="AY23" s="269"/>
      <c r="AZ23" s="269"/>
      <c r="BA23" s="269"/>
      <c r="BB23" s="269"/>
      <c r="BC23" s="269"/>
      <c r="BD23" s="269"/>
      <c r="BE23" s="269"/>
      <c r="BF23" s="269"/>
      <c r="BG23" s="269"/>
      <c r="BH23" s="269"/>
      <c r="BI23" s="269"/>
      <c r="BJ23" s="269"/>
      <c r="BK23" s="269"/>
      <c r="BL23" s="269"/>
      <c r="BM23" s="269"/>
      <c r="BN23" s="269"/>
      <c r="BO23" s="269"/>
      <c r="BP23" s="269"/>
      <c r="BQ23" s="269"/>
      <c r="BR23" s="269"/>
      <c r="BS23" s="269"/>
      <c r="BT23" s="269"/>
      <c r="BU23" s="269"/>
      <c r="BV23" s="269"/>
      <c r="BW23" s="269"/>
      <c r="BX23" s="269"/>
      <c r="BY23" s="269"/>
      <c r="BZ23" s="269"/>
      <c r="CA23" s="269"/>
      <c r="CB23" s="269"/>
      <c r="CC23" s="269"/>
      <c r="CD23" s="269"/>
      <c r="CE23" s="269"/>
      <c r="CF23" s="269"/>
      <c r="CG23" s="269"/>
      <c r="CH23" s="269"/>
      <c r="CI23" s="269"/>
      <c r="CJ23" s="269"/>
      <c r="CK23" s="269"/>
      <c r="CL23" s="269"/>
      <c r="CM23" s="269"/>
      <c r="CN23" s="269"/>
      <c r="CO23" s="269"/>
      <c r="CP23" s="269"/>
      <c r="CQ23" s="269"/>
      <c r="CR23" s="269"/>
      <c r="CS23" s="269"/>
      <c r="CT23" s="269"/>
      <c r="CU23" s="269"/>
      <c r="CV23" s="269"/>
      <c r="CW23" s="269"/>
      <c r="CX23" s="249"/>
    </row>
    <row r="24" spans="1:102" x14ac:dyDescent="0.25">
      <c r="A24" s="255" t="s">
        <v>263</v>
      </c>
      <c r="B24" s="254" t="e" cm="1">
        <f t="array" aca="1" ref="B24" ca="1">TRANSPOSE(_xlfn._xlws.FILTER(INDIRECT($A24), ID_Period_End = $B$1))</f>
        <v>#REF!</v>
      </c>
      <c r="C24" s="254"/>
      <c r="D24" s="254"/>
      <c r="E24" s="254"/>
      <c r="F24" s="254"/>
      <c r="G24" s="254"/>
      <c r="H24" s="254"/>
      <c r="I24" s="254"/>
      <c r="J24" s="254"/>
      <c r="K24" s="254"/>
      <c r="L24" s="254"/>
      <c r="M24" s="254"/>
      <c r="N24" s="254"/>
      <c r="O24" s="254"/>
      <c r="P24" s="254"/>
      <c r="Q24" s="254"/>
      <c r="R24" s="254"/>
      <c r="S24" s="254"/>
      <c r="T24" s="254"/>
      <c r="U24" s="254"/>
      <c r="V24" s="254"/>
      <c r="W24" s="254"/>
      <c r="X24" s="254"/>
      <c r="Y24" s="254"/>
      <c r="Z24" s="254"/>
      <c r="AA24" s="254"/>
      <c r="AB24" s="254"/>
      <c r="AC24" s="254"/>
      <c r="AD24" s="254"/>
      <c r="AE24" s="254"/>
      <c r="AF24" s="254"/>
      <c r="AG24" s="254"/>
      <c r="AH24" s="254"/>
      <c r="AI24" s="254"/>
      <c r="AJ24" s="254"/>
      <c r="AK24" s="254"/>
      <c r="AL24" s="254"/>
      <c r="AM24" s="254"/>
      <c r="AN24" s="254"/>
      <c r="AO24" s="254"/>
      <c r="AP24" s="254"/>
      <c r="AQ24" s="254"/>
      <c r="AR24" s="254"/>
      <c r="AS24" s="254"/>
      <c r="AT24" s="254"/>
      <c r="AU24" s="254"/>
      <c r="AV24" s="254"/>
      <c r="AW24" s="254"/>
      <c r="AX24" s="254"/>
      <c r="AY24" s="254"/>
      <c r="AZ24" s="254"/>
      <c r="BA24" s="254"/>
      <c r="BB24" s="254"/>
      <c r="BC24" s="254"/>
      <c r="BD24" s="254"/>
      <c r="BE24" s="254"/>
      <c r="BF24" s="254"/>
      <c r="BG24" s="254"/>
      <c r="BH24" s="254"/>
      <c r="BI24" s="254"/>
      <c r="BJ24" s="254"/>
      <c r="BK24" s="254"/>
      <c r="BL24" s="254"/>
      <c r="BM24" s="254"/>
      <c r="BN24" s="254"/>
      <c r="BO24" s="254"/>
      <c r="BP24" s="254"/>
      <c r="BQ24" s="254"/>
      <c r="BR24" s="254"/>
      <c r="BS24" s="254"/>
      <c r="BT24" s="254"/>
      <c r="BU24" s="254"/>
      <c r="BV24" s="254"/>
      <c r="BW24" s="254"/>
      <c r="BX24" s="254"/>
      <c r="BY24" s="254"/>
      <c r="BZ24" s="254"/>
      <c r="CA24" s="254"/>
      <c r="CB24" s="254"/>
      <c r="CC24" s="254"/>
      <c r="CD24" s="254"/>
      <c r="CE24" s="254"/>
      <c r="CF24" s="254"/>
      <c r="CG24" s="254"/>
      <c r="CH24" s="254"/>
      <c r="CI24" s="254"/>
      <c r="CJ24" s="254"/>
      <c r="CK24" s="254"/>
      <c r="CL24" s="254"/>
      <c r="CM24" s="254"/>
      <c r="CN24" s="254"/>
      <c r="CO24" s="254"/>
      <c r="CP24" s="254"/>
      <c r="CQ24" s="254"/>
      <c r="CR24" s="254"/>
      <c r="CS24" s="254"/>
      <c r="CT24" s="254"/>
      <c r="CU24" s="254"/>
      <c r="CV24" s="254"/>
      <c r="CW24" s="254"/>
    </row>
    <row r="25" spans="1:102" x14ac:dyDescent="0.25">
      <c r="A25" s="255" t="s">
        <v>264</v>
      </c>
      <c r="B25" s="254" t="e" cm="1">
        <f t="array" aca="1" ref="B25" ca="1">TRANSPOSE(_xlfn._xlws.FILTER(INDIRECT($A25), ID_Period_End = $B$1))</f>
        <v>#REF!</v>
      </c>
      <c r="C25" s="254"/>
      <c r="D25" s="254"/>
      <c r="E25" s="254"/>
      <c r="F25" s="254"/>
      <c r="G25" s="254"/>
      <c r="H25" s="254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Y25" s="254"/>
      <c r="Z25" s="254"/>
      <c r="AA25" s="254"/>
      <c r="AB25" s="254"/>
      <c r="AC25" s="254"/>
      <c r="AD25" s="254"/>
      <c r="AE25" s="254"/>
      <c r="AF25" s="254"/>
      <c r="AG25" s="254"/>
      <c r="AH25" s="254"/>
      <c r="AI25" s="254"/>
      <c r="AJ25" s="254"/>
      <c r="AK25" s="254"/>
      <c r="AL25" s="254"/>
      <c r="AM25" s="254"/>
      <c r="AN25" s="254"/>
      <c r="AO25" s="254"/>
      <c r="AP25" s="254"/>
      <c r="AQ25" s="254"/>
      <c r="AR25" s="254"/>
      <c r="AS25" s="254"/>
      <c r="AT25" s="254"/>
      <c r="AU25" s="254"/>
      <c r="AV25" s="254"/>
      <c r="AW25" s="254"/>
      <c r="AX25" s="254"/>
      <c r="AY25" s="254"/>
      <c r="AZ25" s="254"/>
      <c r="BA25" s="254"/>
      <c r="BB25" s="254"/>
      <c r="BC25" s="254"/>
      <c r="BD25" s="254"/>
      <c r="BE25" s="254"/>
      <c r="BF25" s="254"/>
      <c r="BG25" s="254"/>
      <c r="BH25" s="254"/>
      <c r="BI25" s="254"/>
      <c r="BJ25" s="254"/>
      <c r="BK25" s="254"/>
      <c r="BL25" s="254"/>
      <c r="BM25" s="254"/>
      <c r="BN25" s="254"/>
      <c r="BO25" s="254"/>
      <c r="BP25" s="254"/>
      <c r="BQ25" s="254"/>
      <c r="BR25" s="254"/>
      <c r="BS25" s="254"/>
      <c r="BT25" s="254"/>
      <c r="BU25" s="254"/>
      <c r="BV25" s="254"/>
      <c r="BW25" s="254"/>
      <c r="BX25" s="254"/>
      <c r="BY25" s="254"/>
      <c r="BZ25" s="254"/>
      <c r="CA25" s="254"/>
      <c r="CB25" s="254"/>
      <c r="CC25" s="254"/>
      <c r="CD25" s="254"/>
      <c r="CE25" s="254"/>
      <c r="CF25" s="254"/>
      <c r="CG25" s="254"/>
      <c r="CH25" s="254"/>
      <c r="CI25" s="254"/>
      <c r="CJ25" s="254"/>
      <c r="CK25" s="254"/>
      <c r="CL25" s="254"/>
      <c r="CM25" s="254"/>
      <c r="CN25" s="254"/>
      <c r="CO25" s="254"/>
      <c r="CP25" s="254"/>
      <c r="CQ25" s="254"/>
      <c r="CR25" s="254"/>
      <c r="CS25" s="254"/>
      <c r="CT25" s="254"/>
      <c r="CU25" s="254"/>
      <c r="CV25" s="254"/>
      <c r="CW25" s="254"/>
    </row>
    <row r="26" spans="1:102" x14ac:dyDescent="0.25">
      <c r="A26" s="255" t="s">
        <v>275</v>
      </c>
      <c r="B26" s="254" t="e" cm="1">
        <f t="array" aca="1" ref="B26" ca="1">TRANSPOSE(_xlfn._xlws.FILTER(INDIRECT($A26), ID_Period_End = $B$1))</f>
        <v>#REF!</v>
      </c>
      <c r="C26" s="254"/>
      <c r="D26" s="254"/>
      <c r="E26" s="254"/>
      <c r="F26" s="254"/>
      <c r="G26" s="254"/>
      <c r="H26" s="254"/>
      <c r="I26" s="254"/>
      <c r="J26" s="254"/>
      <c r="K26" s="254"/>
      <c r="L26" s="254"/>
      <c r="M26" s="254"/>
      <c r="N26" s="254"/>
      <c r="O26" s="254"/>
      <c r="P26" s="254"/>
      <c r="Q26" s="254"/>
      <c r="R26" s="254"/>
      <c r="S26" s="254"/>
      <c r="T26" s="254"/>
      <c r="U26" s="254"/>
      <c r="V26" s="254"/>
      <c r="W26" s="254"/>
      <c r="X26" s="254"/>
      <c r="Y26" s="254"/>
      <c r="Z26" s="254"/>
      <c r="AA26" s="254"/>
      <c r="AB26" s="254"/>
      <c r="AC26" s="254"/>
      <c r="AD26" s="254"/>
      <c r="AE26" s="254"/>
      <c r="AF26" s="254"/>
      <c r="AG26" s="254"/>
      <c r="AH26" s="254"/>
      <c r="AI26" s="254"/>
      <c r="AJ26" s="254"/>
      <c r="AK26" s="254"/>
      <c r="AL26" s="254"/>
      <c r="AM26" s="254"/>
      <c r="AN26" s="254"/>
      <c r="AO26" s="254"/>
      <c r="AP26" s="254"/>
      <c r="AQ26" s="254"/>
      <c r="AR26" s="254"/>
      <c r="AS26" s="254"/>
      <c r="AT26" s="254"/>
      <c r="AU26" s="254"/>
      <c r="AV26" s="254"/>
      <c r="AW26" s="254"/>
      <c r="AX26" s="254"/>
      <c r="AY26" s="254"/>
      <c r="AZ26" s="254"/>
      <c r="BA26" s="254"/>
      <c r="BB26" s="254"/>
      <c r="BC26" s="254"/>
      <c r="BD26" s="254"/>
      <c r="BE26" s="254"/>
      <c r="BF26" s="254"/>
      <c r="BG26" s="254"/>
      <c r="BH26" s="254"/>
      <c r="BI26" s="254"/>
      <c r="BJ26" s="254"/>
      <c r="BK26" s="254"/>
      <c r="BL26" s="254"/>
      <c r="BM26" s="254"/>
      <c r="BN26" s="254"/>
      <c r="BO26" s="254"/>
      <c r="BP26" s="254"/>
      <c r="BQ26" s="254"/>
      <c r="BR26" s="254"/>
      <c r="BS26" s="254"/>
      <c r="BT26" s="254"/>
      <c r="BU26" s="254"/>
      <c r="BV26" s="254"/>
      <c r="BW26" s="254"/>
      <c r="BX26" s="254"/>
      <c r="BY26" s="254"/>
      <c r="BZ26" s="254"/>
      <c r="CA26" s="254"/>
      <c r="CB26" s="254"/>
      <c r="CC26" s="254"/>
      <c r="CD26" s="254"/>
      <c r="CE26" s="254"/>
      <c r="CF26" s="254"/>
      <c r="CG26" s="254"/>
      <c r="CH26" s="254"/>
      <c r="CI26" s="254"/>
      <c r="CJ26" s="254"/>
      <c r="CK26" s="254"/>
      <c r="CL26" s="254"/>
      <c r="CM26" s="254"/>
      <c r="CN26" s="254"/>
      <c r="CO26" s="254"/>
      <c r="CP26" s="254"/>
      <c r="CQ26" s="254"/>
      <c r="CR26" s="254"/>
      <c r="CS26" s="254"/>
      <c r="CT26" s="254"/>
      <c r="CU26" s="254"/>
      <c r="CV26" s="254"/>
      <c r="CW26" s="254"/>
    </row>
    <row r="27" spans="1:102" x14ac:dyDescent="0.25">
      <c r="A27" s="255" t="s">
        <v>276</v>
      </c>
      <c r="B27" s="254" t="e" cm="1">
        <f t="array" aca="1" ref="B27" ca="1">TRANSPOSE(_xlfn._xlws.FILTER(INDIRECT($A27), ID_Period_End = $B$1))</f>
        <v>#REF!</v>
      </c>
      <c r="C27" s="254"/>
      <c r="D27" s="254"/>
      <c r="E27" s="254"/>
      <c r="F27" s="254"/>
      <c r="G27" s="254"/>
      <c r="H27" s="254"/>
      <c r="I27" s="254"/>
      <c r="J27" s="254"/>
      <c r="K27" s="254"/>
      <c r="L27" s="254"/>
      <c r="M27" s="254"/>
      <c r="N27" s="254"/>
      <c r="O27" s="254"/>
      <c r="P27" s="254"/>
      <c r="Q27" s="254"/>
      <c r="R27" s="254"/>
      <c r="S27" s="254"/>
      <c r="T27" s="254"/>
      <c r="U27" s="254"/>
      <c r="V27" s="254"/>
      <c r="W27" s="254"/>
      <c r="X27" s="254"/>
      <c r="Y27" s="254"/>
      <c r="Z27" s="254"/>
      <c r="AA27" s="254"/>
      <c r="AB27" s="254"/>
      <c r="AC27" s="254"/>
      <c r="AD27" s="254"/>
      <c r="AE27" s="254"/>
      <c r="AF27" s="254"/>
      <c r="AG27" s="254"/>
      <c r="AH27" s="254"/>
      <c r="AI27" s="254"/>
      <c r="AJ27" s="254"/>
      <c r="AK27" s="254"/>
      <c r="AL27" s="254"/>
      <c r="AM27" s="254"/>
      <c r="AN27" s="254"/>
      <c r="AO27" s="254"/>
      <c r="AP27" s="254"/>
      <c r="AQ27" s="254"/>
      <c r="AR27" s="254"/>
      <c r="AS27" s="254"/>
      <c r="AT27" s="254"/>
      <c r="AU27" s="254"/>
      <c r="AV27" s="254"/>
      <c r="AW27" s="254"/>
      <c r="AX27" s="254"/>
      <c r="AY27" s="254"/>
      <c r="AZ27" s="254"/>
      <c r="BA27" s="254"/>
      <c r="BB27" s="254"/>
      <c r="BC27" s="254"/>
      <c r="BD27" s="254"/>
      <c r="BE27" s="254"/>
      <c r="BF27" s="254"/>
      <c r="BG27" s="254"/>
      <c r="BH27" s="254"/>
      <c r="BI27" s="254"/>
      <c r="BJ27" s="254"/>
      <c r="BK27" s="254"/>
      <c r="BL27" s="254"/>
      <c r="BM27" s="254"/>
      <c r="BN27" s="254"/>
      <c r="BO27" s="254"/>
      <c r="BP27" s="254"/>
      <c r="BQ27" s="254"/>
      <c r="BR27" s="254"/>
      <c r="BS27" s="254"/>
      <c r="BT27" s="254"/>
      <c r="BU27" s="254"/>
      <c r="BV27" s="254"/>
      <c r="BW27" s="254"/>
      <c r="BX27" s="254"/>
      <c r="BY27" s="254"/>
      <c r="BZ27" s="254"/>
      <c r="CA27" s="254"/>
      <c r="CB27" s="254"/>
      <c r="CC27" s="254"/>
      <c r="CD27" s="254"/>
      <c r="CE27" s="254"/>
      <c r="CF27" s="254"/>
      <c r="CG27" s="254"/>
      <c r="CH27" s="254"/>
      <c r="CI27" s="254"/>
      <c r="CJ27" s="254"/>
      <c r="CK27" s="254"/>
      <c r="CL27" s="254"/>
      <c r="CM27" s="254"/>
      <c r="CN27" s="254"/>
      <c r="CO27" s="254"/>
      <c r="CP27" s="254"/>
      <c r="CQ27" s="254"/>
      <c r="CR27" s="254"/>
      <c r="CS27" s="254"/>
      <c r="CT27" s="254"/>
      <c r="CU27" s="254"/>
      <c r="CV27" s="254"/>
      <c r="CW27" s="254"/>
    </row>
    <row r="28" spans="1:102" x14ac:dyDescent="0.25">
      <c r="A28" s="255" t="s">
        <v>277</v>
      </c>
      <c r="B28" s="254" t="e" cm="1">
        <f t="array" aca="1" ref="B28" ca="1">TRANSPOSE(_xlfn._xlws.FILTER(INDIRECT($A28), ID_Period_End = $B$1))</f>
        <v>#REF!</v>
      </c>
      <c r="C28" s="254"/>
      <c r="D28" s="254"/>
      <c r="E28" s="254"/>
      <c r="F28" s="254"/>
      <c r="G28" s="254"/>
      <c r="H28" s="254"/>
      <c r="I28" s="254"/>
      <c r="J28" s="254"/>
      <c r="K28" s="254"/>
      <c r="L28" s="254"/>
      <c r="M28" s="254"/>
      <c r="N28" s="254"/>
      <c r="O28" s="254"/>
      <c r="P28" s="254"/>
      <c r="Q28" s="254"/>
      <c r="R28" s="254"/>
      <c r="S28" s="254"/>
      <c r="T28" s="254"/>
      <c r="U28" s="254"/>
      <c r="V28" s="254"/>
      <c r="W28" s="254"/>
      <c r="X28" s="254"/>
      <c r="Y28" s="254"/>
      <c r="Z28" s="254"/>
      <c r="AA28" s="254"/>
      <c r="AB28" s="254"/>
      <c r="AC28" s="254"/>
      <c r="AD28" s="254"/>
      <c r="AE28" s="254"/>
      <c r="AF28" s="254"/>
      <c r="AG28" s="254"/>
      <c r="AH28" s="254"/>
      <c r="AI28" s="254"/>
      <c r="AJ28" s="254"/>
      <c r="AK28" s="254"/>
      <c r="AL28" s="254"/>
      <c r="AM28" s="254"/>
      <c r="AN28" s="254"/>
      <c r="AO28" s="254"/>
      <c r="AP28" s="254"/>
      <c r="AQ28" s="254"/>
      <c r="AR28" s="254"/>
      <c r="AS28" s="254"/>
      <c r="AT28" s="254"/>
      <c r="AU28" s="254"/>
      <c r="AV28" s="254"/>
      <c r="AW28" s="254"/>
      <c r="AX28" s="254"/>
      <c r="AY28" s="254"/>
      <c r="AZ28" s="254"/>
      <c r="BA28" s="254"/>
      <c r="BB28" s="254"/>
      <c r="BC28" s="254"/>
      <c r="BD28" s="254"/>
      <c r="BE28" s="254"/>
      <c r="BF28" s="254"/>
      <c r="BG28" s="254"/>
      <c r="BH28" s="254"/>
      <c r="BI28" s="254"/>
      <c r="BJ28" s="254"/>
      <c r="BK28" s="254"/>
      <c r="BL28" s="254"/>
      <c r="BM28" s="254"/>
      <c r="BN28" s="254"/>
      <c r="BO28" s="254"/>
      <c r="BP28" s="254"/>
      <c r="BQ28" s="254"/>
      <c r="BR28" s="254"/>
      <c r="BS28" s="254"/>
      <c r="BT28" s="254"/>
      <c r="BU28" s="254"/>
      <c r="BV28" s="254"/>
      <c r="BW28" s="254"/>
      <c r="BX28" s="254"/>
      <c r="BY28" s="254"/>
      <c r="BZ28" s="254"/>
      <c r="CA28" s="254"/>
      <c r="CB28" s="254"/>
      <c r="CC28" s="254"/>
      <c r="CD28" s="254"/>
      <c r="CE28" s="254"/>
      <c r="CF28" s="254"/>
      <c r="CG28" s="254"/>
      <c r="CH28" s="254"/>
      <c r="CI28" s="254"/>
      <c r="CJ28" s="254"/>
      <c r="CK28" s="254"/>
      <c r="CL28" s="254"/>
      <c r="CM28" s="254"/>
      <c r="CN28" s="254"/>
      <c r="CO28" s="254"/>
      <c r="CP28" s="254"/>
      <c r="CQ28" s="254"/>
      <c r="CR28" s="254"/>
      <c r="CS28" s="254"/>
      <c r="CT28" s="254"/>
      <c r="CU28" s="254"/>
      <c r="CV28" s="254"/>
      <c r="CW28" s="254"/>
    </row>
    <row r="29" spans="1:102" x14ac:dyDescent="0.25">
      <c r="A29" s="255" t="s">
        <v>278</v>
      </c>
      <c r="B29" s="254" t="e" cm="1">
        <f t="array" aca="1" ref="B29" ca="1">TRANSPOSE(_xlfn._xlws.FILTER(INDIRECT($A29), ID_Period_End = $B$1))</f>
        <v>#REF!</v>
      </c>
      <c r="C29" s="254"/>
      <c r="D29" s="254"/>
      <c r="E29" s="254"/>
      <c r="F29" s="254"/>
      <c r="G29" s="254"/>
      <c r="H29" s="254"/>
      <c r="I29" s="254"/>
      <c r="J29" s="254"/>
      <c r="K29" s="254"/>
      <c r="L29" s="254"/>
      <c r="M29" s="254"/>
      <c r="N29" s="254"/>
      <c r="O29" s="254"/>
      <c r="P29" s="254"/>
      <c r="Q29" s="254"/>
      <c r="R29" s="254"/>
      <c r="S29" s="254"/>
      <c r="T29" s="254"/>
      <c r="U29" s="254"/>
      <c r="V29" s="254"/>
      <c r="W29" s="254"/>
      <c r="X29" s="254"/>
      <c r="Y29" s="254"/>
      <c r="Z29" s="254"/>
      <c r="AA29" s="254"/>
      <c r="AB29" s="254"/>
      <c r="AC29" s="254"/>
      <c r="AD29" s="254"/>
      <c r="AE29" s="254"/>
      <c r="AF29" s="254"/>
      <c r="AG29" s="254"/>
      <c r="AH29" s="254"/>
      <c r="AI29" s="254"/>
      <c r="AJ29" s="254"/>
      <c r="AK29" s="254"/>
      <c r="AL29" s="254"/>
      <c r="AM29" s="254"/>
      <c r="AN29" s="254"/>
      <c r="AO29" s="254"/>
      <c r="AP29" s="254"/>
      <c r="AQ29" s="254"/>
      <c r="AR29" s="254"/>
      <c r="AS29" s="254"/>
      <c r="AT29" s="254"/>
      <c r="AU29" s="254"/>
      <c r="AV29" s="254"/>
      <c r="AW29" s="254"/>
      <c r="AX29" s="254"/>
      <c r="AY29" s="254"/>
      <c r="AZ29" s="254"/>
      <c r="BA29" s="254"/>
      <c r="BB29" s="254"/>
      <c r="BC29" s="254"/>
      <c r="BD29" s="254"/>
      <c r="BE29" s="254"/>
      <c r="BF29" s="254"/>
      <c r="BG29" s="254"/>
      <c r="BH29" s="254"/>
      <c r="BI29" s="254"/>
      <c r="BJ29" s="254"/>
      <c r="BK29" s="254"/>
      <c r="BL29" s="254"/>
      <c r="BM29" s="254"/>
      <c r="BN29" s="254"/>
      <c r="BO29" s="254"/>
      <c r="BP29" s="254"/>
      <c r="BQ29" s="254"/>
      <c r="BR29" s="254"/>
      <c r="BS29" s="254"/>
      <c r="BT29" s="254"/>
      <c r="BU29" s="254"/>
      <c r="BV29" s="254"/>
      <c r="BW29" s="254"/>
      <c r="BX29" s="254"/>
      <c r="BY29" s="254"/>
      <c r="BZ29" s="254"/>
      <c r="CA29" s="254"/>
      <c r="CB29" s="254"/>
      <c r="CC29" s="254"/>
      <c r="CD29" s="254"/>
      <c r="CE29" s="254"/>
      <c r="CF29" s="254"/>
      <c r="CG29" s="254"/>
      <c r="CH29" s="254"/>
      <c r="CI29" s="254"/>
      <c r="CJ29" s="254"/>
      <c r="CK29" s="254"/>
      <c r="CL29" s="254"/>
      <c r="CM29" s="254"/>
      <c r="CN29" s="254"/>
      <c r="CO29" s="254"/>
      <c r="CP29" s="254"/>
      <c r="CQ29" s="254"/>
      <c r="CR29" s="254"/>
      <c r="CS29" s="254"/>
      <c r="CT29" s="254"/>
      <c r="CU29" s="254"/>
      <c r="CV29" s="254"/>
      <c r="CW29" s="254"/>
    </row>
    <row r="30" spans="1:102" x14ac:dyDescent="0.25">
      <c r="A30" s="255" t="s">
        <v>279</v>
      </c>
      <c r="B30" s="254" t="e" cm="1">
        <f t="array" aca="1" ref="B30" ca="1">TRANSPOSE(_xlfn._xlws.FILTER(INDIRECT($A30), ID_Period_End = $B$1))</f>
        <v>#REF!</v>
      </c>
      <c r="C30" s="254"/>
      <c r="D30" s="254"/>
      <c r="E30" s="254"/>
      <c r="F30" s="254"/>
      <c r="G30" s="254"/>
      <c r="H30" s="254"/>
      <c r="I30" s="254"/>
      <c r="J30" s="254"/>
      <c r="K30" s="254"/>
      <c r="L30" s="254"/>
      <c r="M30" s="254"/>
      <c r="N30" s="254"/>
      <c r="O30" s="254"/>
      <c r="P30" s="254"/>
      <c r="Q30" s="254"/>
      <c r="R30" s="254"/>
      <c r="S30" s="254"/>
      <c r="T30" s="254"/>
      <c r="U30" s="254"/>
      <c r="V30" s="254"/>
      <c r="W30" s="254"/>
      <c r="X30" s="254"/>
      <c r="Y30" s="254"/>
      <c r="Z30" s="254"/>
      <c r="AA30" s="254"/>
      <c r="AB30" s="254"/>
      <c r="AC30" s="254"/>
      <c r="AD30" s="254"/>
      <c r="AE30" s="254"/>
      <c r="AF30" s="254"/>
      <c r="AG30" s="254"/>
      <c r="AH30" s="254"/>
      <c r="AI30" s="254"/>
      <c r="AJ30" s="254"/>
      <c r="AK30" s="254"/>
      <c r="AL30" s="254"/>
      <c r="AM30" s="254"/>
      <c r="AN30" s="254"/>
      <c r="AO30" s="254"/>
      <c r="AP30" s="254"/>
      <c r="AQ30" s="254"/>
      <c r="AR30" s="254"/>
      <c r="AS30" s="254"/>
      <c r="AT30" s="254"/>
      <c r="AU30" s="254"/>
      <c r="AV30" s="254"/>
      <c r="AW30" s="254"/>
      <c r="AX30" s="254"/>
      <c r="AY30" s="254"/>
      <c r="AZ30" s="254"/>
      <c r="BA30" s="254"/>
      <c r="BB30" s="254"/>
      <c r="BC30" s="254"/>
      <c r="BD30" s="254"/>
      <c r="BE30" s="254"/>
      <c r="BF30" s="254"/>
      <c r="BG30" s="254"/>
      <c r="BH30" s="254"/>
      <c r="BI30" s="254"/>
      <c r="BJ30" s="254"/>
      <c r="BK30" s="254"/>
      <c r="BL30" s="254"/>
      <c r="BM30" s="254"/>
      <c r="BN30" s="254"/>
      <c r="BO30" s="254"/>
      <c r="BP30" s="254"/>
      <c r="BQ30" s="254"/>
      <c r="BR30" s="254"/>
      <c r="BS30" s="254"/>
      <c r="BT30" s="254"/>
      <c r="BU30" s="254"/>
      <c r="BV30" s="254"/>
      <c r="BW30" s="254"/>
      <c r="BX30" s="254"/>
      <c r="BY30" s="254"/>
      <c r="BZ30" s="254"/>
      <c r="CA30" s="254"/>
      <c r="CB30" s="254"/>
      <c r="CC30" s="254"/>
      <c r="CD30" s="254"/>
      <c r="CE30" s="254"/>
      <c r="CF30" s="254"/>
      <c r="CG30" s="254"/>
      <c r="CH30" s="254"/>
      <c r="CI30" s="254"/>
      <c r="CJ30" s="254"/>
      <c r="CK30" s="254"/>
      <c r="CL30" s="254"/>
      <c r="CM30" s="254"/>
      <c r="CN30" s="254"/>
      <c r="CO30" s="254"/>
      <c r="CP30" s="254"/>
      <c r="CQ30" s="254"/>
      <c r="CR30" s="254"/>
      <c r="CS30" s="254"/>
      <c r="CT30" s="254"/>
      <c r="CU30" s="254"/>
      <c r="CV30" s="254"/>
      <c r="CW30" s="254"/>
    </row>
    <row r="31" spans="1:102" x14ac:dyDescent="0.25">
      <c r="A31" s="255" t="s">
        <v>280</v>
      </c>
      <c r="B31" s="254" t="e" cm="1">
        <f t="array" aca="1" ref="B31" ca="1">TRANSPOSE(_xlfn._xlws.FILTER(INDIRECT($A31), ID_Period_End = $B$1))</f>
        <v>#REF!</v>
      </c>
      <c r="C31" s="254"/>
      <c r="D31" s="254"/>
      <c r="E31" s="254"/>
      <c r="F31" s="254"/>
      <c r="G31" s="254"/>
      <c r="H31" s="254"/>
      <c r="I31" s="254"/>
      <c r="J31" s="254"/>
      <c r="K31" s="254"/>
      <c r="L31" s="254"/>
      <c r="M31" s="254"/>
      <c r="N31" s="254"/>
      <c r="O31" s="254"/>
      <c r="P31" s="254"/>
      <c r="Q31" s="254"/>
      <c r="R31" s="254"/>
      <c r="S31" s="254"/>
      <c r="T31" s="254"/>
      <c r="U31" s="254"/>
      <c r="V31" s="254"/>
      <c r="W31" s="254"/>
      <c r="X31" s="254"/>
      <c r="Y31" s="254"/>
      <c r="Z31" s="254"/>
      <c r="AA31" s="254"/>
      <c r="AB31" s="254"/>
      <c r="AC31" s="254"/>
      <c r="AD31" s="254"/>
      <c r="AE31" s="254"/>
      <c r="AF31" s="254"/>
      <c r="AG31" s="254"/>
      <c r="AH31" s="254"/>
      <c r="AI31" s="254"/>
      <c r="AJ31" s="254"/>
      <c r="AK31" s="254"/>
      <c r="AL31" s="254"/>
      <c r="AM31" s="254"/>
      <c r="AN31" s="254"/>
      <c r="AO31" s="254"/>
      <c r="AP31" s="254"/>
      <c r="AQ31" s="254"/>
      <c r="AR31" s="254"/>
      <c r="AS31" s="254"/>
      <c r="AT31" s="254"/>
      <c r="AU31" s="254"/>
      <c r="AV31" s="254"/>
      <c r="AW31" s="254"/>
      <c r="AX31" s="254"/>
      <c r="AY31" s="254"/>
      <c r="AZ31" s="254"/>
      <c r="BA31" s="254"/>
      <c r="BB31" s="254"/>
      <c r="BC31" s="254"/>
      <c r="BD31" s="254"/>
      <c r="BE31" s="254"/>
      <c r="BF31" s="254"/>
      <c r="BG31" s="254"/>
      <c r="BH31" s="254"/>
      <c r="BI31" s="254"/>
      <c r="BJ31" s="254"/>
      <c r="BK31" s="254"/>
      <c r="BL31" s="254"/>
      <c r="BM31" s="254"/>
      <c r="BN31" s="254"/>
      <c r="BO31" s="254"/>
      <c r="BP31" s="254"/>
      <c r="BQ31" s="254"/>
      <c r="BR31" s="254"/>
      <c r="BS31" s="254"/>
      <c r="BT31" s="254"/>
      <c r="BU31" s="254"/>
      <c r="BV31" s="254"/>
      <c r="BW31" s="254"/>
      <c r="BX31" s="254"/>
      <c r="BY31" s="254"/>
      <c r="BZ31" s="254"/>
      <c r="CA31" s="254"/>
      <c r="CB31" s="254"/>
      <c r="CC31" s="254"/>
      <c r="CD31" s="254"/>
      <c r="CE31" s="254"/>
      <c r="CF31" s="254"/>
      <c r="CG31" s="254"/>
      <c r="CH31" s="254"/>
      <c r="CI31" s="254"/>
      <c r="CJ31" s="254"/>
      <c r="CK31" s="254"/>
      <c r="CL31" s="254"/>
      <c r="CM31" s="254"/>
      <c r="CN31" s="254"/>
      <c r="CO31" s="254"/>
      <c r="CP31" s="254"/>
      <c r="CQ31" s="254"/>
      <c r="CR31" s="254"/>
      <c r="CS31" s="254"/>
      <c r="CT31" s="254"/>
      <c r="CU31" s="254"/>
      <c r="CV31" s="254"/>
      <c r="CW31" s="254"/>
    </row>
    <row r="32" spans="1:102" x14ac:dyDescent="0.25">
      <c r="A32" s="255" t="s">
        <v>281</v>
      </c>
      <c r="B32" s="254" t="e" cm="1">
        <f t="array" aca="1" ref="B32" ca="1">TRANSPOSE(_xlfn._xlws.FILTER(INDIRECT($A32), ID_Period_End = $B$1))</f>
        <v>#REF!</v>
      </c>
      <c r="C32" s="254"/>
      <c r="D32" s="254"/>
      <c r="E32" s="254"/>
      <c r="F32" s="254"/>
      <c r="G32" s="254"/>
      <c r="H32" s="254"/>
      <c r="I32" s="254"/>
      <c r="J32" s="254"/>
      <c r="K32" s="254"/>
      <c r="L32" s="254"/>
      <c r="M32" s="254"/>
      <c r="N32" s="254"/>
      <c r="O32" s="254"/>
      <c r="P32" s="254"/>
      <c r="Q32" s="254"/>
      <c r="R32" s="254"/>
      <c r="S32" s="254"/>
      <c r="T32" s="254"/>
      <c r="U32" s="254"/>
      <c r="V32" s="254"/>
      <c r="W32" s="254"/>
      <c r="X32" s="254"/>
      <c r="Y32" s="254"/>
      <c r="Z32" s="254"/>
      <c r="AA32" s="254"/>
      <c r="AB32" s="254"/>
      <c r="AC32" s="254"/>
      <c r="AD32" s="254"/>
      <c r="AE32" s="254"/>
      <c r="AF32" s="254"/>
      <c r="AG32" s="254"/>
      <c r="AH32" s="254"/>
      <c r="AI32" s="254"/>
      <c r="AJ32" s="254"/>
      <c r="AK32" s="254"/>
      <c r="AL32" s="254"/>
      <c r="AM32" s="254"/>
      <c r="AN32" s="254"/>
      <c r="AO32" s="254"/>
      <c r="AP32" s="254"/>
      <c r="AQ32" s="254"/>
      <c r="AR32" s="254"/>
      <c r="AS32" s="254"/>
      <c r="AT32" s="254"/>
      <c r="AU32" s="254"/>
      <c r="AV32" s="254"/>
      <c r="AW32" s="254"/>
      <c r="AX32" s="254"/>
      <c r="AY32" s="254"/>
      <c r="AZ32" s="254"/>
      <c r="BA32" s="254"/>
      <c r="BB32" s="254"/>
      <c r="BC32" s="254"/>
      <c r="BD32" s="254"/>
      <c r="BE32" s="254"/>
      <c r="BF32" s="254"/>
      <c r="BG32" s="254"/>
      <c r="BH32" s="254"/>
      <c r="BI32" s="254"/>
      <c r="BJ32" s="254"/>
      <c r="BK32" s="254"/>
      <c r="BL32" s="254"/>
      <c r="BM32" s="254"/>
      <c r="BN32" s="254"/>
      <c r="BO32" s="254"/>
      <c r="BP32" s="254"/>
      <c r="BQ32" s="254"/>
      <c r="BR32" s="254"/>
      <c r="BS32" s="254"/>
      <c r="BT32" s="254"/>
      <c r="BU32" s="254"/>
      <c r="BV32" s="254"/>
      <c r="BW32" s="254"/>
      <c r="BX32" s="254"/>
      <c r="BY32" s="254"/>
      <c r="BZ32" s="254"/>
      <c r="CA32" s="254"/>
      <c r="CB32" s="254"/>
      <c r="CC32" s="254"/>
      <c r="CD32" s="254"/>
      <c r="CE32" s="254"/>
      <c r="CF32" s="254"/>
      <c r="CG32" s="254"/>
      <c r="CH32" s="254"/>
      <c r="CI32" s="254"/>
      <c r="CJ32" s="254"/>
      <c r="CK32" s="254"/>
      <c r="CL32" s="254"/>
      <c r="CM32" s="254"/>
      <c r="CN32" s="254"/>
      <c r="CO32" s="254"/>
      <c r="CP32" s="254"/>
      <c r="CQ32" s="254"/>
      <c r="CR32" s="254"/>
      <c r="CS32" s="254"/>
      <c r="CT32" s="254"/>
      <c r="CU32" s="254"/>
      <c r="CV32" s="254"/>
      <c r="CW32" s="254"/>
    </row>
    <row r="33" spans="1:101" x14ac:dyDescent="0.25">
      <c r="A33" s="255" t="s">
        <v>419</v>
      </c>
      <c r="B33" s="254" t="e" cm="1">
        <f t="array" aca="1" ref="B33" ca="1">TRANSPOSE(_xlfn._xlws.FILTER(INDIRECT($A33), ID_Period_End = $B$1))</f>
        <v>#REF!</v>
      </c>
      <c r="C33" s="254"/>
      <c r="D33" s="254"/>
      <c r="E33" s="254"/>
      <c r="F33" s="254"/>
      <c r="G33" s="254"/>
      <c r="H33" s="254"/>
      <c r="I33" s="254"/>
      <c r="J33" s="254"/>
      <c r="K33" s="254"/>
      <c r="L33" s="254"/>
      <c r="M33" s="254"/>
      <c r="N33" s="254"/>
      <c r="O33" s="254"/>
      <c r="P33" s="254"/>
      <c r="Q33" s="254"/>
      <c r="R33" s="254"/>
      <c r="S33" s="254"/>
      <c r="T33" s="254"/>
      <c r="U33" s="254"/>
      <c r="V33" s="254"/>
      <c r="W33" s="254"/>
      <c r="X33" s="254"/>
      <c r="Y33" s="254"/>
      <c r="Z33" s="254"/>
      <c r="AA33" s="254"/>
      <c r="AB33" s="254"/>
      <c r="AC33" s="254"/>
      <c r="AD33" s="254"/>
      <c r="AE33" s="254"/>
      <c r="AF33" s="254"/>
      <c r="AG33" s="254"/>
      <c r="AH33" s="254"/>
      <c r="AI33" s="254"/>
      <c r="AJ33" s="254"/>
      <c r="AK33" s="254"/>
      <c r="AL33" s="254"/>
      <c r="AM33" s="254"/>
      <c r="AN33" s="254"/>
      <c r="AO33" s="254"/>
      <c r="AP33" s="254"/>
      <c r="AQ33" s="254"/>
      <c r="AR33" s="254"/>
      <c r="AS33" s="254"/>
      <c r="AT33" s="254"/>
      <c r="AU33" s="254"/>
      <c r="AV33" s="254"/>
      <c r="AW33" s="254"/>
      <c r="AX33" s="254"/>
      <c r="AY33" s="254"/>
      <c r="AZ33" s="254"/>
      <c r="BA33" s="254"/>
      <c r="BB33" s="254"/>
      <c r="BC33" s="254"/>
      <c r="BD33" s="254"/>
      <c r="BE33" s="254"/>
      <c r="BF33" s="254"/>
      <c r="BG33" s="254"/>
      <c r="BH33" s="254"/>
      <c r="BI33" s="254"/>
      <c r="BJ33" s="254"/>
      <c r="BK33" s="254"/>
      <c r="BL33" s="254"/>
      <c r="BM33" s="254"/>
      <c r="BN33" s="254"/>
      <c r="BO33" s="254"/>
      <c r="BP33" s="254"/>
      <c r="BQ33" s="254"/>
      <c r="BR33" s="254"/>
      <c r="BS33" s="254"/>
      <c r="BT33" s="254"/>
      <c r="BU33" s="254"/>
      <c r="BV33" s="254"/>
      <c r="BW33" s="254"/>
      <c r="BX33" s="254"/>
      <c r="BY33" s="254"/>
      <c r="BZ33" s="254"/>
      <c r="CA33" s="254"/>
      <c r="CB33" s="254"/>
      <c r="CC33" s="254"/>
      <c r="CD33" s="254"/>
      <c r="CE33" s="254"/>
      <c r="CF33" s="254"/>
      <c r="CG33" s="254"/>
      <c r="CH33" s="254"/>
      <c r="CI33" s="254"/>
      <c r="CJ33" s="254"/>
      <c r="CK33" s="254"/>
      <c r="CL33" s="254"/>
      <c r="CM33" s="254"/>
      <c r="CN33" s="254"/>
      <c r="CO33" s="254"/>
      <c r="CP33" s="254"/>
      <c r="CQ33" s="254"/>
      <c r="CR33" s="254"/>
      <c r="CS33" s="254"/>
      <c r="CT33" s="254"/>
      <c r="CU33" s="254"/>
      <c r="CV33" s="254"/>
      <c r="CW33" s="254"/>
    </row>
    <row r="34" spans="1:101" x14ac:dyDescent="0.25">
      <c r="A34" s="255" t="s">
        <v>282</v>
      </c>
      <c r="B34" s="254" t="e" cm="1">
        <f t="array" aca="1" ref="B34" ca="1">TRANSPOSE(_xlfn._xlws.FILTER(INDIRECT($A34), ID_Period_End = $B$1))</f>
        <v>#REF!</v>
      </c>
      <c r="C34" s="254"/>
      <c r="D34" s="254"/>
      <c r="E34" s="254"/>
      <c r="F34" s="254"/>
      <c r="G34" s="254"/>
      <c r="H34" s="254"/>
      <c r="I34" s="254"/>
      <c r="J34" s="254"/>
      <c r="K34" s="254"/>
      <c r="L34" s="254"/>
      <c r="M34" s="254"/>
      <c r="N34" s="254"/>
      <c r="O34" s="254"/>
      <c r="P34" s="254"/>
      <c r="Q34" s="254"/>
      <c r="R34" s="254"/>
      <c r="S34" s="254"/>
      <c r="T34" s="254"/>
      <c r="U34" s="254"/>
      <c r="V34" s="254"/>
      <c r="W34" s="254"/>
      <c r="X34" s="254"/>
      <c r="Y34" s="254"/>
      <c r="Z34" s="254"/>
      <c r="AA34" s="254"/>
      <c r="AB34" s="254"/>
      <c r="AC34" s="254"/>
      <c r="AD34" s="254"/>
      <c r="AE34" s="254"/>
      <c r="AF34" s="254"/>
      <c r="AG34" s="254"/>
      <c r="AH34" s="254"/>
      <c r="AI34" s="254"/>
      <c r="AJ34" s="254"/>
      <c r="AK34" s="254"/>
      <c r="AL34" s="254"/>
      <c r="AM34" s="254"/>
      <c r="AN34" s="254"/>
      <c r="AO34" s="254"/>
      <c r="AP34" s="254"/>
      <c r="AQ34" s="254"/>
      <c r="AR34" s="254"/>
      <c r="AS34" s="254"/>
      <c r="AT34" s="254"/>
      <c r="AU34" s="254"/>
      <c r="AV34" s="254"/>
      <c r="AW34" s="254"/>
      <c r="AX34" s="254"/>
      <c r="AY34" s="254"/>
      <c r="AZ34" s="254"/>
      <c r="BA34" s="254"/>
      <c r="BB34" s="254"/>
      <c r="BC34" s="254"/>
      <c r="BD34" s="254"/>
      <c r="BE34" s="254"/>
      <c r="BF34" s="254"/>
      <c r="BG34" s="254"/>
      <c r="BH34" s="254"/>
      <c r="BI34" s="254"/>
      <c r="BJ34" s="254"/>
      <c r="BK34" s="254"/>
      <c r="BL34" s="254"/>
      <c r="BM34" s="254"/>
      <c r="BN34" s="254"/>
      <c r="BO34" s="254"/>
      <c r="BP34" s="254"/>
      <c r="BQ34" s="254"/>
      <c r="BR34" s="254"/>
      <c r="BS34" s="254"/>
      <c r="BT34" s="254"/>
      <c r="BU34" s="254"/>
      <c r="BV34" s="254"/>
      <c r="BW34" s="254"/>
      <c r="BX34" s="254"/>
      <c r="BY34" s="254"/>
      <c r="BZ34" s="254"/>
      <c r="CA34" s="254"/>
      <c r="CB34" s="254"/>
      <c r="CC34" s="254"/>
      <c r="CD34" s="254"/>
      <c r="CE34" s="254"/>
      <c r="CF34" s="254"/>
      <c r="CG34" s="254"/>
      <c r="CH34" s="254"/>
      <c r="CI34" s="254"/>
      <c r="CJ34" s="254"/>
      <c r="CK34" s="254"/>
      <c r="CL34" s="254"/>
      <c r="CM34" s="254"/>
      <c r="CN34" s="254"/>
      <c r="CO34" s="254"/>
      <c r="CP34" s="254"/>
      <c r="CQ34" s="254"/>
      <c r="CR34" s="254"/>
      <c r="CS34" s="254"/>
      <c r="CT34" s="254"/>
      <c r="CU34" s="254"/>
      <c r="CV34" s="254"/>
      <c r="CW34" s="254"/>
    </row>
    <row r="35" spans="1:101" x14ac:dyDescent="0.25">
      <c r="A35" s="255" t="s">
        <v>283</v>
      </c>
      <c r="B35" s="254" t="e" cm="1">
        <f t="array" aca="1" ref="B35" ca="1">TRANSPOSE(_xlfn._xlws.FILTER(INDIRECT($A35), ID_Period_End = $B$1))</f>
        <v>#REF!</v>
      </c>
      <c r="C35" s="254"/>
      <c r="D35" s="254"/>
      <c r="E35" s="254"/>
      <c r="F35" s="254"/>
      <c r="G35" s="254"/>
      <c r="H35" s="254"/>
      <c r="I35" s="254"/>
      <c r="J35" s="254"/>
      <c r="K35" s="254"/>
      <c r="L35" s="254"/>
      <c r="M35" s="254"/>
      <c r="N35" s="254"/>
      <c r="O35" s="254"/>
      <c r="P35" s="254"/>
      <c r="Q35" s="254"/>
      <c r="R35" s="254"/>
      <c r="S35" s="254"/>
      <c r="T35" s="254"/>
      <c r="U35" s="254"/>
      <c r="V35" s="254"/>
      <c r="W35" s="254"/>
      <c r="X35" s="254"/>
      <c r="Y35" s="254"/>
      <c r="Z35" s="254"/>
      <c r="AA35" s="254"/>
      <c r="AB35" s="254"/>
      <c r="AC35" s="254"/>
      <c r="AD35" s="254"/>
      <c r="AE35" s="254"/>
      <c r="AF35" s="254"/>
      <c r="AG35" s="254"/>
      <c r="AH35" s="254"/>
      <c r="AI35" s="254"/>
      <c r="AJ35" s="254"/>
      <c r="AK35" s="254"/>
      <c r="AL35" s="254"/>
      <c r="AM35" s="254"/>
      <c r="AN35" s="254"/>
      <c r="AO35" s="254"/>
      <c r="AP35" s="254"/>
      <c r="AQ35" s="254"/>
      <c r="AR35" s="254"/>
      <c r="AS35" s="254"/>
      <c r="AT35" s="254"/>
      <c r="AU35" s="254"/>
      <c r="AV35" s="254"/>
      <c r="AW35" s="254"/>
      <c r="AX35" s="254"/>
      <c r="AY35" s="254"/>
      <c r="AZ35" s="254"/>
      <c r="BA35" s="254"/>
      <c r="BB35" s="254"/>
      <c r="BC35" s="254"/>
      <c r="BD35" s="254"/>
      <c r="BE35" s="254"/>
      <c r="BF35" s="254"/>
      <c r="BG35" s="254"/>
      <c r="BH35" s="254"/>
      <c r="BI35" s="254"/>
      <c r="BJ35" s="254"/>
      <c r="BK35" s="254"/>
      <c r="BL35" s="254"/>
      <c r="BM35" s="254"/>
      <c r="BN35" s="254"/>
      <c r="BO35" s="254"/>
      <c r="BP35" s="254"/>
      <c r="BQ35" s="254"/>
      <c r="BR35" s="254"/>
      <c r="BS35" s="254"/>
      <c r="BT35" s="254"/>
      <c r="BU35" s="254"/>
      <c r="BV35" s="254"/>
      <c r="BW35" s="254"/>
      <c r="BX35" s="254"/>
      <c r="BY35" s="254"/>
      <c r="BZ35" s="254"/>
      <c r="CA35" s="254"/>
      <c r="CB35" s="254"/>
      <c r="CC35" s="254"/>
      <c r="CD35" s="254"/>
      <c r="CE35" s="254"/>
      <c r="CF35" s="254"/>
      <c r="CG35" s="254"/>
      <c r="CH35" s="254"/>
      <c r="CI35" s="254"/>
      <c r="CJ35" s="254"/>
      <c r="CK35" s="254"/>
      <c r="CL35" s="254"/>
      <c r="CM35" s="254"/>
      <c r="CN35" s="254"/>
      <c r="CO35" s="254"/>
      <c r="CP35" s="254"/>
      <c r="CQ35" s="254"/>
      <c r="CR35" s="254"/>
      <c r="CS35" s="254"/>
      <c r="CT35" s="254"/>
      <c r="CU35" s="254"/>
      <c r="CV35" s="254"/>
      <c r="CW35" s="254"/>
    </row>
    <row r="36" spans="1:101" x14ac:dyDescent="0.25">
      <c r="A36" s="255" t="s">
        <v>284</v>
      </c>
      <c r="B36" s="254" t="e" cm="1">
        <f t="array" aca="1" ref="B36" ca="1">TRANSPOSE(_xlfn._xlws.FILTER(INDIRECT($A36), ID_Period_End = $B$1))</f>
        <v>#REF!</v>
      </c>
      <c r="C36" s="254"/>
      <c r="D36" s="254"/>
      <c r="E36" s="254"/>
      <c r="F36" s="254"/>
      <c r="G36" s="254"/>
      <c r="H36" s="254"/>
      <c r="I36" s="254"/>
      <c r="J36" s="254"/>
      <c r="K36" s="254"/>
      <c r="L36" s="254"/>
      <c r="M36" s="254"/>
      <c r="N36" s="254"/>
      <c r="O36" s="254"/>
      <c r="P36" s="254"/>
      <c r="Q36" s="254"/>
      <c r="R36" s="254"/>
      <c r="S36" s="254"/>
      <c r="T36" s="254"/>
      <c r="U36" s="254"/>
      <c r="V36" s="254"/>
      <c r="W36" s="254"/>
      <c r="X36" s="254"/>
      <c r="Y36" s="254"/>
      <c r="Z36" s="254"/>
      <c r="AA36" s="254"/>
      <c r="AB36" s="254"/>
      <c r="AC36" s="254"/>
      <c r="AD36" s="254"/>
      <c r="AE36" s="254"/>
      <c r="AF36" s="254"/>
      <c r="AG36" s="254"/>
      <c r="AH36" s="254"/>
      <c r="AI36" s="254"/>
      <c r="AJ36" s="254"/>
      <c r="AK36" s="254"/>
      <c r="AL36" s="254"/>
      <c r="AM36" s="254"/>
      <c r="AN36" s="254"/>
      <c r="AO36" s="254"/>
      <c r="AP36" s="254"/>
      <c r="AQ36" s="254"/>
      <c r="AR36" s="254"/>
      <c r="AS36" s="254"/>
      <c r="AT36" s="254"/>
      <c r="AU36" s="254"/>
      <c r="AV36" s="254"/>
      <c r="AW36" s="254"/>
      <c r="AX36" s="254"/>
      <c r="AY36" s="254"/>
      <c r="AZ36" s="254"/>
      <c r="BA36" s="254"/>
      <c r="BB36" s="254"/>
      <c r="BC36" s="254"/>
      <c r="BD36" s="254"/>
      <c r="BE36" s="254"/>
      <c r="BF36" s="254"/>
      <c r="BG36" s="254"/>
      <c r="BH36" s="254"/>
      <c r="BI36" s="254"/>
      <c r="BJ36" s="254"/>
      <c r="BK36" s="254"/>
      <c r="BL36" s="254"/>
      <c r="BM36" s="254"/>
      <c r="BN36" s="254"/>
      <c r="BO36" s="254"/>
      <c r="BP36" s="254"/>
      <c r="BQ36" s="254"/>
      <c r="BR36" s="254"/>
      <c r="BS36" s="254"/>
      <c r="BT36" s="254"/>
      <c r="BU36" s="254"/>
      <c r="BV36" s="254"/>
      <c r="BW36" s="254"/>
      <c r="BX36" s="254"/>
      <c r="BY36" s="254"/>
      <c r="BZ36" s="254"/>
      <c r="CA36" s="254"/>
      <c r="CB36" s="254"/>
      <c r="CC36" s="254"/>
      <c r="CD36" s="254"/>
      <c r="CE36" s="254"/>
      <c r="CF36" s="254"/>
      <c r="CG36" s="254"/>
      <c r="CH36" s="254"/>
      <c r="CI36" s="254"/>
      <c r="CJ36" s="254"/>
      <c r="CK36" s="254"/>
      <c r="CL36" s="254"/>
      <c r="CM36" s="254"/>
      <c r="CN36" s="254"/>
      <c r="CO36" s="254"/>
      <c r="CP36" s="254"/>
      <c r="CQ36" s="254"/>
      <c r="CR36" s="254"/>
      <c r="CS36" s="254"/>
      <c r="CT36" s="254"/>
      <c r="CU36" s="254"/>
      <c r="CV36" s="254"/>
      <c r="CW36" s="254"/>
    </row>
    <row r="37" spans="1:101" x14ac:dyDescent="0.25">
      <c r="A37" s="255" t="s">
        <v>285</v>
      </c>
      <c r="B37" s="254" t="e" cm="1">
        <f t="array" aca="1" ref="B37" ca="1">TRANSPOSE(_xlfn._xlws.FILTER(INDIRECT($A37), ID_Period_End = $B$1))</f>
        <v>#REF!</v>
      </c>
      <c r="C37" s="254"/>
      <c r="D37" s="254"/>
      <c r="E37" s="254"/>
      <c r="F37" s="254"/>
      <c r="G37" s="254"/>
      <c r="H37" s="254"/>
      <c r="I37" s="254"/>
      <c r="J37" s="254"/>
      <c r="K37" s="254"/>
      <c r="L37" s="254"/>
      <c r="M37" s="254"/>
      <c r="N37" s="254"/>
      <c r="O37" s="254"/>
      <c r="P37" s="254"/>
      <c r="Q37" s="254"/>
      <c r="R37" s="254"/>
      <c r="S37" s="254"/>
      <c r="T37" s="254"/>
      <c r="U37" s="254"/>
      <c r="V37" s="254"/>
      <c r="W37" s="254"/>
      <c r="X37" s="254"/>
      <c r="Y37" s="254"/>
      <c r="Z37" s="254"/>
      <c r="AA37" s="254"/>
      <c r="AB37" s="254"/>
      <c r="AC37" s="254"/>
      <c r="AD37" s="254"/>
      <c r="AE37" s="254"/>
      <c r="AF37" s="254"/>
      <c r="AG37" s="254"/>
      <c r="AH37" s="254"/>
      <c r="AI37" s="254"/>
      <c r="AJ37" s="254"/>
      <c r="AK37" s="254"/>
      <c r="AL37" s="254"/>
      <c r="AM37" s="254"/>
      <c r="AN37" s="254"/>
      <c r="AO37" s="254"/>
      <c r="AP37" s="254"/>
      <c r="AQ37" s="254"/>
      <c r="AR37" s="254"/>
      <c r="AS37" s="254"/>
      <c r="AT37" s="254"/>
      <c r="AU37" s="254"/>
      <c r="AV37" s="254"/>
      <c r="AW37" s="254"/>
      <c r="AX37" s="254"/>
      <c r="AY37" s="254"/>
      <c r="AZ37" s="254"/>
      <c r="BA37" s="254"/>
      <c r="BB37" s="254"/>
      <c r="BC37" s="254"/>
      <c r="BD37" s="254"/>
      <c r="BE37" s="254"/>
      <c r="BF37" s="254"/>
      <c r="BG37" s="254"/>
      <c r="BH37" s="254"/>
      <c r="BI37" s="254"/>
      <c r="BJ37" s="254"/>
      <c r="BK37" s="254"/>
      <c r="BL37" s="254"/>
      <c r="BM37" s="254"/>
      <c r="BN37" s="254"/>
      <c r="BO37" s="254"/>
      <c r="BP37" s="254"/>
      <c r="BQ37" s="254"/>
      <c r="BR37" s="254"/>
      <c r="BS37" s="254"/>
      <c r="BT37" s="254"/>
      <c r="BU37" s="254"/>
      <c r="BV37" s="254"/>
      <c r="BW37" s="254"/>
      <c r="BX37" s="254"/>
      <c r="BY37" s="254"/>
      <c r="BZ37" s="254"/>
      <c r="CA37" s="254"/>
      <c r="CB37" s="254"/>
      <c r="CC37" s="254"/>
      <c r="CD37" s="254"/>
      <c r="CE37" s="254"/>
      <c r="CF37" s="254"/>
      <c r="CG37" s="254"/>
      <c r="CH37" s="254"/>
      <c r="CI37" s="254"/>
      <c r="CJ37" s="254"/>
      <c r="CK37" s="254"/>
      <c r="CL37" s="254"/>
      <c r="CM37" s="254"/>
      <c r="CN37" s="254"/>
      <c r="CO37" s="254"/>
      <c r="CP37" s="254"/>
      <c r="CQ37" s="254"/>
      <c r="CR37" s="254"/>
      <c r="CS37" s="254"/>
      <c r="CT37" s="254"/>
      <c r="CU37" s="254"/>
      <c r="CV37" s="254"/>
      <c r="CW37" s="254"/>
    </row>
    <row r="38" spans="1:101" x14ac:dyDescent="0.25">
      <c r="A38" s="255" t="s">
        <v>286</v>
      </c>
      <c r="B38" s="254" t="e" cm="1">
        <f t="array" aca="1" ref="B38" ca="1">TRANSPOSE(_xlfn._xlws.FILTER(INDIRECT($A38), ID_Period_End = $B$1))</f>
        <v>#REF!</v>
      </c>
      <c r="C38" s="254"/>
      <c r="D38" s="254"/>
      <c r="E38" s="254"/>
      <c r="F38" s="254"/>
      <c r="G38" s="254"/>
      <c r="H38" s="254"/>
      <c r="I38" s="254"/>
      <c r="J38" s="254"/>
      <c r="K38" s="254"/>
      <c r="L38" s="254"/>
      <c r="M38" s="254"/>
      <c r="N38" s="254"/>
      <c r="O38" s="254"/>
      <c r="P38" s="254"/>
      <c r="Q38" s="254"/>
      <c r="R38" s="254"/>
      <c r="S38" s="254"/>
      <c r="T38" s="254"/>
      <c r="U38" s="254"/>
      <c r="V38" s="254"/>
      <c r="W38" s="254"/>
      <c r="X38" s="254"/>
      <c r="Y38" s="254"/>
      <c r="Z38" s="254"/>
      <c r="AA38" s="254"/>
      <c r="AB38" s="254"/>
      <c r="AC38" s="254"/>
      <c r="AD38" s="254"/>
      <c r="AE38" s="254"/>
      <c r="AF38" s="254"/>
      <c r="AG38" s="254"/>
      <c r="AH38" s="254"/>
      <c r="AI38" s="254"/>
      <c r="AJ38" s="254"/>
      <c r="AK38" s="254"/>
      <c r="AL38" s="254"/>
      <c r="AM38" s="254"/>
      <c r="AN38" s="254"/>
      <c r="AO38" s="254"/>
      <c r="AP38" s="254"/>
      <c r="AQ38" s="254"/>
      <c r="AR38" s="254"/>
      <c r="AS38" s="254"/>
      <c r="AT38" s="254"/>
      <c r="AU38" s="254"/>
      <c r="AV38" s="254"/>
      <c r="AW38" s="254"/>
      <c r="AX38" s="254"/>
      <c r="AY38" s="254"/>
      <c r="AZ38" s="254"/>
      <c r="BA38" s="254"/>
      <c r="BB38" s="254"/>
      <c r="BC38" s="254"/>
      <c r="BD38" s="254"/>
      <c r="BE38" s="254"/>
      <c r="BF38" s="254"/>
      <c r="BG38" s="254"/>
      <c r="BH38" s="254"/>
      <c r="BI38" s="254"/>
      <c r="BJ38" s="254"/>
      <c r="BK38" s="254"/>
      <c r="BL38" s="254"/>
      <c r="BM38" s="254"/>
      <c r="BN38" s="254"/>
      <c r="BO38" s="254"/>
      <c r="BP38" s="254"/>
      <c r="BQ38" s="254"/>
      <c r="BR38" s="254"/>
      <c r="BS38" s="254"/>
      <c r="BT38" s="254"/>
      <c r="BU38" s="254"/>
      <c r="BV38" s="254"/>
      <c r="BW38" s="254"/>
      <c r="BX38" s="254"/>
      <c r="BY38" s="254"/>
      <c r="BZ38" s="254"/>
      <c r="CA38" s="254"/>
      <c r="CB38" s="254"/>
      <c r="CC38" s="254"/>
      <c r="CD38" s="254"/>
      <c r="CE38" s="254"/>
      <c r="CF38" s="254"/>
      <c r="CG38" s="254"/>
      <c r="CH38" s="254"/>
      <c r="CI38" s="254"/>
      <c r="CJ38" s="254"/>
      <c r="CK38" s="254"/>
      <c r="CL38" s="254"/>
      <c r="CM38" s="254"/>
      <c r="CN38" s="254"/>
      <c r="CO38" s="254"/>
      <c r="CP38" s="254"/>
      <c r="CQ38" s="254"/>
      <c r="CR38" s="254"/>
      <c r="CS38" s="254"/>
      <c r="CT38" s="254"/>
      <c r="CU38" s="254"/>
      <c r="CV38" s="254"/>
      <c r="CW38" s="254"/>
    </row>
    <row r="39" spans="1:101" x14ac:dyDescent="0.25">
      <c r="A39" s="255" t="s">
        <v>287</v>
      </c>
      <c r="B39" s="254" t="e" cm="1">
        <f t="array" aca="1" ref="B39" ca="1">TRANSPOSE(_xlfn._xlws.FILTER(INDIRECT($A39), ID_Period_End = $B$1))</f>
        <v>#REF!</v>
      </c>
      <c r="C39" s="254"/>
      <c r="D39" s="254"/>
      <c r="E39" s="254"/>
      <c r="F39" s="254"/>
      <c r="G39" s="254"/>
      <c r="H39" s="254"/>
      <c r="I39" s="254"/>
      <c r="J39" s="254"/>
      <c r="K39" s="254"/>
      <c r="L39" s="254"/>
      <c r="M39" s="254"/>
      <c r="N39" s="254"/>
      <c r="O39" s="254"/>
      <c r="P39" s="254"/>
      <c r="Q39" s="254"/>
      <c r="R39" s="254"/>
      <c r="S39" s="254"/>
      <c r="T39" s="254"/>
      <c r="U39" s="254"/>
      <c r="V39" s="254"/>
      <c r="W39" s="254"/>
      <c r="X39" s="254"/>
      <c r="Y39" s="254"/>
      <c r="Z39" s="254"/>
      <c r="AA39" s="254"/>
      <c r="AB39" s="254"/>
      <c r="AC39" s="254"/>
      <c r="AD39" s="254"/>
      <c r="AE39" s="254"/>
      <c r="AF39" s="254"/>
      <c r="AG39" s="254"/>
      <c r="AH39" s="254"/>
      <c r="AI39" s="254"/>
      <c r="AJ39" s="254"/>
      <c r="AK39" s="254"/>
      <c r="AL39" s="254"/>
      <c r="AM39" s="254"/>
      <c r="AN39" s="254"/>
      <c r="AO39" s="254"/>
      <c r="AP39" s="254"/>
      <c r="AQ39" s="254"/>
      <c r="AR39" s="254"/>
      <c r="AS39" s="254"/>
      <c r="AT39" s="254"/>
      <c r="AU39" s="254"/>
      <c r="AV39" s="254"/>
      <c r="AW39" s="254"/>
      <c r="AX39" s="254"/>
      <c r="AY39" s="254"/>
      <c r="AZ39" s="254"/>
      <c r="BA39" s="254"/>
      <c r="BB39" s="254"/>
      <c r="BC39" s="254"/>
      <c r="BD39" s="254"/>
      <c r="BE39" s="254"/>
      <c r="BF39" s="254"/>
      <c r="BG39" s="254"/>
      <c r="BH39" s="254"/>
      <c r="BI39" s="254"/>
      <c r="BJ39" s="254"/>
      <c r="BK39" s="254"/>
      <c r="BL39" s="254"/>
      <c r="BM39" s="254"/>
      <c r="BN39" s="254"/>
      <c r="BO39" s="254"/>
      <c r="BP39" s="254"/>
      <c r="BQ39" s="254"/>
      <c r="BR39" s="254"/>
      <c r="BS39" s="254"/>
      <c r="BT39" s="254"/>
      <c r="BU39" s="254"/>
      <c r="BV39" s="254"/>
      <c r="BW39" s="254"/>
      <c r="BX39" s="254"/>
      <c r="BY39" s="254"/>
      <c r="BZ39" s="254"/>
      <c r="CA39" s="254"/>
      <c r="CB39" s="254"/>
      <c r="CC39" s="254"/>
      <c r="CD39" s="254"/>
      <c r="CE39" s="254"/>
      <c r="CF39" s="254"/>
      <c r="CG39" s="254"/>
      <c r="CH39" s="254"/>
      <c r="CI39" s="254"/>
      <c r="CJ39" s="254"/>
      <c r="CK39" s="254"/>
      <c r="CL39" s="254"/>
      <c r="CM39" s="254"/>
      <c r="CN39" s="254"/>
      <c r="CO39" s="254"/>
      <c r="CP39" s="254"/>
      <c r="CQ39" s="254"/>
      <c r="CR39" s="254"/>
      <c r="CS39" s="254"/>
      <c r="CT39" s="254"/>
      <c r="CU39" s="254"/>
      <c r="CV39" s="254"/>
      <c r="CW39" s="254"/>
    </row>
    <row r="40" spans="1:101" x14ac:dyDescent="0.25">
      <c r="A40" s="255" t="s">
        <v>420</v>
      </c>
      <c r="B40" s="254" t="e" cm="1">
        <f t="array" aca="1" ref="B40" ca="1">TRANSPOSE(_xlfn._xlws.FILTER(INDIRECT($A40), ID_Period_End = $B$1))</f>
        <v>#REF!</v>
      </c>
      <c r="C40" s="254"/>
      <c r="D40" s="254"/>
      <c r="E40" s="254"/>
      <c r="F40" s="254"/>
      <c r="G40" s="254"/>
      <c r="H40" s="254"/>
      <c r="I40" s="254"/>
      <c r="J40" s="254"/>
      <c r="K40" s="254"/>
      <c r="L40" s="254"/>
      <c r="M40" s="254"/>
      <c r="N40" s="254"/>
      <c r="O40" s="254"/>
      <c r="P40" s="254"/>
      <c r="Q40" s="254"/>
      <c r="R40" s="254"/>
      <c r="S40" s="254"/>
      <c r="T40" s="254"/>
      <c r="U40" s="254"/>
      <c r="V40" s="254"/>
      <c r="W40" s="254"/>
      <c r="X40" s="254"/>
      <c r="Y40" s="254"/>
      <c r="Z40" s="254"/>
      <c r="AA40" s="254"/>
      <c r="AB40" s="254"/>
      <c r="AC40" s="254"/>
      <c r="AD40" s="254"/>
      <c r="AE40" s="254"/>
      <c r="AF40" s="254"/>
      <c r="AG40" s="254"/>
      <c r="AH40" s="254"/>
      <c r="AI40" s="254"/>
      <c r="AJ40" s="254"/>
      <c r="AK40" s="254"/>
      <c r="AL40" s="254"/>
      <c r="AM40" s="254"/>
      <c r="AN40" s="254"/>
      <c r="AO40" s="254"/>
      <c r="AP40" s="254"/>
      <c r="AQ40" s="254"/>
      <c r="AR40" s="254"/>
      <c r="AS40" s="254"/>
      <c r="AT40" s="254"/>
      <c r="AU40" s="254"/>
      <c r="AV40" s="254"/>
      <c r="AW40" s="254"/>
      <c r="AX40" s="254"/>
      <c r="AY40" s="254"/>
      <c r="AZ40" s="254"/>
      <c r="BA40" s="254"/>
      <c r="BB40" s="254"/>
      <c r="BC40" s="254"/>
      <c r="BD40" s="254"/>
      <c r="BE40" s="254"/>
      <c r="BF40" s="254"/>
      <c r="BG40" s="254"/>
      <c r="BH40" s="254"/>
      <c r="BI40" s="254"/>
      <c r="BJ40" s="254"/>
      <c r="BK40" s="254"/>
      <c r="BL40" s="254"/>
      <c r="BM40" s="254"/>
      <c r="BN40" s="254"/>
      <c r="BO40" s="254"/>
      <c r="BP40" s="254"/>
      <c r="BQ40" s="254"/>
      <c r="BR40" s="254"/>
      <c r="BS40" s="254"/>
      <c r="BT40" s="254"/>
      <c r="BU40" s="254"/>
      <c r="BV40" s="254"/>
      <c r="BW40" s="254"/>
      <c r="BX40" s="254"/>
      <c r="BY40" s="254"/>
      <c r="BZ40" s="254"/>
      <c r="CA40" s="254"/>
      <c r="CB40" s="254"/>
      <c r="CC40" s="254"/>
      <c r="CD40" s="254"/>
      <c r="CE40" s="254"/>
      <c r="CF40" s="254"/>
      <c r="CG40" s="254"/>
      <c r="CH40" s="254"/>
      <c r="CI40" s="254"/>
      <c r="CJ40" s="254"/>
      <c r="CK40" s="254"/>
      <c r="CL40" s="254"/>
      <c r="CM40" s="254"/>
      <c r="CN40" s="254"/>
      <c r="CO40" s="254"/>
      <c r="CP40" s="254"/>
      <c r="CQ40" s="254"/>
      <c r="CR40" s="254"/>
      <c r="CS40" s="254"/>
      <c r="CT40" s="254"/>
      <c r="CU40" s="254"/>
      <c r="CV40" s="254"/>
      <c r="CW40" s="254"/>
    </row>
    <row r="41" spans="1:101" x14ac:dyDescent="0.25">
      <c r="A41" s="255" t="s">
        <v>288</v>
      </c>
      <c r="B41" s="254" t="e" cm="1">
        <f t="array" aca="1" ref="B41" ca="1">TRANSPOSE(_xlfn._xlws.FILTER(INDIRECT($A41), ID_Period_End = $B$1))</f>
        <v>#REF!</v>
      </c>
      <c r="C41" s="254"/>
      <c r="D41" s="254"/>
      <c r="E41" s="254"/>
      <c r="F41" s="254"/>
      <c r="G41" s="254"/>
      <c r="H41" s="254"/>
      <c r="I41" s="254"/>
      <c r="J41" s="254"/>
      <c r="K41" s="254"/>
      <c r="L41" s="254"/>
      <c r="M41" s="254"/>
      <c r="N41" s="254"/>
      <c r="O41" s="254"/>
      <c r="P41" s="254"/>
      <c r="Q41" s="254"/>
      <c r="R41" s="254"/>
      <c r="S41" s="254"/>
      <c r="T41" s="254"/>
      <c r="U41" s="254"/>
      <c r="V41" s="254"/>
      <c r="W41" s="254"/>
      <c r="X41" s="254"/>
      <c r="Y41" s="254"/>
      <c r="Z41" s="254"/>
      <c r="AA41" s="254"/>
      <c r="AB41" s="254"/>
      <c r="AC41" s="254"/>
      <c r="AD41" s="254"/>
      <c r="AE41" s="254"/>
      <c r="AF41" s="254"/>
      <c r="AG41" s="254"/>
      <c r="AH41" s="254"/>
      <c r="AI41" s="254"/>
      <c r="AJ41" s="254"/>
      <c r="AK41" s="254"/>
      <c r="AL41" s="254"/>
      <c r="AM41" s="254"/>
      <c r="AN41" s="254"/>
      <c r="AO41" s="254"/>
      <c r="AP41" s="254"/>
      <c r="AQ41" s="254"/>
      <c r="AR41" s="254"/>
      <c r="AS41" s="254"/>
      <c r="AT41" s="254"/>
      <c r="AU41" s="254"/>
      <c r="AV41" s="254"/>
      <c r="AW41" s="254"/>
      <c r="AX41" s="254"/>
      <c r="AY41" s="254"/>
      <c r="AZ41" s="254"/>
      <c r="BA41" s="254"/>
      <c r="BB41" s="254"/>
      <c r="BC41" s="254"/>
      <c r="BD41" s="254"/>
      <c r="BE41" s="254"/>
      <c r="BF41" s="254"/>
      <c r="BG41" s="254"/>
      <c r="BH41" s="254"/>
      <c r="BI41" s="254"/>
      <c r="BJ41" s="254"/>
      <c r="BK41" s="254"/>
      <c r="BL41" s="254"/>
      <c r="BM41" s="254"/>
      <c r="BN41" s="254"/>
      <c r="BO41" s="254"/>
      <c r="BP41" s="254"/>
      <c r="BQ41" s="254"/>
      <c r="BR41" s="254"/>
      <c r="BS41" s="254"/>
      <c r="BT41" s="254"/>
      <c r="BU41" s="254"/>
      <c r="BV41" s="254"/>
      <c r="BW41" s="254"/>
      <c r="BX41" s="254"/>
      <c r="BY41" s="254"/>
      <c r="BZ41" s="254"/>
      <c r="CA41" s="254"/>
      <c r="CB41" s="254"/>
      <c r="CC41" s="254"/>
      <c r="CD41" s="254"/>
      <c r="CE41" s="254"/>
      <c r="CF41" s="254"/>
      <c r="CG41" s="254"/>
      <c r="CH41" s="254"/>
      <c r="CI41" s="254"/>
      <c r="CJ41" s="254"/>
      <c r="CK41" s="254"/>
      <c r="CL41" s="254"/>
      <c r="CM41" s="254"/>
      <c r="CN41" s="254"/>
      <c r="CO41" s="254"/>
      <c r="CP41" s="254"/>
      <c r="CQ41" s="254"/>
      <c r="CR41" s="254"/>
      <c r="CS41" s="254"/>
      <c r="CT41" s="254"/>
      <c r="CU41" s="254"/>
      <c r="CV41" s="254"/>
      <c r="CW41" s="254"/>
    </row>
    <row r="42" spans="1:101" x14ac:dyDescent="0.25">
      <c r="A42" s="255" t="s">
        <v>289</v>
      </c>
      <c r="B42" s="254" t="e" cm="1">
        <f t="array" aca="1" ref="B42" ca="1">TRANSPOSE(_xlfn._xlws.FILTER(INDIRECT($A42), ID_Period_End = $B$1))</f>
        <v>#REF!</v>
      </c>
      <c r="C42" s="254"/>
      <c r="D42" s="254"/>
      <c r="E42" s="254"/>
      <c r="F42" s="254"/>
      <c r="G42" s="254"/>
      <c r="H42" s="254"/>
      <c r="I42" s="254"/>
      <c r="J42" s="254"/>
      <c r="K42" s="254"/>
      <c r="L42" s="254"/>
      <c r="M42" s="254"/>
      <c r="N42" s="254"/>
      <c r="O42" s="254"/>
      <c r="P42" s="254"/>
      <c r="Q42" s="254"/>
      <c r="R42" s="254"/>
      <c r="S42" s="254"/>
      <c r="T42" s="254"/>
      <c r="U42" s="254"/>
      <c r="V42" s="254"/>
      <c r="W42" s="254"/>
      <c r="X42" s="254"/>
      <c r="Y42" s="254"/>
      <c r="Z42" s="254"/>
      <c r="AA42" s="254"/>
      <c r="AB42" s="254"/>
      <c r="AC42" s="254"/>
      <c r="AD42" s="254"/>
      <c r="AE42" s="254"/>
      <c r="AF42" s="254"/>
      <c r="AG42" s="254"/>
      <c r="AH42" s="254"/>
      <c r="AI42" s="254"/>
      <c r="AJ42" s="254"/>
      <c r="AK42" s="254"/>
      <c r="AL42" s="254"/>
      <c r="AM42" s="254"/>
      <c r="AN42" s="254"/>
      <c r="AO42" s="254"/>
      <c r="AP42" s="254"/>
      <c r="AQ42" s="254"/>
      <c r="AR42" s="254"/>
      <c r="AS42" s="254"/>
      <c r="AT42" s="254"/>
      <c r="AU42" s="254"/>
      <c r="AV42" s="254"/>
      <c r="AW42" s="254"/>
      <c r="AX42" s="254"/>
      <c r="AY42" s="254"/>
      <c r="AZ42" s="254"/>
      <c r="BA42" s="254"/>
      <c r="BB42" s="254"/>
      <c r="BC42" s="254"/>
      <c r="BD42" s="254"/>
      <c r="BE42" s="254"/>
      <c r="BF42" s="254"/>
      <c r="BG42" s="254"/>
      <c r="BH42" s="254"/>
      <c r="BI42" s="254"/>
      <c r="BJ42" s="254"/>
      <c r="BK42" s="254"/>
      <c r="BL42" s="254"/>
      <c r="BM42" s="254"/>
      <c r="BN42" s="254"/>
      <c r="BO42" s="254"/>
      <c r="BP42" s="254"/>
      <c r="BQ42" s="254"/>
      <c r="BR42" s="254"/>
      <c r="BS42" s="254"/>
      <c r="BT42" s="254"/>
      <c r="BU42" s="254"/>
      <c r="BV42" s="254"/>
      <c r="BW42" s="254"/>
      <c r="BX42" s="254"/>
      <c r="BY42" s="254"/>
      <c r="BZ42" s="254"/>
      <c r="CA42" s="254"/>
      <c r="CB42" s="254"/>
      <c r="CC42" s="254"/>
      <c r="CD42" s="254"/>
      <c r="CE42" s="254"/>
      <c r="CF42" s="254"/>
      <c r="CG42" s="254"/>
      <c r="CH42" s="254"/>
      <c r="CI42" s="254"/>
      <c r="CJ42" s="254"/>
      <c r="CK42" s="254"/>
      <c r="CL42" s="254"/>
      <c r="CM42" s="254"/>
      <c r="CN42" s="254"/>
      <c r="CO42" s="254"/>
      <c r="CP42" s="254"/>
      <c r="CQ42" s="254"/>
      <c r="CR42" s="254"/>
      <c r="CS42" s="254"/>
      <c r="CT42" s="254"/>
      <c r="CU42" s="254"/>
      <c r="CV42" s="254"/>
      <c r="CW42" s="254"/>
    </row>
    <row r="43" spans="1:101" x14ac:dyDescent="0.25">
      <c r="A43" s="255" t="s">
        <v>290</v>
      </c>
      <c r="B43" s="254" t="e" cm="1">
        <f t="array" aca="1" ref="B43" ca="1">TRANSPOSE(_xlfn._xlws.FILTER(INDIRECT($A43), ID_Period_End = $B$1))</f>
        <v>#REF!</v>
      </c>
      <c r="C43" s="254"/>
      <c r="D43" s="254"/>
      <c r="E43" s="254"/>
      <c r="F43" s="254"/>
      <c r="G43" s="254"/>
      <c r="H43" s="254"/>
      <c r="I43" s="254"/>
      <c r="J43" s="254"/>
      <c r="K43" s="254"/>
      <c r="L43" s="254"/>
      <c r="M43" s="254"/>
      <c r="N43" s="254"/>
      <c r="O43" s="254"/>
      <c r="P43" s="254"/>
      <c r="Q43" s="254"/>
      <c r="R43" s="254"/>
      <c r="S43" s="254"/>
      <c r="T43" s="254"/>
      <c r="U43" s="254"/>
      <c r="V43" s="254"/>
      <c r="W43" s="254"/>
      <c r="X43" s="254"/>
      <c r="Y43" s="254"/>
      <c r="Z43" s="254"/>
      <c r="AA43" s="254"/>
      <c r="AB43" s="254"/>
      <c r="AC43" s="254"/>
      <c r="AD43" s="254"/>
      <c r="AE43" s="254"/>
      <c r="AF43" s="254"/>
      <c r="AG43" s="254"/>
      <c r="AH43" s="254"/>
      <c r="AI43" s="254"/>
      <c r="AJ43" s="254"/>
      <c r="AK43" s="254"/>
      <c r="AL43" s="254"/>
      <c r="AM43" s="254"/>
      <c r="AN43" s="254"/>
      <c r="AO43" s="254"/>
      <c r="AP43" s="254"/>
      <c r="AQ43" s="254"/>
      <c r="AR43" s="254"/>
      <c r="AS43" s="254"/>
      <c r="AT43" s="254"/>
      <c r="AU43" s="254"/>
      <c r="AV43" s="254"/>
      <c r="AW43" s="254"/>
      <c r="AX43" s="254"/>
      <c r="AY43" s="254"/>
      <c r="AZ43" s="254"/>
      <c r="BA43" s="254"/>
      <c r="BB43" s="254"/>
      <c r="BC43" s="254"/>
      <c r="BD43" s="254"/>
      <c r="BE43" s="254"/>
      <c r="BF43" s="254"/>
      <c r="BG43" s="254"/>
      <c r="BH43" s="254"/>
      <c r="BI43" s="254"/>
      <c r="BJ43" s="254"/>
      <c r="BK43" s="254"/>
      <c r="BL43" s="254"/>
      <c r="BM43" s="254"/>
      <c r="BN43" s="254"/>
      <c r="BO43" s="254"/>
      <c r="BP43" s="254"/>
      <c r="BQ43" s="254"/>
      <c r="BR43" s="254"/>
      <c r="BS43" s="254"/>
      <c r="BT43" s="254"/>
      <c r="BU43" s="254"/>
      <c r="BV43" s="254"/>
      <c r="BW43" s="254"/>
      <c r="BX43" s="254"/>
      <c r="BY43" s="254"/>
      <c r="BZ43" s="254"/>
      <c r="CA43" s="254"/>
      <c r="CB43" s="254"/>
      <c r="CC43" s="254"/>
      <c r="CD43" s="254"/>
      <c r="CE43" s="254"/>
      <c r="CF43" s="254"/>
      <c r="CG43" s="254"/>
      <c r="CH43" s="254"/>
      <c r="CI43" s="254"/>
      <c r="CJ43" s="254"/>
      <c r="CK43" s="254"/>
      <c r="CL43" s="254"/>
      <c r="CM43" s="254"/>
      <c r="CN43" s="254"/>
      <c r="CO43" s="254"/>
      <c r="CP43" s="254"/>
      <c r="CQ43" s="254"/>
      <c r="CR43" s="254"/>
      <c r="CS43" s="254"/>
      <c r="CT43" s="254"/>
      <c r="CU43" s="254"/>
      <c r="CV43" s="254"/>
      <c r="CW43" s="254"/>
    </row>
    <row r="44" spans="1:101" x14ac:dyDescent="0.25">
      <c r="A44" s="255" t="s">
        <v>291</v>
      </c>
      <c r="B44" s="254" t="e" cm="1">
        <f t="array" aca="1" ref="B44" ca="1">TRANSPOSE(_xlfn._xlws.FILTER(INDIRECT($A44), ID_Period_End = $B$1))</f>
        <v>#REF!</v>
      </c>
      <c r="C44" s="254"/>
      <c r="D44" s="254"/>
      <c r="E44" s="254"/>
      <c r="F44" s="254"/>
      <c r="G44" s="254"/>
      <c r="H44" s="254"/>
      <c r="I44" s="254"/>
      <c r="J44" s="254"/>
      <c r="K44" s="254"/>
      <c r="L44" s="254"/>
      <c r="M44" s="254"/>
      <c r="N44" s="254"/>
      <c r="O44" s="254"/>
      <c r="P44" s="254"/>
      <c r="Q44" s="254"/>
      <c r="R44" s="254"/>
      <c r="S44" s="254"/>
      <c r="T44" s="254"/>
      <c r="U44" s="254"/>
      <c r="V44" s="254"/>
      <c r="W44" s="254"/>
      <c r="X44" s="254"/>
      <c r="Y44" s="254"/>
      <c r="Z44" s="254"/>
      <c r="AA44" s="254"/>
      <c r="AB44" s="254"/>
      <c r="AC44" s="254"/>
      <c r="AD44" s="254"/>
      <c r="AE44" s="254"/>
      <c r="AF44" s="254"/>
      <c r="AG44" s="254"/>
      <c r="AH44" s="254"/>
      <c r="AI44" s="254"/>
      <c r="AJ44" s="254"/>
      <c r="AK44" s="254"/>
      <c r="AL44" s="254"/>
      <c r="AM44" s="254"/>
      <c r="AN44" s="254"/>
      <c r="AO44" s="254"/>
      <c r="AP44" s="254"/>
      <c r="AQ44" s="254"/>
      <c r="AR44" s="254"/>
      <c r="AS44" s="254"/>
      <c r="AT44" s="254"/>
      <c r="AU44" s="254"/>
      <c r="AV44" s="254"/>
      <c r="AW44" s="254"/>
      <c r="AX44" s="254"/>
      <c r="AY44" s="254"/>
      <c r="AZ44" s="254"/>
      <c r="BA44" s="254"/>
      <c r="BB44" s="254"/>
      <c r="BC44" s="254"/>
      <c r="BD44" s="254"/>
      <c r="BE44" s="254"/>
      <c r="BF44" s="254"/>
      <c r="BG44" s="254"/>
      <c r="BH44" s="254"/>
      <c r="BI44" s="254"/>
      <c r="BJ44" s="254"/>
      <c r="BK44" s="254"/>
      <c r="BL44" s="254"/>
      <c r="BM44" s="254"/>
      <c r="BN44" s="254"/>
      <c r="BO44" s="254"/>
      <c r="BP44" s="254"/>
      <c r="BQ44" s="254"/>
      <c r="BR44" s="254"/>
      <c r="BS44" s="254"/>
      <c r="BT44" s="254"/>
      <c r="BU44" s="254"/>
      <c r="BV44" s="254"/>
      <c r="BW44" s="254"/>
      <c r="BX44" s="254"/>
      <c r="BY44" s="254"/>
      <c r="BZ44" s="254"/>
      <c r="CA44" s="254"/>
      <c r="CB44" s="254"/>
      <c r="CC44" s="254"/>
      <c r="CD44" s="254"/>
      <c r="CE44" s="254"/>
      <c r="CF44" s="254"/>
      <c r="CG44" s="254"/>
      <c r="CH44" s="254"/>
      <c r="CI44" s="254"/>
      <c r="CJ44" s="254"/>
      <c r="CK44" s="254"/>
      <c r="CL44" s="254"/>
      <c r="CM44" s="254"/>
      <c r="CN44" s="254"/>
      <c r="CO44" s="254"/>
      <c r="CP44" s="254"/>
      <c r="CQ44" s="254"/>
      <c r="CR44" s="254"/>
      <c r="CS44" s="254"/>
      <c r="CT44" s="254"/>
      <c r="CU44" s="254"/>
      <c r="CV44" s="254"/>
      <c r="CW44" s="254"/>
    </row>
    <row r="45" spans="1:101" x14ac:dyDescent="0.25">
      <c r="A45" s="255" t="s">
        <v>292</v>
      </c>
      <c r="B45" s="254" t="e" cm="1">
        <f t="array" aca="1" ref="B45" ca="1">TRANSPOSE(_xlfn._xlws.FILTER(INDIRECT($A45), ID_Period_End = $B$1))</f>
        <v>#REF!</v>
      </c>
      <c r="C45" s="254"/>
      <c r="D45" s="254"/>
      <c r="E45" s="254"/>
      <c r="F45" s="254"/>
      <c r="G45" s="254"/>
      <c r="H45" s="254"/>
      <c r="I45" s="254"/>
      <c r="J45" s="254"/>
      <c r="K45" s="254"/>
      <c r="L45" s="254"/>
      <c r="M45" s="254"/>
      <c r="N45" s="254"/>
      <c r="O45" s="254"/>
      <c r="P45" s="254"/>
      <c r="Q45" s="254"/>
      <c r="R45" s="254"/>
      <c r="S45" s="254"/>
      <c r="T45" s="254"/>
      <c r="U45" s="254"/>
      <c r="V45" s="254"/>
      <c r="W45" s="254"/>
      <c r="X45" s="254"/>
      <c r="Y45" s="254"/>
      <c r="Z45" s="254"/>
      <c r="AA45" s="254"/>
      <c r="AB45" s="254"/>
      <c r="AC45" s="254"/>
      <c r="AD45" s="254"/>
      <c r="AE45" s="254"/>
      <c r="AF45" s="254"/>
      <c r="AG45" s="254"/>
      <c r="AH45" s="254"/>
      <c r="AI45" s="254"/>
      <c r="AJ45" s="254"/>
      <c r="AK45" s="254"/>
      <c r="AL45" s="254"/>
      <c r="AM45" s="254"/>
      <c r="AN45" s="254"/>
      <c r="AO45" s="254"/>
      <c r="AP45" s="254"/>
      <c r="AQ45" s="254"/>
      <c r="AR45" s="254"/>
      <c r="AS45" s="254"/>
      <c r="AT45" s="254"/>
      <c r="AU45" s="254"/>
      <c r="AV45" s="254"/>
      <c r="AW45" s="254"/>
      <c r="AX45" s="254"/>
      <c r="AY45" s="254"/>
      <c r="AZ45" s="254"/>
      <c r="BA45" s="254"/>
      <c r="BB45" s="254"/>
      <c r="BC45" s="254"/>
      <c r="BD45" s="254"/>
      <c r="BE45" s="254"/>
      <c r="BF45" s="254"/>
      <c r="BG45" s="254"/>
      <c r="BH45" s="254"/>
      <c r="BI45" s="254"/>
      <c r="BJ45" s="254"/>
      <c r="BK45" s="254"/>
      <c r="BL45" s="254"/>
      <c r="BM45" s="254"/>
      <c r="BN45" s="254"/>
      <c r="BO45" s="254"/>
      <c r="BP45" s="254"/>
      <c r="BQ45" s="254"/>
      <c r="BR45" s="254"/>
      <c r="BS45" s="254"/>
      <c r="BT45" s="254"/>
      <c r="BU45" s="254"/>
      <c r="BV45" s="254"/>
      <c r="BW45" s="254"/>
      <c r="BX45" s="254"/>
      <c r="BY45" s="254"/>
      <c r="BZ45" s="254"/>
      <c r="CA45" s="254"/>
      <c r="CB45" s="254"/>
      <c r="CC45" s="254"/>
      <c r="CD45" s="254"/>
      <c r="CE45" s="254"/>
      <c r="CF45" s="254"/>
      <c r="CG45" s="254"/>
      <c r="CH45" s="254"/>
      <c r="CI45" s="254"/>
      <c r="CJ45" s="254"/>
      <c r="CK45" s="254"/>
      <c r="CL45" s="254"/>
      <c r="CM45" s="254"/>
      <c r="CN45" s="254"/>
      <c r="CO45" s="254"/>
      <c r="CP45" s="254"/>
      <c r="CQ45" s="254"/>
      <c r="CR45" s="254"/>
      <c r="CS45" s="254"/>
      <c r="CT45" s="254"/>
      <c r="CU45" s="254"/>
      <c r="CV45" s="254"/>
      <c r="CW45" s="254"/>
    </row>
    <row r="46" spans="1:101" x14ac:dyDescent="0.25">
      <c r="A46" s="255" t="s">
        <v>293</v>
      </c>
      <c r="B46" s="254" t="e" cm="1">
        <f t="array" aca="1" ref="B46" ca="1">TRANSPOSE(_xlfn._xlws.FILTER(INDIRECT($A46), ID_Period_End = $B$1))</f>
        <v>#REF!</v>
      </c>
      <c r="C46" s="254"/>
      <c r="D46" s="254"/>
      <c r="E46" s="254"/>
      <c r="F46" s="254"/>
      <c r="G46" s="254"/>
      <c r="H46" s="254"/>
      <c r="I46" s="254"/>
      <c r="J46" s="254"/>
      <c r="K46" s="254"/>
      <c r="L46" s="254"/>
      <c r="M46" s="254"/>
      <c r="N46" s="254"/>
      <c r="O46" s="254"/>
      <c r="P46" s="254"/>
      <c r="Q46" s="254"/>
      <c r="R46" s="254"/>
      <c r="S46" s="254"/>
      <c r="T46" s="254"/>
      <c r="U46" s="254"/>
      <c r="V46" s="254"/>
      <c r="W46" s="254"/>
      <c r="X46" s="254"/>
      <c r="Y46" s="254"/>
      <c r="Z46" s="254"/>
      <c r="AA46" s="254"/>
      <c r="AB46" s="254"/>
      <c r="AC46" s="254"/>
      <c r="AD46" s="254"/>
      <c r="AE46" s="254"/>
      <c r="AF46" s="254"/>
      <c r="AG46" s="254"/>
      <c r="AH46" s="254"/>
      <c r="AI46" s="254"/>
      <c r="AJ46" s="254"/>
      <c r="AK46" s="254"/>
      <c r="AL46" s="254"/>
      <c r="AM46" s="254"/>
      <c r="AN46" s="254"/>
      <c r="AO46" s="254"/>
      <c r="AP46" s="254"/>
      <c r="AQ46" s="254"/>
      <c r="AR46" s="254"/>
      <c r="AS46" s="254"/>
      <c r="AT46" s="254"/>
      <c r="AU46" s="254"/>
      <c r="AV46" s="254"/>
      <c r="AW46" s="254"/>
      <c r="AX46" s="254"/>
      <c r="AY46" s="254"/>
      <c r="AZ46" s="254"/>
      <c r="BA46" s="254"/>
      <c r="BB46" s="254"/>
      <c r="BC46" s="254"/>
      <c r="BD46" s="254"/>
      <c r="BE46" s="254"/>
      <c r="BF46" s="254"/>
      <c r="BG46" s="254"/>
      <c r="BH46" s="254"/>
      <c r="BI46" s="254"/>
      <c r="BJ46" s="254"/>
      <c r="BK46" s="254"/>
      <c r="BL46" s="254"/>
      <c r="BM46" s="254"/>
      <c r="BN46" s="254"/>
      <c r="BO46" s="254"/>
      <c r="BP46" s="254"/>
      <c r="BQ46" s="254"/>
      <c r="BR46" s="254"/>
      <c r="BS46" s="254"/>
      <c r="BT46" s="254"/>
      <c r="BU46" s="254"/>
      <c r="BV46" s="254"/>
      <c r="BW46" s="254"/>
      <c r="BX46" s="254"/>
      <c r="BY46" s="254"/>
      <c r="BZ46" s="254"/>
      <c r="CA46" s="254"/>
      <c r="CB46" s="254"/>
      <c r="CC46" s="254"/>
      <c r="CD46" s="254"/>
      <c r="CE46" s="254"/>
      <c r="CF46" s="254"/>
      <c r="CG46" s="254"/>
      <c r="CH46" s="254"/>
      <c r="CI46" s="254"/>
      <c r="CJ46" s="254"/>
      <c r="CK46" s="254"/>
      <c r="CL46" s="254"/>
      <c r="CM46" s="254"/>
      <c r="CN46" s="254"/>
      <c r="CO46" s="254"/>
      <c r="CP46" s="254"/>
      <c r="CQ46" s="254"/>
      <c r="CR46" s="254"/>
      <c r="CS46" s="254"/>
      <c r="CT46" s="254"/>
      <c r="CU46" s="254"/>
      <c r="CV46" s="254"/>
      <c r="CW46" s="254"/>
    </row>
    <row r="47" spans="1:101" x14ac:dyDescent="0.25">
      <c r="A47" s="255" t="s">
        <v>294</v>
      </c>
      <c r="B47" s="254" t="e" cm="1">
        <f t="array" aca="1" ref="B47" ca="1">TRANSPOSE(_xlfn._xlws.FILTER(INDIRECT($A47), ID_Period_End = $B$1))</f>
        <v>#REF!</v>
      </c>
      <c r="C47" s="254"/>
      <c r="D47" s="254"/>
      <c r="E47" s="254"/>
      <c r="F47" s="254"/>
      <c r="G47" s="254"/>
      <c r="H47" s="254"/>
      <c r="I47" s="254"/>
      <c r="J47" s="254"/>
      <c r="K47" s="254"/>
      <c r="L47" s="254"/>
      <c r="M47" s="254"/>
      <c r="N47" s="254"/>
      <c r="O47" s="254"/>
      <c r="P47" s="254"/>
      <c r="Q47" s="254"/>
      <c r="R47" s="254"/>
      <c r="S47" s="254"/>
      <c r="T47" s="254"/>
      <c r="U47" s="254"/>
      <c r="V47" s="254"/>
      <c r="W47" s="254"/>
      <c r="X47" s="254"/>
      <c r="Y47" s="254"/>
      <c r="Z47" s="254"/>
      <c r="AA47" s="254"/>
      <c r="AB47" s="254"/>
      <c r="AC47" s="254"/>
      <c r="AD47" s="254"/>
      <c r="AE47" s="254"/>
      <c r="AF47" s="254"/>
      <c r="AG47" s="254"/>
      <c r="AH47" s="254"/>
      <c r="AI47" s="254"/>
      <c r="AJ47" s="254"/>
      <c r="AK47" s="254"/>
      <c r="AL47" s="254"/>
      <c r="AM47" s="254"/>
      <c r="AN47" s="254"/>
      <c r="AO47" s="254"/>
      <c r="AP47" s="254"/>
      <c r="AQ47" s="254"/>
      <c r="AR47" s="254"/>
      <c r="AS47" s="254"/>
      <c r="AT47" s="254"/>
      <c r="AU47" s="254"/>
      <c r="AV47" s="254"/>
      <c r="AW47" s="254"/>
      <c r="AX47" s="254"/>
      <c r="AY47" s="254"/>
      <c r="AZ47" s="254"/>
      <c r="BA47" s="254"/>
      <c r="BB47" s="254"/>
      <c r="BC47" s="254"/>
      <c r="BD47" s="254"/>
      <c r="BE47" s="254"/>
      <c r="BF47" s="254"/>
      <c r="BG47" s="254"/>
      <c r="BH47" s="254"/>
      <c r="BI47" s="254"/>
      <c r="BJ47" s="254"/>
      <c r="BK47" s="254"/>
      <c r="BL47" s="254"/>
      <c r="BM47" s="254"/>
      <c r="BN47" s="254"/>
      <c r="BO47" s="254"/>
      <c r="BP47" s="254"/>
      <c r="BQ47" s="254"/>
      <c r="BR47" s="254"/>
      <c r="BS47" s="254"/>
      <c r="BT47" s="254"/>
      <c r="BU47" s="254"/>
      <c r="BV47" s="254"/>
      <c r="BW47" s="254"/>
      <c r="BX47" s="254"/>
      <c r="BY47" s="254"/>
      <c r="BZ47" s="254"/>
      <c r="CA47" s="254"/>
      <c r="CB47" s="254"/>
      <c r="CC47" s="254"/>
      <c r="CD47" s="254"/>
      <c r="CE47" s="254"/>
      <c r="CF47" s="254"/>
      <c r="CG47" s="254"/>
      <c r="CH47" s="254"/>
      <c r="CI47" s="254"/>
      <c r="CJ47" s="254"/>
      <c r="CK47" s="254"/>
      <c r="CL47" s="254"/>
      <c r="CM47" s="254"/>
      <c r="CN47" s="254"/>
      <c r="CO47" s="254"/>
      <c r="CP47" s="254"/>
      <c r="CQ47" s="254"/>
      <c r="CR47" s="254"/>
      <c r="CS47" s="254"/>
      <c r="CT47" s="254"/>
      <c r="CU47" s="254"/>
      <c r="CV47" s="254"/>
      <c r="CW47" s="254"/>
    </row>
    <row r="48" spans="1:101" x14ac:dyDescent="0.25">
      <c r="A48" s="255" t="s">
        <v>295</v>
      </c>
      <c r="B48" s="254" t="e" cm="1">
        <f t="array" aca="1" ref="B48" ca="1">TRANSPOSE(_xlfn._xlws.FILTER(INDIRECT($A48), ID_Period_End = $B$1))</f>
        <v>#REF!</v>
      </c>
      <c r="C48" s="254"/>
      <c r="D48" s="254"/>
      <c r="E48" s="254"/>
      <c r="F48" s="254"/>
      <c r="G48" s="254"/>
      <c r="H48" s="254"/>
      <c r="I48" s="254"/>
      <c r="J48" s="254"/>
      <c r="K48" s="254"/>
      <c r="L48" s="254"/>
      <c r="M48" s="254"/>
      <c r="N48" s="254"/>
      <c r="O48" s="254"/>
      <c r="P48" s="254"/>
      <c r="Q48" s="254"/>
      <c r="R48" s="254"/>
      <c r="S48" s="254"/>
      <c r="T48" s="254"/>
      <c r="U48" s="254"/>
      <c r="V48" s="254"/>
      <c r="W48" s="254"/>
      <c r="X48" s="254"/>
      <c r="Y48" s="254"/>
      <c r="Z48" s="254"/>
      <c r="AA48" s="254"/>
      <c r="AB48" s="254"/>
      <c r="AC48" s="254"/>
      <c r="AD48" s="254"/>
      <c r="AE48" s="254"/>
      <c r="AF48" s="254"/>
      <c r="AG48" s="254"/>
      <c r="AH48" s="254"/>
      <c r="AI48" s="254"/>
      <c r="AJ48" s="254"/>
      <c r="AK48" s="254"/>
      <c r="AL48" s="254"/>
      <c r="AM48" s="254"/>
      <c r="AN48" s="254"/>
      <c r="AO48" s="254"/>
      <c r="AP48" s="254"/>
      <c r="AQ48" s="254"/>
      <c r="AR48" s="254"/>
      <c r="AS48" s="254"/>
      <c r="AT48" s="254"/>
      <c r="AU48" s="254"/>
      <c r="AV48" s="254"/>
      <c r="AW48" s="254"/>
      <c r="AX48" s="254"/>
      <c r="AY48" s="254"/>
      <c r="AZ48" s="254"/>
      <c r="BA48" s="254"/>
      <c r="BB48" s="254"/>
      <c r="BC48" s="254"/>
      <c r="BD48" s="254"/>
      <c r="BE48" s="254"/>
      <c r="BF48" s="254"/>
      <c r="BG48" s="254"/>
      <c r="BH48" s="254"/>
      <c r="BI48" s="254"/>
      <c r="BJ48" s="254"/>
      <c r="BK48" s="254"/>
      <c r="BL48" s="254"/>
      <c r="BM48" s="254"/>
      <c r="BN48" s="254"/>
      <c r="BO48" s="254"/>
      <c r="BP48" s="254"/>
      <c r="BQ48" s="254"/>
      <c r="BR48" s="254"/>
      <c r="BS48" s="254"/>
      <c r="BT48" s="254"/>
      <c r="BU48" s="254"/>
      <c r="BV48" s="254"/>
      <c r="BW48" s="254"/>
      <c r="BX48" s="254"/>
      <c r="BY48" s="254"/>
      <c r="BZ48" s="254"/>
      <c r="CA48" s="254"/>
      <c r="CB48" s="254"/>
      <c r="CC48" s="254"/>
      <c r="CD48" s="254"/>
      <c r="CE48" s="254"/>
      <c r="CF48" s="254"/>
      <c r="CG48" s="254"/>
      <c r="CH48" s="254"/>
      <c r="CI48" s="254"/>
      <c r="CJ48" s="254"/>
      <c r="CK48" s="254"/>
      <c r="CL48" s="254"/>
      <c r="CM48" s="254"/>
      <c r="CN48" s="254"/>
      <c r="CO48" s="254"/>
      <c r="CP48" s="254"/>
      <c r="CQ48" s="254"/>
      <c r="CR48" s="254"/>
      <c r="CS48" s="254"/>
      <c r="CT48" s="254"/>
      <c r="CU48" s="254"/>
      <c r="CV48" s="254"/>
      <c r="CW48" s="254"/>
    </row>
    <row r="49" spans="1:102" x14ac:dyDescent="0.25">
      <c r="A49" s="255" t="s">
        <v>296</v>
      </c>
      <c r="B49" s="254" t="e" cm="1">
        <f t="array" aca="1" ref="B49" ca="1">TRANSPOSE(_xlfn._xlws.FILTER(INDIRECT($A49), ID_Period_End = $B$1))</f>
        <v>#REF!</v>
      </c>
      <c r="C49" s="254"/>
      <c r="D49" s="254"/>
      <c r="E49" s="254"/>
      <c r="F49" s="254"/>
      <c r="G49" s="254"/>
      <c r="H49" s="254"/>
      <c r="I49" s="254"/>
      <c r="J49" s="254"/>
      <c r="K49" s="254"/>
      <c r="L49" s="254"/>
      <c r="M49" s="254"/>
      <c r="N49" s="254"/>
      <c r="O49" s="254"/>
      <c r="P49" s="254"/>
      <c r="Q49" s="254"/>
      <c r="R49" s="254"/>
      <c r="S49" s="254"/>
      <c r="T49" s="254"/>
      <c r="U49" s="254"/>
      <c r="V49" s="254"/>
      <c r="W49" s="254"/>
      <c r="X49" s="254"/>
      <c r="Y49" s="254"/>
      <c r="Z49" s="254"/>
      <c r="AA49" s="254"/>
      <c r="AB49" s="254"/>
      <c r="AC49" s="254"/>
      <c r="AD49" s="254"/>
      <c r="AE49" s="254"/>
      <c r="AF49" s="254"/>
      <c r="AG49" s="254"/>
      <c r="AH49" s="254"/>
      <c r="AI49" s="254"/>
      <c r="AJ49" s="254"/>
      <c r="AK49" s="254"/>
      <c r="AL49" s="254"/>
      <c r="AM49" s="254"/>
      <c r="AN49" s="254"/>
      <c r="AO49" s="254"/>
      <c r="AP49" s="254"/>
      <c r="AQ49" s="254"/>
      <c r="AR49" s="254"/>
      <c r="AS49" s="254"/>
      <c r="AT49" s="254"/>
      <c r="AU49" s="254"/>
      <c r="AV49" s="254"/>
      <c r="AW49" s="254"/>
      <c r="AX49" s="254"/>
      <c r="AY49" s="254"/>
      <c r="AZ49" s="254"/>
      <c r="BA49" s="254"/>
      <c r="BB49" s="254"/>
      <c r="BC49" s="254"/>
      <c r="BD49" s="254"/>
      <c r="BE49" s="254"/>
      <c r="BF49" s="254"/>
      <c r="BG49" s="254"/>
      <c r="BH49" s="254"/>
      <c r="BI49" s="254"/>
      <c r="BJ49" s="254"/>
      <c r="BK49" s="254"/>
      <c r="BL49" s="254"/>
      <c r="BM49" s="254"/>
      <c r="BN49" s="254"/>
      <c r="BO49" s="254"/>
      <c r="BP49" s="254"/>
      <c r="BQ49" s="254"/>
      <c r="BR49" s="254"/>
      <c r="BS49" s="254"/>
      <c r="BT49" s="254"/>
      <c r="BU49" s="254"/>
      <c r="BV49" s="254"/>
      <c r="BW49" s="254"/>
      <c r="BX49" s="254"/>
      <c r="BY49" s="254"/>
      <c r="BZ49" s="254"/>
      <c r="CA49" s="254"/>
      <c r="CB49" s="254"/>
      <c r="CC49" s="254"/>
      <c r="CD49" s="254"/>
      <c r="CE49" s="254"/>
      <c r="CF49" s="254"/>
      <c r="CG49" s="254"/>
      <c r="CH49" s="254"/>
      <c r="CI49" s="254"/>
      <c r="CJ49" s="254"/>
      <c r="CK49" s="254"/>
      <c r="CL49" s="254"/>
      <c r="CM49" s="254"/>
      <c r="CN49" s="254"/>
      <c r="CO49" s="254"/>
      <c r="CP49" s="254"/>
      <c r="CQ49" s="254"/>
      <c r="CR49" s="254"/>
      <c r="CS49" s="254"/>
      <c r="CT49" s="254"/>
      <c r="CU49" s="254"/>
      <c r="CV49" s="254"/>
      <c r="CW49" s="254"/>
    </row>
    <row r="50" spans="1:102" x14ac:dyDescent="0.25">
      <c r="A50" s="255" t="s">
        <v>297</v>
      </c>
      <c r="B50" s="254" t="e" cm="1">
        <f t="array" aca="1" ref="B50" ca="1">TRANSPOSE(_xlfn._xlws.FILTER(INDIRECT($A50), ID_Period_End = $B$1))</f>
        <v>#REF!</v>
      </c>
      <c r="C50" s="254"/>
      <c r="D50" s="254"/>
      <c r="E50" s="254"/>
      <c r="F50" s="254"/>
      <c r="G50" s="254"/>
      <c r="H50" s="254"/>
      <c r="I50" s="254"/>
      <c r="J50" s="254"/>
      <c r="K50" s="254"/>
      <c r="L50" s="254"/>
      <c r="M50" s="254"/>
      <c r="N50" s="254"/>
      <c r="O50" s="254"/>
      <c r="P50" s="254"/>
      <c r="Q50" s="254"/>
      <c r="R50" s="254"/>
      <c r="S50" s="254"/>
      <c r="T50" s="254"/>
      <c r="U50" s="254"/>
      <c r="V50" s="254"/>
      <c r="W50" s="254"/>
      <c r="X50" s="254"/>
      <c r="Y50" s="254"/>
      <c r="Z50" s="254"/>
      <c r="AA50" s="254"/>
      <c r="AB50" s="254"/>
      <c r="AC50" s="254"/>
      <c r="AD50" s="254"/>
      <c r="AE50" s="254"/>
      <c r="AF50" s="254"/>
      <c r="AG50" s="254"/>
      <c r="AH50" s="254"/>
      <c r="AI50" s="254"/>
      <c r="AJ50" s="254"/>
      <c r="AK50" s="254"/>
      <c r="AL50" s="254"/>
      <c r="AM50" s="254"/>
      <c r="AN50" s="254"/>
      <c r="AO50" s="254"/>
      <c r="AP50" s="254"/>
      <c r="AQ50" s="254"/>
      <c r="AR50" s="254"/>
      <c r="AS50" s="254"/>
      <c r="AT50" s="254"/>
      <c r="AU50" s="254"/>
      <c r="AV50" s="254"/>
      <c r="AW50" s="254"/>
      <c r="AX50" s="254"/>
      <c r="AY50" s="254"/>
      <c r="AZ50" s="254"/>
      <c r="BA50" s="254"/>
      <c r="BB50" s="254"/>
      <c r="BC50" s="254"/>
      <c r="BD50" s="254"/>
      <c r="BE50" s="254"/>
      <c r="BF50" s="254"/>
      <c r="BG50" s="254"/>
      <c r="BH50" s="254"/>
      <c r="BI50" s="254"/>
      <c r="BJ50" s="254"/>
      <c r="BK50" s="254"/>
      <c r="BL50" s="254"/>
      <c r="BM50" s="254"/>
      <c r="BN50" s="254"/>
      <c r="BO50" s="254"/>
      <c r="BP50" s="254"/>
      <c r="BQ50" s="254"/>
      <c r="BR50" s="254"/>
      <c r="BS50" s="254"/>
      <c r="BT50" s="254"/>
      <c r="BU50" s="254"/>
      <c r="BV50" s="254"/>
      <c r="BW50" s="254"/>
      <c r="BX50" s="254"/>
      <c r="BY50" s="254"/>
      <c r="BZ50" s="254"/>
      <c r="CA50" s="254"/>
      <c r="CB50" s="254"/>
      <c r="CC50" s="254"/>
      <c r="CD50" s="254"/>
      <c r="CE50" s="254"/>
      <c r="CF50" s="254"/>
      <c r="CG50" s="254"/>
      <c r="CH50" s="254"/>
      <c r="CI50" s="254"/>
      <c r="CJ50" s="254"/>
      <c r="CK50" s="254"/>
      <c r="CL50" s="254"/>
      <c r="CM50" s="254"/>
      <c r="CN50" s="254"/>
      <c r="CO50" s="254"/>
      <c r="CP50" s="254"/>
      <c r="CQ50" s="254"/>
      <c r="CR50" s="254"/>
      <c r="CS50" s="254"/>
      <c r="CT50" s="254"/>
      <c r="CU50" s="254"/>
      <c r="CV50" s="254"/>
      <c r="CW50" s="254"/>
    </row>
    <row r="51" spans="1:102" x14ac:dyDescent="0.25">
      <c r="A51" s="255" t="s">
        <v>298</v>
      </c>
      <c r="B51" s="254" t="e" cm="1">
        <f t="array" aca="1" ref="B51" ca="1">TRANSPOSE(_xlfn._xlws.FILTER(INDIRECT($A51), ID_Period_End = $B$1))</f>
        <v>#REF!</v>
      </c>
      <c r="C51" s="254"/>
      <c r="D51" s="254"/>
      <c r="E51" s="254"/>
      <c r="F51" s="254"/>
      <c r="G51" s="254"/>
      <c r="H51" s="254"/>
      <c r="I51" s="254"/>
      <c r="J51" s="254"/>
      <c r="K51" s="254"/>
      <c r="L51" s="254"/>
      <c r="M51" s="254"/>
      <c r="N51" s="254"/>
      <c r="O51" s="254"/>
      <c r="P51" s="254"/>
      <c r="Q51" s="254"/>
      <c r="R51" s="254"/>
      <c r="S51" s="254"/>
      <c r="T51" s="254"/>
      <c r="U51" s="254"/>
      <c r="V51" s="254"/>
      <c r="W51" s="254"/>
      <c r="X51" s="254"/>
      <c r="Y51" s="254"/>
      <c r="Z51" s="254"/>
      <c r="AA51" s="254"/>
      <c r="AB51" s="254"/>
      <c r="AC51" s="254"/>
      <c r="AD51" s="254"/>
      <c r="AE51" s="254"/>
      <c r="AF51" s="254"/>
      <c r="AG51" s="254"/>
      <c r="AH51" s="254"/>
      <c r="AI51" s="254"/>
      <c r="AJ51" s="254"/>
      <c r="AK51" s="254"/>
      <c r="AL51" s="254"/>
      <c r="AM51" s="254"/>
      <c r="AN51" s="254"/>
      <c r="AO51" s="254"/>
      <c r="AP51" s="254"/>
      <c r="AQ51" s="254"/>
      <c r="AR51" s="254"/>
      <c r="AS51" s="254"/>
      <c r="AT51" s="254"/>
      <c r="AU51" s="254"/>
      <c r="AV51" s="254"/>
      <c r="AW51" s="254"/>
      <c r="AX51" s="254"/>
      <c r="AY51" s="254"/>
      <c r="AZ51" s="254"/>
      <c r="BA51" s="254"/>
      <c r="BB51" s="254"/>
      <c r="BC51" s="254"/>
      <c r="BD51" s="254"/>
      <c r="BE51" s="254"/>
      <c r="BF51" s="254"/>
      <c r="BG51" s="254"/>
      <c r="BH51" s="254"/>
      <c r="BI51" s="254"/>
      <c r="BJ51" s="254"/>
      <c r="BK51" s="254"/>
      <c r="BL51" s="254"/>
      <c r="BM51" s="254"/>
      <c r="BN51" s="254"/>
      <c r="BO51" s="254"/>
      <c r="BP51" s="254"/>
      <c r="BQ51" s="254"/>
      <c r="BR51" s="254"/>
      <c r="BS51" s="254"/>
      <c r="BT51" s="254"/>
      <c r="BU51" s="254"/>
      <c r="BV51" s="254"/>
      <c r="BW51" s="254"/>
      <c r="BX51" s="254"/>
      <c r="BY51" s="254"/>
      <c r="BZ51" s="254"/>
      <c r="CA51" s="254"/>
      <c r="CB51" s="254"/>
      <c r="CC51" s="254"/>
      <c r="CD51" s="254"/>
      <c r="CE51" s="254"/>
      <c r="CF51" s="254"/>
      <c r="CG51" s="254"/>
      <c r="CH51" s="254"/>
      <c r="CI51" s="254"/>
      <c r="CJ51" s="254"/>
      <c r="CK51" s="254"/>
      <c r="CL51" s="254"/>
      <c r="CM51" s="254"/>
      <c r="CN51" s="254"/>
      <c r="CO51" s="254"/>
      <c r="CP51" s="254"/>
      <c r="CQ51" s="254"/>
      <c r="CR51" s="254"/>
      <c r="CS51" s="254"/>
      <c r="CT51" s="254"/>
      <c r="CU51" s="254"/>
      <c r="CV51" s="254"/>
      <c r="CW51" s="254"/>
    </row>
    <row r="52" spans="1:102" x14ac:dyDescent="0.25">
      <c r="A52" s="255" t="s">
        <v>299</v>
      </c>
      <c r="B52" s="254" t="e" cm="1">
        <f t="array" aca="1" ref="B52" ca="1">TRANSPOSE(_xlfn._xlws.FILTER(INDIRECT($A52), ID_Period_End = $B$1))</f>
        <v>#REF!</v>
      </c>
      <c r="C52" s="254"/>
      <c r="D52" s="254"/>
      <c r="E52" s="254"/>
      <c r="F52" s="254"/>
      <c r="G52" s="254"/>
      <c r="H52" s="254"/>
      <c r="I52" s="254"/>
      <c r="J52" s="254"/>
      <c r="K52" s="254"/>
      <c r="L52" s="254"/>
      <c r="M52" s="254"/>
      <c r="N52" s="254"/>
      <c r="O52" s="254"/>
      <c r="P52" s="254"/>
      <c r="Q52" s="254"/>
      <c r="R52" s="254"/>
      <c r="S52" s="254"/>
      <c r="T52" s="254"/>
      <c r="U52" s="254"/>
      <c r="V52" s="254"/>
      <c r="W52" s="254"/>
      <c r="X52" s="254"/>
      <c r="Y52" s="254"/>
      <c r="Z52" s="254"/>
      <c r="AA52" s="254"/>
      <c r="AB52" s="254"/>
      <c r="AC52" s="254"/>
      <c r="AD52" s="254"/>
      <c r="AE52" s="254"/>
      <c r="AF52" s="254"/>
      <c r="AG52" s="254"/>
      <c r="AH52" s="254"/>
      <c r="AI52" s="254"/>
      <c r="AJ52" s="254"/>
      <c r="AK52" s="254"/>
      <c r="AL52" s="254"/>
      <c r="AM52" s="254"/>
      <c r="AN52" s="254"/>
      <c r="AO52" s="254"/>
      <c r="AP52" s="254"/>
      <c r="AQ52" s="254"/>
      <c r="AR52" s="254"/>
      <c r="AS52" s="254"/>
      <c r="AT52" s="254"/>
      <c r="AU52" s="254"/>
      <c r="AV52" s="254"/>
      <c r="AW52" s="254"/>
      <c r="AX52" s="254"/>
      <c r="AY52" s="254"/>
      <c r="AZ52" s="254"/>
      <c r="BA52" s="254"/>
      <c r="BB52" s="254"/>
      <c r="BC52" s="254"/>
      <c r="BD52" s="254"/>
      <c r="BE52" s="254"/>
      <c r="BF52" s="254"/>
      <c r="BG52" s="254"/>
      <c r="BH52" s="254"/>
      <c r="BI52" s="254"/>
      <c r="BJ52" s="254"/>
      <c r="BK52" s="254"/>
      <c r="BL52" s="254"/>
      <c r="BM52" s="254"/>
      <c r="BN52" s="254"/>
      <c r="BO52" s="254"/>
      <c r="BP52" s="254"/>
      <c r="BQ52" s="254"/>
      <c r="BR52" s="254"/>
      <c r="BS52" s="254"/>
      <c r="BT52" s="254"/>
      <c r="BU52" s="254"/>
      <c r="BV52" s="254"/>
      <c r="BW52" s="254"/>
      <c r="BX52" s="254"/>
      <c r="BY52" s="254"/>
      <c r="BZ52" s="254"/>
      <c r="CA52" s="254"/>
      <c r="CB52" s="254"/>
      <c r="CC52" s="254"/>
      <c r="CD52" s="254"/>
      <c r="CE52" s="254"/>
      <c r="CF52" s="254"/>
      <c r="CG52" s="254"/>
      <c r="CH52" s="254"/>
      <c r="CI52" s="254"/>
      <c r="CJ52" s="254"/>
      <c r="CK52" s="254"/>
      <c r="CL52" s="254"/>
      <c r="CM52" s="254"/>
      <c r="CN52" s="254"/>
      <c r="CO52" s="254"/>
      <c r="CP52" s="254"/>
      <c r="CQ52" s="254"/>
      <c r="CR52" s="254"/>
      <c r="CS52" s="254"/>
      <c r="CT52" s="254"/>
      <c r="CU52" s="254"/>
      <c r="CV52" s="254"/>
      <c r="CW52" s="254"/>
    </row>
    <row r="53" spans="1:102" x14ac:dyDescent="0.25">
      <c r="A53" s="255" t="s">
        <v>575</v>
      </c>
      <c r="B53" s="254" t="e" cm="1">
        <f t="array" aca="1" ref="B53" ca="1">TRANSPOSE(_xlfn._xlws.FILTER(INDIRECT($A53), ID_Period_End = $B$1))</f>
        <v>#REF!</v>
      </c>
      <c r="C53" s="254"/>
      <c r="D53" s="254"/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4"/>
      <c r="AE53" s="254"/>
      <c r="AF53" s="254"/>
      <c r="AG53" s="254"/>
      <c r="AH53" s="254"/>
      <c r="AI53" s="254"/>
      <c r="AJ53" s="254"/>
      <c r="AK53" s="254"/>
      <c r="AL53" s="254"/>
      <c r="AM53" s="254"/>
      <c r="AN53" s="254"/>
      <c r="AO53" s="254"/>
      <c r="AP53" s="254"/>
      <c r="AQ53" s="254"/>
      <c r="AR53" s="254"/>
      <c r="AS53" s="254"/>
      <c r="AT53" s="254"/>
      <c r="AU53" s="254"/>
      <c r="AV53" s="254"/>
      <c r="AW53" s="254"/>
      <c r="AX53" s="254"/>
      <c r="AY53" s="254"/>
      <c r="AZ53" s="254"/>
      <c r="BA53" s="254"/>
      <c r="BB53" s="254"/>
      <c r="BC53" s="254"/>
      <c r="BD53" s="254"/>
      <c r="BE53" s="254"/>
      <c r="BF53" s="254"/>
      <c r="BG53" s="254"/>
      <c r="BH53" s="254"/>
      <c r="BI53" s="254"/>
      <c r="BJ53" s="254"/>
      <c r="BK53" s="254"/>
      <c r="BL53" s="254"/>
      <c r="BM53" s="254"/>
      <c r="BN53" s="254"/>
      <c r="BO53" s="254"/>
      <c r="BP53" s="254"/>
      <c r="BQ53" s="254"/>
      <c r="BR53" s="254"/>
      <c r="BS53" s="254"/>
      <c r="BT53" s="254"/>
      <c r="BU53" s="254"/>
      <c r="BV53" s="254"/>
      <c r="BW53" s="254"/>
      <c r="BX53" s="254"/>
      <c r="BY53" s="254"/>
      <c r="BZ53" s="254"/>
      <c r="CA53" s="254"/>
      <c r="CB53" s="254"/>
      <c r="CC53" s="254"/>
      <c r="CD53" s="254"/>
      <c r="CE53" s="254"/>
      <c r="CF53" s="254"/>
      <c r="CG53" s="254"/>
      <c r="CH53" s="254"/>
      <c r="CI53" s="254"/>
      <c r="CJ53" s="254"/>
      <c r="CK53" s="254"/>
      <c r="CL53" s="254"/>
      <c r="CM53" s="254"/>
      <c r="CN53" s="254"/>
      <c r="CO53" s="254"/>
      <c r="CP53" s="254"/>
      <c r="CQ53" s="254"/>
      <c r="CR53" s="254"/>
      <c r="CS53" s="254"/>
      <c r="CT53" s="254"/>
      <c r="CU53" s="254"/>
      <c r="CV53" s="254"/>
      <c r="CW53" s="254"/>
    </row>
    <row r="54" spans="1:102" x14ac:dyDescent="0.25">
      <c r="A54" s="255" t="s">
        <v>576</v>
      </c>
      <c r="B54" s="254" t="e" cm="1">
        <f t="array" aca="1" ref="B54" ca="1">TRANSPOSE(_xlfn._xlws.FILTER(INDIRECT($A54), ID_Period_End = $B$1))</f>
        <v>#REF!</v>
      </c>
      <c r="C54" s="254"/>
      <c r="D54" s="254"/>
      <c r="E54" s="254"/>
      <c r="F54" s="254"/>
      <c r="G54" s="254"/>
      <c r="H54" s="254"/>
      <c r="I54" s="254"/>
      <c r="J54" s="254"/>
      <c r="K54" s="254"/>
      <c r="L54" s="254"/>
      <c r="M54" s="254"/>
      <c r="N54" s="254"/>
      <c r="O54" s="254"/>
      <c r="P54" s="254"/>
      <c r="Q54" s="254"/>
      <c r="R54" s="254"/>
      <c r="S54" s="254"/>
      <c r="T54" s="254"/>
      <c r="U54" s="254"/>
      <c r="V54" s="254"/>
      <c r="W54" s="254"/>
      <c r="X54" s="254"/>
      <c r="Y54" s="254"/>
      <c r="Z54" s="254"/>
      <c r="AA54" s="254"/>
      <c r="AB54" s="254"/>
      <c r="AC54" s="254"/>
      <c r="AD54" s="254"/>
      <c r="AE54" s="254"/>
      <c r="AF54" s="254"/>
      <c r="AG54" s="254"/>
      <c r="AH54" s="254"/>
      <c r="AI54" s="254"/>
      <c r="AJ54" s="254"/>
      <c r="AK54" s="254"/>
      <c r="AL54" s="254"/>
      <c r="AM54" s="254"/>
      <c r="AN54" s="254"/>
      <c r="AO54" s="254"/>
      <c r="AP54" s="254"/>
      <c r="AQ54" s="254"/>
      <c r="AR54" s="254"/>
      <c r="AS54" s="254"/>
      <c r="AT54" s="254"/>
      <c r="AU54" s="254"/>
      <c r="AV54" s="254"/>
      <c r="AW54" s="254"/>
      <c r="AX54" s="254"/>
      <c r="AY54" s="254"/>
      <c r="AZ54" s="254"/>
      <c r="BA54" s="254"/>
      <c r="BB54" s="254"/>
      <c r="BC54" s="254"/>
      <c r="BD54" s="254"/>
      <c r="BE54" s="254"/>
      <c r="BF54" s="254"/>
      <c r="BG54" s="254"/>
      <c r="BH54" s="254"/>
      <c r="BI54" s="254"/>
      <c r="BJ54" s="254"/>
      <c r="BK54" s="254"/>
      <c r="BL54" s="254"/>
      <c r="BM54" s="254"/>
      <c r="BN54" s="254"/>
      <c r="BO54" s="254"/>
      <c r="BP54" s="254"/>
      <c r="BQ54" s="254"/>
      <c r="BR54" s="254"/>
      <c r="BS54" s="254"/>
      <c r="BT54" s="254"/>
      <c r="BU54" s="254"/>
      <c r="BV54" s="254"/>
      <c r="BW54" s="254"/>
      <c r="BX54" s="254"/>
      <c r="BY54" s="254"/>
      <c r="BZ54" s="254"/>
      <c r="CA54" s="254"/>
      <c r="CB54" s="254"/>
      <c r="CC54" s="254"/>
      <c r="CD54" s="254"/>
      <c r="CE54" s="254"/>
      <c r="CF54" s="254"/>
      <c r="CG54" s="254"/>
      <c r="CH54" s="254"/>
      <c r="CI54" s="254"/>
      <c r="CJ54" s="254"/>
      <c r="CK54" s="254"/>
      <c r="CL54" s="254"/>
      <c r="CM54" s="254"/>
      <c r="CN54" s="254"/>
      <c r="CO54" s="254"/>
      <c r="CP54" s="254"/>
      <c r="CQ54" s="254"/>
      <c r="CR54" s="254"/>
      <c r="CS54" s="254"/>
      <c r="CT54" s="254"/>
      <c r="CU54" s="254"/>
      <c r="CV54" s="254"/>
      <c r="CW54" s="254"/>
    </row>
    <row r="55" spans="1:102" x14ac:dyDescent="0.25">
      <c r="A55" s="257" t="s">
        <v>72</v>
      </c>
      <c r="B55" s="258"/>
      <c r="C55" s="258"/>
      <c r="D55" s="258"/>
      <c r="E55" s="258"/>
      <c r="F55" s="258"/>
      <c r="G55" s="258"/>
      <c r="H55" s="258"/>
      <c r="I55" s="258"/>
      <c r="J55" s="258"/>
      <c r="K55" s="258"/>
      <c r="L55" s="258"/>
      <c r="M55" s="258"/>
      <c r="N55" s="258"/>
      <c r="O55" s="258"/>
      <c r="P55" s="258"/>
      <c r="Q55" s="258"/>
      <c r="R55" s="258"/>
      <c r="S55" s="258"/>
      <c r="T55" s="258"/>
      <c r="U55" s="258"/>
      <c r="V55" s="258"/>
      <c r="W55" s="258"/>
      <c r="X55" s="258"/>
      <c r="Y55" s="258"/>
      <c r="Z55" s="258"/>
      <c r="AA55" s="258"/>
      <c r="AB55" s="258"/>
      <c r="AC55" s="258"/>
      <c r="AD55" s="258"/>
      <c r="AE55" s="258"/>
      <c r="AF55" s="258"/>
      <c r="AG55" s="258"/>
      <c r="AH55" s="258"/>
      <c r="AI55" s="258"/>
      <c r="AJ55" s="258"/>
      <c r="AK55" s="258"/>
      <c r="AL55" s="258"/>
      <c r="AM55" s="258"/>
      <c r="AN55" s="258"/>
      <c r="AO55" s="258"/>
      <c r="AP55" s="258"/>
      <c r="AQ55" s="258"/>
      <c r="AR55" s="258"/>
      <c r="AS55" s="258"/>
      <c r="AT55" s="258"/>
      <c r="AU55" s="258"/>
      <c r="AV55" s="258"/>
      <c r="AW55" s="258"/>
      <c r="AX55" s="258"/>
      <c r="AY55" s="258"/>
      <c r="AZ55" s="258"/>
      <c r="BA55" s="258"/>
      <c r="BB55" s="258"/>
      <c r="BC55" s="258"/>
      <c r="BD55" s="258"/>
      <c r="BE55" s="258"/>
      <c r="BF55" s="258"/>
      <c r="BG55" s="258"/>
      <c r="BH55" s="258"/>
      <c r="BI55" s="258"/>
      <c r="BJ55" s="258"/>
      <c r="BK55" s="258"/>
      <c r="BL55" s="258"/>
      <c r="BM55" s="258"/>
      <c r="BN55" s="258"/>
      <c r="BO55" s="258"/>
      <c r="BP55" s="258"/>
      <c r="BQ55" s="258"/>
      <c r="BR55" s="258"/>
      <c r="BS55" s="258"/>
      <c r="BT55" s="258"/>
      <c r="BU55" s="258"/>
      <c r="BV55" s="258"/>
      <c r="BW55" s="258"/>
      <c r="BX55" s="258"/>
      <c r="BY55" s="258"/>
      <c r="BZ55" s="258"/>
      <c r="CA55" s="258"/>
      <c r="CB55" s="258"/>
      <c r="CC55" s="258"/>
      <c r="CD55" s="258"/>
      <c r="CE55" s="258"/>
      <c r="CF55" s="258"/>
      <c r="CG55" s="258"/>
      <c r="CH55" s="258"/>
      <c r="CI55" s="258"/>
      <c r="CJ55" s="258"/>
      <c r="CK55" s="258"/>
      <c r="CL55" s="258"/>
      <c r="CM55" s="258"/>
      <c r="CN55" s="258"/>
      <c r="CO55" s="258"/>
      <c r="CP55" s="258"/>
      <c r="CQ55" s="258"/>
      <c r="CR55" s="258"/>
      <c r="CS55" s="258"/>
      <c r="CT55" s="258"/>
      <c r="CU55" s="258"/>
      <c r="CV55" s="258"/>
      <c r="CW55" s="258"/>
    </row>
    <row r="56" spans="1:102" s="3" customFormat="1" x14ac:dyDescent="0.25">
      <c r="A56" s="259" t="s">
        <v>300</v>
      </c>
      <c r="B56" s="260" t="e" cm="1">
        <f t="array" aca="1" ref="B56" ca="1">TRANSPOSE(_xlfn._xlws.FILTER(INDIRECT($A56), Pay_ID_Period_End = $B$1))</f>
        <v>#REF!</v>
      </c>
      <c r="C56" s="260"/>
      <c r="D56" s="260"/>
      <c r="E56" s="260"/>
      <c r="F56" s="260"/>
      <c r="G56" s="260"/>
      <c r="H56" s="260"/>
      <c r="I56" s="260"/>
      <c r="J56" s="260"/>
      <c r="K56" s="260"/>
      <c r="L56" s="260"/>
      <c r="M56" s="260"/>
      <c r="N56" s="260"/>
      <c r="O56" s="260"/>
      <c r="P56" s="260"/>
      <c r="Q56" s="260"/>
      <c r="R56" s="260"/>
      <c r="S56" s="260"/>
      <c r="T56" s="260"/>
      <c r="U56" s="260"/>
      <c r="V56" s="260"/>
      <c r="W56" s="260"/>
      <c r="X56" s="260"/>
      <c r="Y56" s="260"/>
      <c r="Z56" s="260"/>
      <c r="AA56" s="260"/>
      <c r="AB56" s="260"/>
      <c r="AC56" s="260"/>
      <c r="AD56" s="260"/>
      <c r="AE56" s="260"/>
      <c r="AF56" s="260"/>
      <c r="AG56" s="260"/>
      <c r="AH56" s="260"/>
      <c r="AI56" s="260"/>
      <c r="AJ56" s="260"/>
      <c r="AK56" s="260"/>
      <c r="AL56" s="260"/>
      <c r="AM56" s="260"/>
      <c r="AN56" s="260"/>
      <c r="AO56" s="260"/>
      <c r="AP56" s="260"/>
      <c r="AQ56" s="260"/>
      <c r="AR56" s="260"/>
      <c r="AS56" s="260"/>
      <c r="AT56" s="260"/>
      <c r="AU56" s="260"/>
      <c r="AV56" s="260"/>
      <c r="AW56" s="260"/>
      <c r="AX56" s="260"/>
      <c r="AY56" s="260"/>
      <c r="AZ56" s="260"/>
      <c r="BA56" s="260"/>
      <c r="BB56" s="260"/>
      <c r="BC56" s="260"/>
      <c r="BD56" s="260"/>
      <c r="BE56" s="260"/>
      <c r="BF56" s="260"/>
      <c r="BG56" s="260"/>
      <c r="BH56" s="260"/>
      <c r="BI56" s="260"/>
      <c r="BJ56" s="260"/>
      <c r="BK56" s="260"/>
      <c r="BL56" s="260"/>
      <c r="BM56" s="260"/>
      <c r="BN56" s="260"/>
      <c r="BO56" s="260"/>
      <c r="BP56" s="260"/>
      <c r="BQ56" s="260"/>
      <c r="BR56" s="260"/>
      <c r="BS56" s="260"/>
      <c r="BT56" s="260"/>
      <c r="BU56" s="260"/>
      <c r="BV56" s="260"/>
      <c r="BW56" s="260"/>
      <c r="BX56" s="260"/>
      <c r="BY56" s="260"/>
      <c r="BZ56" s="260"/>
      <c r="CA56" s="260"/>
      <c r="CB56" s="260"/>
      <c r="CC56" s="260"/>
      <c r="CD56" s="260"/>
      <c r="CE56" s="260"/>
      <c r="CF56" s="260"/>
      <c r="CG56" s="260"/>
      <c r="CH56" s="260"/>
      <c r="CI56" s="260"/>
      <c r="CJ56" s="260"/>
      <c r="CK56" s="260"/>
      <c r="CL56" s="260"/>
      <c r="CM56" s="260"/>
      <c r="CN56" s="260"/>
      <c r="CO56" s="260"/>
      <c r="CP56" s="260"/>
      <c r="CQ56" s="260"/>
      <c r="CR56" s="260"/>
      <c r="CS56" s="260"/>
      <c r="CT56" s="260"/>
      <c r="CU56" s="260"/>
      <c r="CV56" s="260"/>
      <c r="CW56" s="260"/>
      <c r="CX56" s="249"/>
    </row>
    <row r="57" spans="1:102" x14ac:dyDescent="0.25">
      <c r="A57" s="261" t="s">
        <v>301</v>
      </c>
      <c r="B57" s="258" t="e" cm="1">
        <f t="array" aca="1" ref="B57" ca="1">TRANSPOSE(_xlfn._xlws.FILTER(INDIRECT($A57), Pay_ID_Period_End = $B$1))</f>
        <v>#REF!</v>
      </c>
      <c r="C57" s="258"/>
      <c r="D57" s="258"/>
      <c r="E57" s="258"/>
      <c r="F57" s="258"/>
      <c r="G57" s="258"/>
      <c r="H57" s="258"/>
      <c r="I57" s="258"/>
      <c r="J57" s="258"/>
      <c r="K57" s="258"/>
      <c r="L57" s="258"/>
      <c r="M57" s="258"/>
      <c r="N57" s="258"/>
      <c r="O57" s="258"/>
      <c r="P57" s="258"/>
      <c r="Q57" s="258"/>
      <c r="R57" s="258"/>
      <c r="S57" s="258"/>
      <c r="T57" s="258"/>
      <c r="U57" s="258"/>
      <c r="V57" s="258"/>
      <c r="W57" s="258"/>
      <c r="X57" s="258"/>
      <c r="Y57" s="258"/>
      <c r="Z57" s="258"/>
      <c r="AA57" s="258"/>
      <c r="AB57" s="258"/>
      <c r="AC57" s="258"/>
      <c r="AD57" s="258"/>
      <c r="AE57" s="258"/>
      <c r="AF57" s="258"/>
      <c r="AG57" s="258"/>
      <c r="AH57" s="258"/>
      <c r="AI57" s="258"/>
      <c r="AJ57" s="258"/>
      <c r="AK57" s="258"/>
      <c r="AL57" s="258"/>
      <c r="AM57" s="258"/>
      <c r="AN57" s="258"/>
      <c r="AO57" s="258"/>
      <c r="AP57" s="258"/>
      <c r="AQ57" s="258"/>
      <c r="AR57" s="258"/>
      <c r="AS57" s="258"/>
      <c r="AT57" s="258"/>
      <c r="AU57" s="258"/>
      <c r="AV57" s="258"/>
      <c r="AW57" s="258"/>
      <c r="AX57" s="258"/>
      <c r="AY57" s="258"/>
      <c r="AZ57" s="258"/>
      <c r="BA57" s="258"/>
      <c r="BB57" s="258"/>
      <c r="BC57" s="258"/>
      <c r="BD57" s="258"/>
      <c r="BE57" s="258"/>
      <c r="BF57" s="258"/>
      <c r="BG57" s="258"/>
      <c r="BH57" s="258"/>
      <c r="BI57" s="258"/>
      <c r="BJ57" s="258"/>
      <c r="BK57" s="258"/>
      <c r="BL57" s="258"/>
      <c r="BM57" s="258"/>
      <c r="BN57" s="258"/>
      <c r="BO57" s="258"/>
      <c r="BP57" s="258"/>
      <c r="BQ57" s="258"/>
      <c r="BR57" s="258"/>
      <c r="BS57" s="258"/>
      <c r="BT57" s="258"/>
      <c r="BU57" s="258"/>
      <c r="BV57" s="258"/>
      <c r="BW57" s="258"/>
      <c r="BX57" s="258"/>
      <c r="BY57" s="258"/>
      <c r="BZ57" s="258"/>
      <c r="CA57" s="258"/>
      <c r="CB57" s="258"/>
      <c r="CC57" s="258"/>
      <c r="CD57" s="258"/>
      <c r="CE57" s="258"/>
      <c r="CF57" s="258"/>
      <c r="CG57" s="258"/>
      <c r="CH57" s="258"/>
      <c r="CI57" s="258"/>
      <c r="CJ57" s="258"/>
      <c r="CK57" s="258"/>
      <c r="CL57" s="258"/>
      <c r="CM57" s="258"/>
      <c r="CN57" s="258"/>
      <c r="CO57" s="258"/>
      <c r="CP57" s="258"/>
      <c r="CQ57" s="258"/>
      <c r="CR57" s="258"/>
      <c r="CS57" s="258"/>
      <c r="CT57" s="258"/>
      <c r="CU57" s="258"/>
      <c r="CV57" s="258"/>
      <c r="CW57" s="258"/>
    </row>
    <row r="58" spans="1:102" x14ac:dyDescent="0.25">
      <c r="A58" s="262" t="s">
        <v>302</v>
      </c>
      <c r="B58" s="263" t="e" cm="1">
        <f t="array" aca="1" ref="B58" ca="1">TRANSPOSE(_xlfn._xlws.FILTER(INDIRECT($A58), Pay_ID_Period_End = $B$1))</f>
        <v>#REF!</v>
      </c>
      <c r="C58" s="263"/>
      <c r="D58" s="263"/>
      <c r="E58" s="263"/>
      <c r="F58" s="263"/>
      <c r="G58" s="263"/>
      <c r="H58" s="263"/>
      <c r="I58" s="263"/>
      <c r="J58" s="263"/>
      <c r="K58" s="263"/>
      <c r="L58" s="263"/>
      <c r="M58" s="263"/>
      <c r="N58" s="263"/>
      <c r="O58" s="263"/>
      <c r="P58" s="263"/>
      <c r="Q58" s="263"/>
      <c r="R58" s="263"/>
      <c r="S58" s="263"/>
      <c r="T58" s="263"/>
      <c r="U58" s="263"/>
      <c r="V58" s="263"/>
      <c r="W58" s="263"/>
      <c r="X58" s="263"/>
      <c r="Y58" s="263"/>
      <c r="Z58" s="263"/>
      <c r="AA58" s="263"/>
      <c r="AB58" s="263"/>
      <c r="AC58" s="263"/>
      <c r="AD58" s="263"/>
      <c r="AE58" s="263"/>
      <c r="AF58" s="263"/>
      <c r="AG58" s="263"/>
      <c r="AH58" s="263"/>
      <c r="AI58" s="263"/>
      <c r="AJ58" s="263"/>
      <c r="AK58" s="263"/>
      <c r="AL58" s="263"/>
      <c r="AM58" s="263"/>
      <c r="AN58" s="263"/>
      <c r="AO58" s="263"/>
      <c r="AP58" s="263"/>
      <c r="AQ58" s="263"/>
      <c r="AR58" s="263"/>
      <c r="AS58" s="263"/>
      <c r="AT58" s="263"/>
      <c r="AU58" s="263"/>
      <c r="AV58" s="263"/>
      <c r="AW58" s="263"/>
      <c r="AX58" s="263"/>
      <c r="AY58" s="263"/>
      <c r="AZ58" s="263"/>
      <c r="BA58" s="263"/>
      <c r="BB58" s="263"/>
      <c r="BC58" s="263"/>
      <c r="BD58" s="263"/>
      <c r="BE58" s="263"/>
      <c r="BF58" s="263"/>
      <c r="BG58" s="263"/>
      <c r="BH58" s="263"/>
      <c r="BI58" s="263"/>
      <c r="BJ58" s="263"/>
      <c r="BK58" s="263"/>
      <c r="BL58" s="263"/>
      <c r="BM58" s="263"/>
      <c r="BN58" s="263"/>
      <c r="BO58" s="263"/>
      <c r="BP58" s="263"/>
      <c r="BQ58" s="263"/>
      <c r="BR58" s="263"/>
      <c r="BS58" s="263"/>
      <c r="BT58" s="263"/>
      <c r="BU58" s="263"/>
      <c r="BV58" s="263"/>
      <c r="BW58" s="263"/>
      <c r="BX58" s="263"/>
      <c r="BY58" s="263"/>
      <c r="BZ58" s="263"/>
      <c r="CA58" s="263"/>
      <c r="CB58" s="263"/>
      <c r="CC58" s="263"/>
      <c r="CD58" s="263"/>
      <c r="CE58" s="263"/>
      <c r="CF58" s="263"/>
      <c r="CG58" s="263"/>
      <c r="CH58" s="263"/>
      <c r="CI58" s="263"/>
      <c r="CJ58" s="263"/>
      <c r="CK58" s="263"/>
      <c r="CL58" s="263"/>
      <c r="CM58" s="263"/>
      <c r="CN58" s="263"/>
      <c r="CO58" s="263"/>
      <c r="CP58" s="263"/>
      <c r="CQ58" s="263"/>
      <c r="CR58" s="263"/>
      <c r="CS58" s="263"/>
      <c r="CT58" s="263"/>
      <c r="CU58" s="263"/>
      <c r="CV58" s="263"/>
      <c r="CW58" s="263"/>
      <c r="CX58" s="252"/>
    </row>
    <row r="59" spans="1:102" x14ac:dyDescent="0.25">
      <c r="A59" s="264" t="s">
        <v>303</v>
      </c>
      <c r="B59" s="265" t="e" cm="1">
        <f t="array" aca="1" ref="B59" ca="1">TRANSPOSE(_xlfn._xlws.FILTER(INDIRECT($A59), Pay_ID_Period_End = $B$1))</f>
        <v>#REF!</v>
      </c>
      <c r="C59" s="265"/>
      <c r="D59" s="265"/>
      <c r="E59" s="265"/>
      <c r="F59" s="265"/>
      <c r="G59" s="265"/>
      <c r="H59" s="265"/>
      <c r="I59" s="265"/>
      <c r="J59" s="265"/>
      <c r="K59" s="265"/>
      <c r="L59" s="265"/>
      <c r="M59" s="265"/>
      <c r="N59" s="265"/>
      <c r="O59" s="265"/>
      <c r="P59" s="265"/>
      <c r="Q59" s="265"/>
      <c r="R59" s="265"/>
      <c r="S59" s="265"/>
      <c r="T59" s="265"/>
      <c r="U59" s="265"/>
      <c r="V59" s="265"/>
      <c r="W59" s="265"/>
      <c r="X59" s="265"/>
      <c r="Y59" s="265"/>
      <c r="Z59" s="265"/>
      <c r="AA59" s="265"/>
      <c r="AB59" s="265"/>
      <c r="AC59" s="265"/>
      <c r="AD59" s="265"/>
      <c r="AE59" s="265"/>
      <c r="AF59" s="265"/>
      <c r="AG59" s="265"/>
      <c r="AH59" s="265"/>
      <c r="AI59" s="265"/>
      <c r="AJ59" s="265"/>
      <c r="AK59" s="265"/>
      <c r="AL59" s="265"/>
      <c r="AM59" s="265"/>
      <c r="AN59" s="265"/>
      <c r="AO59" s="265"/>
      <c r="AP59" s="265"/>
      <c r="AQ59" s="265"/>
      <c r="AR59" s="265"/>
      <c r="AS59" s="265"/>
      <c r="AT59" s="265"/>
      <c r="AU59" s="265"/>
      <c r="AV59" s="265"/>
      <c r="AW59" s="265"/>
      <c r="AX59" s="265"/>
      <c r="AY59" s="265"/>
      <c r="AZ59" s="265"/>
      <c r="BA59" s="265"/>
      <c r="BB59" s="265"/>
      <c r="BC59" s="265"/>
      <c r="BD59" s="265"/>
      <c r="BE59" s="265"/>
      <c r="BF59" s="265"/>
      <c r="BG59" s="265"/>
      <c r="BH59" s="265"/>
      <c r="BI59" s="265"/>
      <c r="BJ59" s="265"/>
      <c r="BK59" s="265"/>
      <c r="BL59" s="265"/>
      <c r="BM59" s="265"/>
      <c r="BN59" s="265"/>
      <c r="BO59" s="265"/>
      <c r="BP59" s="265"/>
      <c r="BQ59" s="265"/>
      <c r="BR59" s="265"/>
      <c r="BS59" s="265"/>
      <c r="BT59" s="265"/>
      <c r="BU59" s="265"/>
      <c r="BV59" s="265"/>
      <c r="BW59" s="265"/>
      <c r="BX59" s="265"/>
      <c r="BY59" s="265"/>
      <c r="BZ59" s="265"/>
      <c r="CA59" s="265"/>
      <c r="CB59" s="265"/>
      <c r="CC59" s="265"/>
      <c r="CD59" s="265"/>
      <c r="CE59" s="265"/>
      <c r="CF59" s="265"/>
      <c r="CG59" s="265"/>
      <c r="CH59" s="265"/>
      <c r="CI59" s="265"/>
      <c r="CJ59" s="265"/>
      <c r="CK59" s="265"/>
      <c r="CL59" s="265"/>
      <c r="CM59" s="265"/>
      <c r="CN59" s="265"/>
      <c r="CO59" s="265"/>
      <c r="CP59" s="265"/>
      <c r="CQ59" s="265"/>
      <c r="CR59" s="265"/>
      <c r="CS59" s="265"/>
      <c r="CT59" s="265"/>
      <c r="CU59" s="265"/>
      <c r="CV59" s="265"/>
      <c r="CW59" s="265"/>
      <c r="CX59" s="256"/>
    </row>
    <row r="60" spans="1:102" x14ac:dyDescent="0.25">
      <c r="A60" s="264" t="s">
        <v>304</v>
      </c>
      <c r="B60" s="265" t="e" cm="1">
        <f t="array" aca="1" ref="B60" ca="1">TRANSPOSE(_xlfn._xlws.FILTER(INDIRECT($A60), Pay_ID_Period_End = $B$1))</f>
        <v>#REF!</v>
      </c>
      <c r="C60" s="265"/>
      <c r="D60" s="265"/>
      <c r="E60" s="265"/>
      <c r="F60" s="265"/>
      <c r="G60" s="265"/>
      <c r="H60" s="265"/>
      <c r="I60" s="265"/>
      <c r="J60" s="265"/>
      <c r="K60" s="265"/>
      <c r="L60" s="265"/>
      <c r="M60" s="265"/>
      <c r="N60" s="265"/>
      <c r="O60" s="265"/>
      <c r="P60" s="265"/>
      <c r="Q60" s="265"/>
      <c r="R60" s="265"/>
      <c r="S60" s="265"/>
      <c r="T60" s="265"/>
      <c r="U60" s="265"/>
      <c r="V60" s="265"/>
      <c r="W60" s="265"/>
      <c r="X60" s="265"/>
      <c r="Y60" s="265"/>
      <c r="Z60" s="265"/>
      <c r="AA60" s="265"/>
      <c r="AB60" s="265"/>
      <c r="AC60" s="265"/>
      <c r="AD60" s="265"/>
      <c r="AE60" s="265"/>
      <c r="AF60" s="265"/>
      <c r="AG60" s="265"/>
      <c r="AH60" s="265"/>
      <c r="AI60" s="265"/>
      <c r="AJ60" s="265"/>
      <c r="AK60" s="265"/>
      <c r="AL60" s="265"/>
      <c r="AM60" s="265"/>
      <c r="AN60" s="265"/>
      <c r="AO60" s="265"/>
      <c r="AP60" s="265"/>
      <c r="AQ60" s="265"/>
      <c r="AR60" s="265"/>
      <c r="AS60" s="265"/>
      <c r="AT60" s="265"/>
      <c r="AU60" s="265"/>
      <c r="AV60" s="265"/>
      <c r="AW60" s="265"/>
      <c r="AX60" s="265"/>
      <c r="AY60" s="265"/>
      <c r="AZ60" s="265"/>
      <c r="BA60" s="265"/>
      <c r="BB60" s="265"/>
      <c r="BC60" s="265"/>
      <c r="BD60" s="265"/>
      <c r="BE60" s="265"/>
      <c r="BF60" s="265"/>
      <c r="BG60" s="265"/>
      <c r="BH60" s="265"/>
      <c r="BI60" s="265"/>
      <c r="BJ60" s="265"/>
      <c r="BK60" s="265"/>
      <c r="BL60" s="265"/>
      <c r="BM60" s="265"/>
      <c r="BN60" s="265"/>
      <c r="BO60" s="265"/>
      <c r="BP60" s="265"/>
      <c r="BQ60" s="265"/>
      <c r="BR60" s="265"/>
      <c r="BS60" s="265"/>
      <c r="BT60" s="265"/>
      <c r="BU60" s="265"/>
      <c r="BV60" s="265"/>
      <c r="BW60" s="265"/>
      <c r="BX60" s="265"/>
      <c r="BY60" s="265"/>
      <c r="BZ60" s="265"/>
      <c r="CA60" s="265"/>
      <c r="CB60" s="265"/>
      <c r="CC60" s="265"/>
      <c r="CD60" s="265"/>
      <c r="CE60" s="265"/>
      <c r="CF60" s="265"/>
      <c r="CG60" s="265"/>
      <c r="CH60" s="265"/>
      <c r="CI60" s="265"/>
      <c r="CJ60" s="265"/>
      <c r="CK60" s="265"/>
      <c r="CL60" s="265"/>
      <c r="CM60" s="265"/>
      <c r="CN60" s="265"/>
      <c r="CO60" s="265"/>
      <c r="CP60" s="265"/>
      <c r="CQ60" s="265"/>
      <c r="CR60" s="265"/>
      <c r="CS60" s="265"/>
      <c r="CT60" s="265"/>
      <c r="CU60" s="265"/>
      <c r="CV60" s="265"/>
      <c r="CW60" s="265"/>
      <c r="CX60" s="256"/>
    </row>
    <row r="61" spans="1:102" x14ac:dyDescent="0.25">
      <c r="A61" s="264" t="s">
        <v>305</v>
      </c>
      <c r="B61" s="265" t="e" cm="1">
        <f t="array" aca="1" ref="B61" ca="1">TRANSPOSE(_xlfn._xlws.FILTER(INDIRECT($A61), Pay_ID_Period_End = $B$1))</f>
        <v>#REF!</v>
      </c>
      <c r="C61" s="265"/>
      <c r="D61" s="265"/>
      <c r="E61" s="265"/>
      <c r="F61" s="265"/>
      <c r="G61" s="265"/>
      <c r="H61" s="265"/>
      <c r="I61" s="265"/>
      <c r="J61" s="265"/>
      <c r="K61" s="265"/>
      <c r="L61" s="265"/>
      <c r="M61" s="265"/>
      <c r="N61" s="265"/>
      <c r="O61" s="265"/>
      <c r="P61" s="265"/>
      <c r="Q61" s="265"/>
      <c r="R61" s="265"/>
      <c r="S61" s="265"/>
      <c r="T61" s="265"/>
      <c r="U61" s="265"/>
      <c r="V61" s="265"/>
      <c r="W61" s="265"/>
      <c r="X61" s="265"/>
      <c r="Y61" s="265"/>
      <c r="Z61" s="265"/>
      <c r="AA61" s="265"/>
      <c r="AB61" s="265"/>
      <c r="AC61" s="265"/>
      <c r="AD61" s="265"/>
      <c r="AE61" s="265"/>
      <c r="AF61" s="265"/>
      <c r="AG61" s="265"/>
      <c r="AH61" s="265"/>
      <c r="AI61" s="265"/>
      <c r="AJ61" s="265"/>
      <c r="AK61" s="265"/>
      <c r="AL61" s="265"/>
      <c r="AM61" s="265"/>
      <c r="AN61" s="265"/>
      <c r="AO61" s="265"/>
      <c r="AP61" s="265"/>
      <c r="AQ61" s="265"/>
      <c r="AR61" s="265"/>
      <c r="AS61" s="265"/>
      <c r="AT61" s="265"/>
      <c r="AU61" s="265"/>
      <c r="AV61" s="265"/>
      <c r="AW61" s="265"/>
      <c r="AX61" s="265"/>
      <c r="AY61" s="265"/>
      <c r="AZ61" s="265"/>
      <c r="BA61" s="265"/>
      <c r="BB61" s="265"/>
      <c r="BC61" s="265"/>
      <c r="BD61" s="265"/>
      <c r="BE61" s="265"/>
      <c r="BF61" s="265"/>
      <c r="BG61" s="265"/>
      <c r="BH61" s="265"/>
      <c r="BI61" s="265"/>
      <c r="BJ61" s="265"/>
      <c r="BK61" s="265"/>
      <c r="BL61" s="265"/>
      <c r="BM61" s="265"/>
      <c r="BN61" s="265"/>
      <c r="BO61" s="265"/>
      <c r="BP61" s="265"/>
      <c r="BQ61" s="265"/>
      <c r="BR61" s="265"/>
      <c r="BS61" s="265"/>
      <c r="BT61" s="265"/>
      <c r="BU61" s="265"/>
      <c r="BV61" s="265"/>
      <c r="BW61" s="265"/>
      <c r="BX61" s="265"/>
      <c r="BY61" s="265"/>
      <c r="BZ61" s="265"/>
      <c r="CA61" s="265"/>
      <c r="CB61" s="265"/>
      <c r="CC61" s="265"/>
      <c r="CD61" s="265"/>
      <c r="CE61" s="265"/>
      <c r="CF61" s="265"/>
      <c r="CG61" s="265"/>
      <c r="CH61" s="265"/>
      <c r="CI61" s="265"/>
      <c r="CJ61" s="265"/>
      <c r="CK61" s="265"/>
      <c r="CL61" s="265"/>
      <c r="CM61" s="265"/>
      <c r="CN61" s="265"/>
      <c r="CO61" s="265"/>
      <c r="CP61" s="265"/>
      <c r="CQ61" s="265"/>
      <c r="CR61" s="265"/>
      <c r="CS61" s="265"/>
      <c r="CT61" s="265"/>
      <c r="CU61" s="265"/>
      <c r="CV61" s="265"/>
      <c r="CW61" s="265"/>
      <c r="CX61" s="256"/>
    </row>
    <row r="62" spans="1:102" x14ac:dyDescent="0.25">
      <c r="A62" s="261" t="s">
        <v>306</v>
      </c>
      <c r="B62" s="258" t="e" cm="1">
        <f t="array" aca="1" ref="B62" ca="1">TRANSPOSE(_xlfn._xlws.FILTER(INDIRECT($A62), Pay_ID_Period_End = $B$1))</f>
        <v>#REF!</v>
      </c>
      <c r="C62" s="258"/>
      <c r="D62" s="258"/>
      <c r="E62" s="258"/>
      <c r="F62" s="258"/>
      <c r="G62" s="258"/>
      <c r="H62" s="258"/>
      <c r="I62" s="258"/>
      <c r="J62" s="258"/>
      <c r="K62" s="258"/>
      <c r="L62" s="258"/>
      <c r="M62" s="258"/>
      <c r="N62" s="258"/>
      <c r="O62" s="258"/>
      <c r="P62" s="258"/>
      <c r="Q62" s="258"/>
      <c r="R62" s="258"/>
      <c r="S62" s="258"/>
      <c r="T62" s="258"/>
      <c r="U62" s="258"/>
      <c r="V62" s="258"/>
      <c r="W62" s="258"/>
      <c r="X62" s="258"/>
      <c r="Y62" s="258"/>
      <c r="Z62" s="258"/>
      <c r="AA62" s="258"/>
      <c r="AB62" s="258"/>
      <c r="AC62" s="258"/>
      <c r="AD62" s="258"/>
      <c r="AE62" s="258"/>
      <c r="AF62" s="258"/>
      <c r="AG62" s="258"/>
      <c r="AH62" s="258"/>
      <c r="AI62" s="258"/>
      <c r="AJ62" s="258"/>
      <c r="AK62" s="258"/>
      <c r="AL62" s="258"/>
      <c r="AM62" s="258"/>
      <c r="AN62" s="258"/>
      <c r="AO62" s="258"/>
      <c r="AP62" s="258"/>
      <c r="AQ62" s="258"/>
      <c r="AR62" s="258"/>
      <c r="AS62" s="258"/>
      <c r="AT62" s="258"/>
      <c r="AU62" s="258"/>
      <c r="AV62" s="258"/>
      <c r="AW62" s="258"/>
      <c r="AX62" s="258"/>
      <c r="AY62" s="258"/>
      <c r="AZ62" s="258"/>
      <c r="BA62" s="258"/>
      <c r="BB62" s="258"/>
      <c r="BC62" s="258"/>
      <c r="BD62" s="258"/>
      <c r="BE62" s="258"/>
      <c r="BF62" s="258"/>
      <c r="BG62" s="258"/>
      <c r="BH62" s="258"/>
      <c r="BI62" s="258"/>
      <c r="BJ62" s="258"/>
      <c r="BK62" s="258"/>
      <c r="BL62" s="258"/>
      <c r="BM62" s="258"/>
      <c r="BN62" s="258"/>
      <c r="BO62" s="258"/>
      <c r="BP62" s="258"/>
      <c r="BQ62" s="258"/>
      <c r="BR62" s="258"/>
      <c r="BS62" s="258"/>
      <c r="BT62" s="258"/>
      <c r="BU62" s="258"/>
      <c r="BV62" s="258"/>
      <c r="BW62" s="258"/>
      <c r="BX62" s="258"/>
      <c r="BY62" s="258"/>
      <c r="BZ62" s="258"/>
      <c r="CA62" s="258"/>
      <c r="CB62" s="258"/>
      <c r="CC62" s="258"/>
      <c r="CD62" s="258"/>
      <c r="CE62" s="258"/>
      <c r="CF62" s="258"/>
      <c r="CG62" s="258"/>
      <c r="CH62" s="258"/>
      <c r="CI62" s="258"/>
      <c r="CJ62" s="258"/>
      <c r="CK62" s="258"/>
      <c r="CL62" s="258"/>
      <c r="CM62" s="258"/>
      <c r="CN62" s="258"/>
      <c r="CO62" s="258"/>
      <c r="CP62" s="258"/>
      <c r="CQ62" s="258"/>
      <c r="CR62" s="258"/>
      <c r="CS62" s="258"/>
      <c r="CT62" s="258"/>
      <c r="CU62" s="258"/>
      <c r="CV62" s="258"/>
      <c r="CW62" s="258"/>
    </row>
    <row r="63" spans="1:102" x14ac:dyDescent="0.25">
      <c r="A63" s="261" t="s">
        <v>307</v>
      </c>
      <c r="B63" s="258" t="e" cm="1">
        <f t="array" aca="1" ref="B63" ca="1">TRANSPOSE(_xlfn._xlws.FILTER(INDIRECT($A63), Pay_ID_Period_End = $B$1))</f>
        <v>#REF!</v>
      </c>
      <c r="C63" s="258"/>
      <c r="D63" s="258"/>
      <c r="E63" s="258"/>
      <c r="F63" s="258"/>
      <c r="G63" s="258"/>
      <c r="H63" s="258"/>
      <c r="I63" s="258"/>
      <c r="J63" s="258"/>
      <c r="K63" s="258"/>
      <c r="L63" s="258"/>
      <c r="M63" s="258"/>
      <c r="N63" s="258"/>
      <c r="O63" s="258"/>
      <c r="P63" s="258"/>
      <c r="Q63" s="258"/>
      <c r="R63" s="258"/>
      <c r="S63" s="258"/>
      <c r="T63" s="258"/>
      <c r="U63" s="258"/>
      <c r="V63" s="258"/>
      <c r="W63" s="258"/>
      <c r="X63" s="258"/>
      <c r="Y63" s="258"/>
      <c r="Z63" s="258"/>
      <c r="AA63" s="258"/>
      <c r="AB63" s="258"/>
      <c r="AC63" s="258"/>
      <c r="AD63" s="258"/>
      <c r="AE63" s="258"/>
      <c r="AF63" s="258"/>
      <c r="AG63" s="258"/>
      <c r="AH63" s="258"/>
      <c r="AI63" s="258"/>
      <c r="AJ63" s="258"/>
      <c r="AK63" s="258"/>
      <c r="AL63" s="258"/>
      <c r="AM63" s="258"/>
      <c r="AN63" s="258"/>
      <c r="AO63" s="258"/>
      <c r="AP63" s="258"/>
      <c r="AQ63" s="258"/>
      <c r="AR63" s="258"/>
      <c r="AS63" s="258"/>
      <c r="AT63" s="258"/>
      <c r="AU63" s="258"/>
      <c r="AV63" s="258"/>
      <c r="AW63" s="258"/>
      <c r="AX63" s="258"/>
      <c r="AY63" s="258"/>
      <c r="AZ63" s="258"/>
      <c r="BA63" s="258"/>
      <c r="BB63" s="258"/>
      <c r="BC63" s="258"/>
      <c r="BD63" s="258"/>
      <c r="BE63" s="258"/>
      <c r="BF63" s="258"/>
      <c r="BG63" s="258"/>
      <c r="BH63" s="258"/>
      <c r="BI63" s="258"/>
      <c r="BJ63" s="258"/>
      <c r="BK63" s="258"/>
      <c r="BL63" s="258"/>
      <c r="BM63" s="258"/>
      <c r="BN63" s="258"/>
      <c r="BO63" s="258"/>
      <c r="BP63" s="258"/>
      <c r="BQ63" s="258"/>
      <c r="BR63" s="258"/>
      <c r="BS63" s="258"/>
      <c r="BT63" s="258"/>
      <c r="BU63" s="258"/>
      <c r="BV63" s="258"/>
      <c r="BW63" s="258"/>
      <c r="BX63" s="258"/>
      <c r="BY63" s="258"/>
      <c r="BZ63" s="258"/>
      <c r="CA63" s="258"/>
      <c r="CB63" s="258"/>
      <c r="CC63" s="258"/>
      <c r="CD63" s="258"/>
      <c r="CE63" s="258"/>
      <c r="CF63" s="258"/>
      <c r="CG63" s="258"/>
      <c r="CH63" s="258"/>
      <c r="CI63" s="258"/>
      <c r="CJ63" s="258"/>
      <c r="CK63" s="258"/>
      <c r="CL63" s="258"/>
      <c r="CM63" s="258"/>
      <c r="CN63" s="258"/>
      <c r="CO63" s="258"/>
      <c r="CP63" s="258"/>
      <c r="CQ63" s="258"/>
      <c r="CR63" s="258"/>
      <c r="CS63" s="258"/>
      <c r="CT63" s="258"/>
      <c r="CU63" s="258"/>
      <c r="CV63" s="258"/>
      <c r="CW63" s="258"/>
    </row>
    <row r="64" spans="1:102" x14ac:dyDescent="0.25">
      <c r="A64" s="261" t="s">
        <v>308</v>
      </c>
      <c r="B64" s="258" t="e" cm="1">
        <f t="array" aca="1" ref="B64" ca="1">TRANSPOSE(_xlfn._xlws.FILTER(INDIRECT($A64), Pay_ID_Period_End = $B$1))</f>
        <v>#REF!</v>
      </c>
      <c r="C64" s="258"/>
      <c r="D64" s="258"/>
      <c r="E64" s="258"/>
      <c r="F64" s="258"/>
      <c r="G64" s="258"/>
      <c r="H64" s="258"/>
      <c r="I64" s="258"/>
      <c r="J64" s="258"/>
      <c r="K64" s="258"/>
      <c r="L64" s="258"/>
      <c r="M64" s="258"/>
      <c r="N64" s="258"/>
      <c r="O64" s="258"/>
      <c r="P64" s="258"/>
      <c r="Q64" s="258"/>
      <c r="R64" s="258"/>
      <c r="S64" s="258"/>
      <c r="T64" s="258"/>
      <c r="U64" s="258"/>
      <c r="V64" s="258"/>
      <c r="W64" s="258"/>
      <c r="X64" s="258"/>
      <c r="Y64" s="258"/>
      <c r="Z64" s="258"/>
      <c r="AA64" s="258"/>
      <c r="AB64" s="258"/>
      <c r="AC64" s="258"/>
      <c r="AD64" s="258"/>
      <c r="AE64" s="258"/>
      <c r="AF64" s="258"/>
      <c r="AG64" s="258"/>
      <c r="AH64" s="258"/>
      <c r="AI64" s="258"/>
      <c r="AJ64" s="258"/>
      <c r="AK64" s="258"/>
      <c r="AL64" s="258"/>
      <c r="AM64" s="258"/>
      <c r="AN64" s="258"/>
      <c r="AO64" s="258"/>
      <c r="AP64" s="258"/>
      <c r="AQ64" s="258"/>
      <c r="AR64" s="258"/>
      <c r="AS64" s="258"/>
      <c r="AT64" s="258"/>
      <c r="AU64" s="258"/>
      <c r="AV64" s="258"/>
      <c r="AW64" s="258"/>
      <c r="AX64" s="258"/>
      <c r="AY64" s="258"/>
      <c r="AZ64" s="258"/>
      <c r="BA64" s="258"/>
      <c r="BB64" s="258"/>
      <c r="BC64" s="258"/>
      <c r="BD64" s="258"/>
      <c r="BE64" s="258"/>
      <c r="BF64" s="258"/>
      <c r="BG64" s="258"/>
      <c r="BH64" s="258"/>
      <c r="BI64" s="258"/>
      <c r="BJ64" s="258"/>
      <c r="BK64" s="258"/>
      <c r="BL64" s="258"/>
      <c r="BM64" s="258"/>
      <c r="BN64" s="258"/>
      <c r="BO64" s="258"/>
      <c r="BP64" s="258"/>
      <c r="BQ64" s="258"/>
      <c r="BR64" s="258"/>
      <c r="BS64" s="258"/>
      <c r="BT64" s="258"/>
      <c r="BU64" s="258"/>
      <c r="BV64" s="258"/>
      <c r="BW64" s="258"/>
      <c r="BX64" s="258"/>
      <c r="BY64" s="258"/>
      <c r="BZ64" s="258"/>
      <c r="CA64" s="258"/>
      <c r="CB64" s="258"/>
      <c r="CC64" s="258"/>
      <c r="CD64" s="258"/>
      <c r="CE64" s="258"/>
      <c r="CF64" s="258"/>
      <c r="CG64" s="258"/>
      <c r="CH64" s="258"/>
      <c r="CI64" s="258"/>
      <c r="CJ64" s="258"/>
      <c r="CK64" s="258"/>
      <c r="CL64" s="258"/>
      <c r="CM64" s="258"/>
      <c r="CN64" s="258"/>
      <c r="CO64" s="258"/>
      <c r="CP64" s="258"/>
      <c r="CQ64" s="258"/>
      <c r="CR64" s="258"/>
      <c r="CS64" s="258"/>
      <c r="CT64" s="258"/>
      <c r="CU64" s="258"/>
      <c r="CV64" s="258"/>
      <c r="CW64" s="258"/>
    </row>
    <row r="65" spans="1:102" x14ac:dyDescent="0.25">
      <c r="A65" s="261" t="s">
        <v>309</v>
      </c>
      <c r="B65" s="258" t="e" cm="1">
        <f t="array" aca="1" ref="B65" ca="1">TRANSPOSE(_xlfn._xlws.FILTER(INDIRECT($A65), Pay_ID_Period_End = $B$1))</f>
        <v>#REF!</v>
      </c>
      <c r="C65" s="258"/>
      <c r="D65" s="258"/>
      <c r="E65" s="258"/>
      <c r="F65" s="258"/>
      <c r="G65" s="258"/>
      <c r="H65" s="258"/>
      <c r="I65" s="258"/>
      <c r="J65" s="258"/>
      <c r="K65" s="258"/>
      <c r="L65" s="258"/>
      <c r="M65" s="258"/>
      <c r="N65" s="258"/>
      <c r="O65" s="258"/>
      <c r="P65" s="258"/>
      <c r="Q65" s="258"/>
      <c r="R65" s="258"/>
      <c r="S65" s="258"/>
      <c r="T65" s="258"/>
      <c r="U65" s="258"/>
      <c r="V65" s="258"/>
      <c r="W65" s="258"/>
      <c r="X65" s="258"/>
      <c r="Y65" s="258"/>
      <c r="Z65" s="258"/>
      <c r="AA65" s="258"/>
      <c r="AB65" s="258"/>
      <c r="AC65" s="258"/>
      <c r="AD65" s="258"/>
      <c r="AE65" s="258"/>
      <c r="AF65" s="258"/>
      <c r="AG65" s="258"/>
      <c r="AH65" s="258"/>
      <c r="AI65" s="258"/>
      <c r="AJ65" s="258"/>
      <c r="AK65" s="258"/>
      <c r="AL65" s="258"/>
      <c r="AM65" s="258"/>
      <c r="AN65" s="258"/>
      <c r="AO65" s="258"/>
      <c r="AP65" s="258"/>
      <c r="AQ65" s="258"/>
      <c r="AR65" s="258"/>
      <c r="AS65" s="258"/>
      <c r="AT65" s="258"/>
      <c r="AU65" s="258"/>
      <c r="AV65" s="258"/>
      <c r="AW65" s="258"/>
      <c r="AX65" s="258"/>
      <c r="AY65" s="258"/>
      <c r="AZ65" s="258"/>
      <c r="BA65" s="258"/>
      <c r="BB65" s="258"/>
      <c r="BC65" s="258"/>
      <c r="BD65" s="258"/>
      <c r="BE65" s="258"/>
      <c r="BF65" s="258"/>
      <c r="BG65" s="258"/>
      <c r="BH65" s="258"/>
      <c r="BI65" s="258"/>
      <c r="BJ65" s="258"/>
      <c r="BK65" s="258"/>
      <c r="BL65" s="258"/>
      <c r="BM65" s="258"/>
      <c r="BN65" s="258"/>
      <c r="BO65" s="258"/>
      <c r="BP65" s="258"/>
      <c r="BQ65" s="258"/>
      <c r="BR65" s="258"/>
      <c r="BS65" s="258"/>
      <c r="BT65" s="258"/>
      <c r="BU65" s="258"/>
      <c r="BV65" s="258"/>
      <c r="BW65" s="258"/>
      <c r="BX65" s="258"/>
      <c r="BY65" s="258"/>
      <c r="BZ65" s="258"/>
      <c r="CA65" s="258"/>
      <c r="CB65" s="258"/>
      <c r="CC65" s="258"/>
      <c r="CD65" s="258"/>
      <c r="CE65" s="258"/>
      <c r="CF65" s="258"/>
      <c r="CG65" s="258"/>
      <c r="CH65" s="258"/>
      <c r="CI65" s="258"/>
      <c r="CJ65" s="258"/>
      <c r="CK65" s="258"/>
      <c r="CL65" s="258"/>
      <c r="CM65" s="258"/>
      <c r="CN65" s="258"/>
      <c r="CO65" s="258"/>
      <c r="CP65" s="258"/>
      <c r="CQ65" s="258"/>
      <c r="CR65" s="258"/>
      <c r="CS65" s="258"/>
      <c r="CT65" s="258"/>
      <c r="CU65" s="258"/>
      <c r="CV65" s="258"/>
      <c r="CW65" s="258"/>
    </row>
    <row r="66" spans="1:102" x14ac:dyDescent="0.25">
      <c r="A66" s="264" t="s">
        <v>310</v>
      </c>
      <c r="B66" s="265" t="e" cm="1">
        <f t="array" aca="1" ref="B66" ca="1">TRANSPOSE(_xlfn._xlws.FILTER(INDIRECT($A66), Pay_ID_Period_End = $B$1))</f>
        <v>#REF!</v>
      </c>
      <c r="C66" s="265"/>
      <c r="D66" s="265"/>
      <c r="E66" s="265"/>
      <c r="F66" s="265"/>
      <c r="G66" s="265"/>
      <c r="H66" s="265"/>
      <c r="I66" s="265"/>
      <c r="J66" s="265"/>
      <c r="K66" s="265"/>
      <c r="L66" s="265"/>
      <c r="M66" s="265"/>
      <c r="N66" s="265"/>
      <c r="O66" s="265"/>
      <c r="P66" s="265"/>
      <c r="Q66" s="265"/>
      <c r="R66" s="265"/>
      <c r="S66" s="265"/>
      <c r="T66" s="265"/>
      <c r="U66" s="265"/>
      <c r="V66" s="265"/>
      <c r="W66" s="265"/>
      <c r="X66" s="265"/>
      <c r="Y66" s="265"/>
      <c r="Z66" s="265"/>
      <c r="AA66" s="265"/>
      <c r="AB66" s="265"/>
      <c r="AC66" s="265"/>
      <c r="AD66" s="265"/>
      <c r="AE66" s="265"/>
      <c r="AF66" s="265"/>
      <c r="AG66" s="265"/>
      <c r="AH66" s="265"/>
      <c r="AI66" s="265"/>
      <c r="AJ66" s="265"/>
      <c r="AK66" s="265"/>
      <c r="AL66" s="265"/>
      <c r="AM66" s="265"/>
      <c r="AN66" s="265"/>
      <c r="AO66" s="265"/>
      <c r="AP66" s="265"/>
      <c r="AQ66" s="265"/>
      <c r="AR66" s="265"/>
      <c r="AS66" s="265"/>
      <c r="AT66" s="265"/>
      <c r="AU66" s="265"/>
      <c r="AV66" s="265"/>
      <c r="AW66" s="265"/>
      <c r="AX66" s="265"/>
      <c r="AY66" s="265"/>
      <c r="AZ66" s="265"/>
      <c r="BA66" s="265"/>
      <c r="BB66" s="265"/>
      <c r="BC66" s="265"/>
      <c r="BD66" s="265"/>
      <c r="BE66" s="265"/>
      <c r="BF66" s="265"/>
      <c r="BG66" s="265"/>
      <c r="BH66" s="265"/>
      <c r="BI66" s="265"/>
      <c r="BJ66" s="265"/>
      <c r="BK66" s="265"/>
      <c r="BL66" s="265"/>
      <c r="BM66" s="265"/>
      <c r="BN66" s="265"/>
      <c r="BO66" s="265"/>
      <c r="BP66" s="265"/>
      <c r="BQ66" s="265"/>
      <c r="BR66" s="265"/>
      <c r="BS66" s="265"/>
      <c r="BT66" s="265"/>
      <c r="BU66" s="265"/>
      <c r="BV66" s="265"/>
      <c r="BW66" s="265"/>
      <c r="BX66" s="265"/>
      <c r="BY66" s="265"/>
      <c r="BZ66" s="265"/>
      <c r="CA66" s="265"/>
      <c r="CB66" s="265"/>
      <c r="CC66" s="265"/>
      <c r="CD66" s="265"/>
      <c r="CE66" s="265"/>
      <c r="CF66" s="265"/>
      <c r="CG66" s="265"/>
      <c r="CH66" s="265"/>
      <c r="CI66" s="265"/>
      <c r="CJ66" s="265"/>
      <c r="CK66" s="265"/>
      <c r="CL66" s="265"/>
      <c r="CM66" s="265"/>
      <c r="CN66" s="265"/>
      <c r="CO66" s="265"/>
      <c r="CP66" s="265"/>
      <c r="CQ66" s="265"/>
      <c r="CR66" s="265"/>
      <c r="CS66" s="265"/>
      <c r="CT66" s="265"/>
      <c r="CU66" s="265"/>
      <c r="CV66" s="265"/>
      <c r="CW66" s="265"/>
      <c r="CX66" s="256"/>
    </row>
    <row r="67" spans="1:102" x14ac:dyDescent="0.25">
      <c r="A67" s="261" t="s">
        <v>311</v>
      </c>
      <c r="B67" s="258" t="e" cm="1">
        <f t="array" aca="1" ref="B67" ca="1">TRANSPOSE(_xlfn._xlws.FILTER(INDIRECT($A67), Pay_ID_Period_End = $B$1))</f>
        <v>#REF!</v>
      </c>
      <c r="C67" s="258"/>
      <c r="D67" s="258"/>
      <c r="E67" s="258"/>
      <c r="F67" s="258"/>
      <c r="G67" s="258"/>
      <c r="H67" s="258"/>
      <c r="I67" s="258"/>
      <c r="J67" s="258"/>
      <c r="K67" s="258"/>
      <c r="L67" s="258"/>
      <c r="M67" s="258"/>
      <c r="N67" s="258"/>
      <c r="O67" s="258"/>
      <c r="P67" s="258"/>
      <c r="Q67" s="258"/>
      <c r="R67" s="258"/>
      <c r="S67" s="258"/>
      <c r="T67" s="258"/>
      <c r="U67" s="258"/>
      <c r="V67" s="258"/>
      <c r="W67" s="258"/>
      <c r="X67" s="258"/>
      <c r="Y67" s="258"/>
      <c r="Z67" s="258"/>
      <c r="AA67" s="258"/>
      <c r="AB67" s="258"/>
      <c r="AC67" s="258"/>
      <c r="AD67" s="258"/>
      <c r="AE67" s="258"/>
      <c r="AF67" s="258"/>
      <c r="AG67" s="258"/>
      <c r="AH67" s="258"/>
      <c r="AI67" s="258"/>
      <c r="AJ67" s="258"/>
      <c r="AK67" s="258"/>
      <c r="AL67" s="258"/>
      <c r="AM67" s="258"/>
      <c r="AN67" s="258"/>
      <c r="AO67" s="258"/>
      <c r="AP67" s="258"/>
      <c r="AQ67" s="258"/>
      <c r="AR67" s="258"/>
      <c r="AS67" s="258"/>
      <c r="AT67" s="258"/>
      <c r="AU67" s="258"/>
      <c r="AV67" s="258"/>
      <c r="AW67" s="258"/>
      <c r="AX67" s="258"/>
      <c r="AY67" s="258"/>
      <c r="AZ67" s="258"/>
      <c r="BA67" s="258"/>
      <c r="BB67" s="258"/>
      <c r="BC67" s="258"/>
      <c r="BD67" s="258"/>
      <c r="BE67" s="258"/>
      <c r="BF67" s="258"/>
      <c r="BG67" s="258"/>
      <c r="BH67" s="258"/>
      <c r="BI67" s="258"/>
      <c r="BJ67" s="258"/>
      <c r="BK67" s="258"/>
      <c r="BL67" s="258"/>
      <c r="BM67" s="258"/>
      <c r="BN67" s="258"/>
      <c r="BO67" s="258"/>
      <c r="BP67" s="258"/>
      <c r="BQ67" s="258"/>
      <c r="BR67" s="258"/>
      <c r="BS67" s="258"/>
      <c r="BT67" s="258"/>
      <c r="BU67" s="258"/>
      <c r="BV67" s="258"/>
      <c r="BW67" s="258"/>
      <c r="BX67" s="258"/>
      <c r="BY67" s="258"/>
      <c r="BZ67" s="258"/>
      <c r="CA67" s="258"/>
      <c r="CB67" s="258"/>
      <c r="CC67" s="258"/>
      <c r="CD67" s="258"/>
      <c r="CE67" s="258"/>
      <c r="CF67" s="258"/>
      <c r="CG67" s="258"/>
      <c r="CH67" s="258"/>
      <c r="CI67" s="258"/>
      <c r="CJ67" s="258"/>
      <c r="CK67" s="258"/>
      <c r="CL67" s="258"/>
      <c r="CM67" s="258"/>
      <c r="CN67" s="258"/>
      <c r="CO67" s="258"/>
      <c r="CP67" s="258"/>
      <c r="CQ67" s="258"/>
      <c r="CR67" s="258"/>
      <c r="CS67" s="258"/>
      <c r="CT67" s="258"/>
      <c r="CU67" s="258"/>
      <c r="CV67" s="258"/>
      <c r="CW67" s="258"/>
    </row>
    <row r="68" spans="1:102" x14ac:dyDescent="0.25">
      <c r="A68" s="262" t="s">
        <v>450</v>
      </c>
      <c r="B68" s="263" t="e" cm="1">
        <f t="array" aca="1" ref="B68" ca="1">TRANSPOSE(_xlfn._xlws.FILTER(INDIRECT($A68), Pay_ID_Period_End = $B$1))</f>
        <v>#REF!</v>
      </c>
      <c r="C68" s="263"/>
      <c r="D68" s="263"/>
      <c r="E68" s="263"/>
      <c r="F68" s="263"/>
      <c r="G68" s="263"/>
      <c r="H68" s="263"/>
      <c r="I68" s="263"/>
      <c r="J68" s="263"/>
      <c r="K68" s="263"/>
      <c r="L68" s="263"/>
      <c r="M68" s="263"/>
      <c r="N68" s="263"/>
      <c r="O68" s="263"/>
      <c r="P68" s="263"/>
      <c r="Q68" s="263"/>
      <c r="R68" s="263"/>
      <c r="S68" s="263"/>
      <c r="T68" s="263"/>
      <c r="U68" s="263"/>
      <c r="V68" s="263"/>
      <c r="W68" s="263"/>
      <c r="X68" s="263"/>
      <c r="Y68" s="263"/>
      <c r="Z68" s="263"/>
      <c r="AA68" s="263"/>
      <c r="AB68" s="263"/>
      <c r="AC68" s="263"/>
      <c r="AD68" s="263"/>
      <c r="AE68" s="263"/>
      <c r="AF68" s="263"/>
      <c r="AG68" s="263"/>
      <c r="AH68" s="263"/>
      <c r="AI68" s="263"/>
      <c r="AJ68" s="263"/>
      <c r="AK68" s="263"/>
      <c r="AL68" s="263"/>
      <c r="AM68" s="263"/>
      <c r="AN68" s="263"/>
      <c r="AO68" s="263"/>
      <c r="AP68" s="263"/>
      <c r="AQ68" s="263"/>
      <c r="AR68" s="263"/>
      <c r="AS68" s="263"/>
      <c r="AT68" s="263"/>
      <c r="AU68" s="263"/>
      <c r="AV68" s="263"/>
      <c r="AW68" s="263"/>
      <c r="AX68" s="263"/>
      <c r="AY68" s="263"/>
      <c r="AZ68" s="263"/>
      <c r="BA68" s="263"/>
      <c r="BB68" s="263"/>
      <c r="BC68" s="263"/>
      <c r="BD68" s="263"/>
      <c r="BE68" s="263"/>
      <c r="BF68" s="263"/>
      <c r="BG68" s="263"/>
      <c r="BH68" s="263"/>
      <c r="BI68" s="263"/>
      <c r="BJ68" s="263"/>
      <c r="BK68" s="263"/>
      <c r="BL68" s="263"/>
      <c r="BM68" s="263"/>
      <c r="BN68" s="263"/>
      <c r="BO68" s="263"/>
      <c r="BP68" s="263"/>
      <c r="BQ68" s="263"/>
      <c r="BR68" s="263"/>
      <c r="BS68" s="263"/>
      <c r="BT68" s="263"/>
      <c r="BU68" s="263"/>
      <c r="BV68" s="263"/>
      <c r="BW68" s="263"/>
      <c r="BX68" s="263"/>
      <c r="BY68" s="263"/>
      <c r="BZ68" s="263"/>
      <c r="CA68" s="263"/>
      <c r="CB68" s="263"/>
      <c r="CC68" s="263"/>
      <c r="CD68" s="263"/>
      <c r="CE68" s="263"/>
      <c r="CF68" s="263"/>
      <c r="CG68" s="263"/>
      <c r="CH68" s="263"/>
      <c r="CI68" s="263"/>
      <c r="CJ68" s="263"/>
      <c r="CK68" s="263"/>
      <c r="CL68" s="263"/>
      <c r="CM68" s="263"/>
      <c r="CN68" s="263"/>
      <c r="CO68" s="263"/>
      <c r="CP68" s="263"/>
      <c r="CQ68" s="263"/>
      <c r="CR68" s="263"/>
      <c r="CS68" s="263"/>
      <c r="CT68" s="263"/>
      <c r="CU68" s="263"/>
      <c r="CV68" s="263"/>
      <c r="CW68" s="263"/>
      <c r="CX68" s="252"/>
    </row>
    <row r="69" spans="1:102" x14ac:dyDescent="0.25">
      <c r="A69" s="262" t="s">
        <v>451</v>
      </c>
      <c r="B69" s="263" t="e" cm="1">
        <f t="array" aca="1" ref="B69" ca="1">TRANSPOSE(_xlfn._xlws.FILTER(INDIRECT($A69), Pay_ID_Period_End = $B$1))</f>
        <v>#REF!</v>
      </c>
      <c r="C69" s="263"/>
      <c r="D69" s="263"/>
      <c r="E69" s="263"/>
      <c r="F69" s="263"/>
      <c r="G69" s="263"/>
      <c r="H69" s="263"/>
      <c r="I69" s="263"/>
      <c r="J69" s="263"/>
      <c r="K69" s="263"/>
      <c r="L69" s="263"/>
      <c r="M69" s="263"/>
      <c r="N69" s="263"/>
      <c r="O69" s="263"/>
      <c r="P69" s="263"/>
      <c r="Q69" s="263"/>
      <c r="R69" s="263"/>
      <c r="S69" s="263"/>
      <c r="T69" s="263"/>
      <c r="U69" s="263"/>
      <c r="V69" s="263"/>
      <c r="W69" s="263"/>
      <c r="X69" s="263"/>
      <c r="Y69" s="263"/>
      <c r="Z69" s="263"/>
      <c r="AA69" s="263"/>
      <c r="AB69" s="263"/>
      <c r="AC69" s="263"/>
      <c r="AD69" s="263"/>
      <c r="AE69" s="263"/>
      <c r="AF69" s="263"/>
      <c r="AG69" s="263"/>
      <c r="AH69" s="263"/>
      <c r="AI69" s="263"/>
      <c r="AJ69" s="263"/>
      <c r="AK69" s="263"/>
      <c r="AL69" s="263"/>
      <c r="AM69" s="263"/>
      <c r="AN69" s="263"/>
      <c r="AO69" s="263"/>
      <c r="AP69" s="263"/>
      <c r="AQ69" s="263"/>
      <c r="AR69" s="263"/>
      <c r="AS69" s="263"/>
      <c r="AT69" s="263"/>
      <c r="AU69" s="263"/>
      <c r="AV69" s="263"/>
      <c r="AW69" s="263"/>
      <c r="AX69" s="263"/>
      <c r="AY69" s="263"/>
      <c r="AZ69" s="263"/>
      <c r="BA69" s="263"/>
      <c r="BB69" s="263"/>
      <c r="BC69" s="263"/>
      <c r="BD69" s="263"/>
      <c r="BE69" s="263"/>
      <c r="BF69" s="263"/>
      <c r="BG69" s="263"/>
      <c r="BH69" s="263"/>
      <c r="BI69" s="263"/>
      <c r="BJ69" s="263"/>
      <c r="BK69" s="263"/>
      <c r="BL69" s="263"/>
      <c r="BM69" s="263"/>
      <c r="BN69" s="263"/>
      <c r="BO69" s="263"/>
      <c r="BP69" s="263"/>
      <c r="BQ69" s="263"/>
      <c r="BR69" s="263"/>
      <c r="BS69" s="263"/>
      <c r="BT69" s="263"/>
      <c r="BU69" s="263"/>
      <c r="BV69" s="263"/>
      <c r="BW69" s="263"/>
      <c r="BX69" s="263"/>
      <c r="BY69" s="263"/>
      <c r="BZ69" s="263"/>
      <c r="CA69" s="263"/>
      <c r="CB69" s="263"/>
      <c r="CC69" s="263"/>
      <c r="CD69" s="263"/>
      <c r="CE69" s="263"/>
      <c r="CF69" s="263"/>
      <c r="CG69" s="263"/>
      <c r="CH69" s="263"/>
      <c r="CI69" s="263"/>
      <c r="CJ69" s="263"/>
      <c r="CK69" s="263"/>
      <c r="CL69" s="263"/>
      <c r="CM69" s="263"/>
      <c r="CN69" s="263"/>
      <c r="CO69" s="263"/>
      <c r="CP69" s="263"/>
      <c r="CQ69" s="263"/>
      <c r="CR69" s="263"/>
      <c r="CS69" s="263"/>
      <c r="CT69" s="263"/>
      <c r="CU69" s="263"/>
      <c r="CV69" s="263"/>
      <c r="CW69" s="263"/>
      <c r="CX69" s="252"/>
    </row>
    <row r="70" spans="1:102" x14ac:dyDescent="0.25">
      <c r="A70" s="262" t="s">
        <v>452</v>
      </c>
      <c r="B70" s="263" t="e" cm="1">
        <f t="array" aca="1" ref="B70" ca="1">TRANSPOSE(_xlfn._xlws.FILTER(INDIRECT($A70), Pay_ID_Period_End = $B$1))</f>
        <v>#REF!</v>
      </c>
      <c r="C70" s="263"/>
      <c r="D70" s="263"/>
      <c r="E70" s="263"/>
      <c r="F70" s="263"/>
      <c r="G70" s="263"/>
      <c r="H70" s="263"/>
      <c r="I70" s="263"/>
      <c r="J70" s="263"/>
      <c r="K70" s="263"/>
      <c r="L70" s="263"/>
      <c r="M70" s="263"/>
      <c r="N70" s="263"/>
      <c r="O70" s="263"/>
      <c r="P70" s="263"/>
      <c r="Q70" s="263"/>
      <c r="R70" s="263"/>
      <c r="S70" s="263"/>
      <c r="T70" s="263"/>
      <c r="U70" s="263"/>
      <c r="V70" s="263"/>
      <c r="W70" s="263"/>
      <c r="X70" s="263"/>
      <c r="Y70" s="263"/>
      <c r="Z70" s="263"/>
      <c r="AA70" s="263"/>
      <c r="AB70" s="263"/>
      <c r="AC70" s="263"/>
      <c r="AD70" s="263"/>
      <c r="AE70" s="263"/>
      <c r="AF70" s="263"/>
      <c r="AG70" s="263"/>
      <c r="AH70" s="263"/>
      <c r="AI70" s="263"/>
      <c r="AJ70" s="263"/>
      <c r="AK70" s="263"/>
      <c r="AL70" s="263"/>
      <c r="AM70" s="263"/>
      <c r="AN70" s="263"/>
      <c r="AO70" s="263"/>
      <c r="AP70" s="263"/>
      <c r="AQ70" s="263"/>
      <c r="AR70" s="263"/>
      <c r="AS70" s="263"/>
      <c r="AT70" s="263"/>
      <c r="AU70" s="263"/>
      <c r="AV70" s="263"/>
      <c r="AW70" s="263"/>
      <c r="AX70" s="263"/>
      <c r="AY70" s="263"/>
      <c r="AZ70" s="263"/>
      <c r="BA70" s="263"/>
      <c r="BB70" s="263"/>
      <c r="BC70" s="263"/>
      <c r="BD70" s="263"/>
      <c r="BE70" s="263"/>
      <c r="BF70" s="263"/>
      <c r="BG70" s="263"/>
      <c r="BH70" s="263"/>
      <c r="BI70" s="263"/>
      <c r="BJ70" s="263"/>
      <c r="BK70" s="263"/>
      <c r="BL70" s="263"/>
      <c r="BM70" s="263"/>
      <c r="BN70" s="263"/>
      <c r="BO70" s="263"/>
      <c r="BP70" s="263"/>
      <c r="BQ70" s="263"/>
      <c r="BR70" s="263"/>
      <c r="BS70" s="263"/>
      <c r="BT70" s="263"/>
      <c r="BU70" s="263"/>
      <c r="BV70" s="263"/>
      <c r="BW70" s="263"/>
      <c r="BX70" s="263"/>
      <c r="BY70" s="263"/>
      <c r="BZ70" s="263"/>
      <c r="CA70" s="263"/>
      <c r="CB70" s="263"/>
      <c r="CC70" s="263"/>
      <c r="CD70" s="263"/>
      <c r="CE70" s="263"/>
      <c r="CF70" s="263"/>
      <c r="CG70" s="263"/>
      <c r="CH70" s="263"/>
      <c r="CI70" s="263"/>
      <c r="CJ70" s="263"/>
      <c r="CK70" s="263"/>
      <c r="CL70" s="263"/>
      <c r="CM70" s="263"/>
      <c r="CN70" s="263"/>
      <c r="CO70" s="263"/>
      <c r="CP70" s="263"/>
      <c r="CQ70" s="263"/>
      <c r="CR70" s="263"/>
      <c r="CS70" s="263"/>
      <c r="CT70" s="263"/>
      <c r="CU70" s="263"/>
      <c r="CV70" s="263"/>
      <c r="CW70" s="263"/>
      <c r="CX70" s="252"/>
    </row>
    <row r="71" spans="1:102" x14ac:dyDescent="0.25">
      <c r="A71" s="262" t="s">
        <v>453</v>
      </c>
      <c r="B71" s="263" t="e" cm="1">
        <f t="array" aca="1" ref="B71" ca="1">TRANSPOSE(_xlfn._xlws.FILTER(INDIRECT($A71), Pay_ID_Period_End = $B$1))</f>
        <v>#REF!</v>
      </c>
      <c r="C71" s="263"/>
      <c r="D71" s="263"/>
      <c r="E71" s="263"/>
      <c r="F71" s="263"/>
      <c r="G71" s="263"/>
      <c r="H71" s="263"/>
      <c r="I71" s="263"/>
      <c r="J71" s="263"/>
      <c r="K71" s="263"/>
      <c r="L71" s="263"/>
      <c r="M71" s="263"/>
      <c r="N71" s="263"/>
      <c r="O71" s="263"/>
      <c r="P71" s="263"/>
      <c r="Q71" s="263"/>
      <c r="R71" s="263"/>
      <c r="S71" s="263"/>
      <c r="T71" s="263"/>
      <c r="U71" s="263"/>
      <c r="V71" s="263"/>
      <c r="W71" s="263"/>
      <c r="X71" s="263"/>
      <c r="Y71" s="263"/>
      <c r="Z71" s="263"/>
      <c r="AA71" s="263"/>
      <c r="AB71" s="263"/>
      <c r="AC71" s="263"/>
      <c r="AD71" s="263"/>
      <c r="AE71" s="263"/>
      <c r="AF71" s="263"/>
      <c r="AG71" s="263"/>
      <c r="AH71" s="263"/>
      <c r="AI71" s="263"/>
      <c r="AJ71" s="263"/>
      <c r="AK71" s="263"/>
      <c r="AL71" s="263"/>
      <c r="AM71" s="263"/>
      <c r="AN71" s="263"/>
      <c r="AO71" s="263"/>
      <c r="AP71" s="263"/>
      <c r="AQ71" s="263"/>
      <c r="AR71" s="263"/>
      <c r="AS71" s="263"/>
      <c r="AT71" s="263"/>
      <c r="AU71" s="263"/>
      <c r="AV71" s="263"/>
      <c r="AW71" s="263"/>
      <c r="AX71" s="263"/>
      <c r="AY71" s="263"/>
      <c r="AZ71" s="263"/>
      <c r="BA71" s="263"/>
      <c r="BB71" s="263"/>
      <c r="BC71" s="263"/>
      <c r="BD71" s="263"/>
      <c r="BE71" s="263"/>
      <c r="BF71" s="263"/>
      <c r="BG71" s="263"/>
      <c r="BH71" s="263"/>
      <c r="BI71" s="263"/>
      <c r="BJ71" s="263"/>
      <c r="BK71" s="263"/>
      <c r="BL71" s="263"/>
      <c r="BM71" s="263"/>
      <c r="BN71" s="263"/>
      <c r="BO71" s="263"/>
      <c r="BP71" s="263"/>
      <c r="BQ71" s="263"/>
      <c r="BR71" s="263"/>
      <c r="BS71" s="263"/>
      <c r="BT71" s="263"/>
      <c r="BU71" s="263"/>
      <c r="BV71" s="263"/>
      <c r="BW71" s="263"/>
      <c r="BX71" s="263"/>
      <c r="BY71" s="263"/>
      <c r="BZ71" s="263"/>
      <c r="CA71" s="263"/>
      <c r="CB71" s="263"/>
      <c r="CC71" s="263"/>
      <c r="CD71" s="263"/>
      <c r="CE71" s="263"/>
      <c r="CF71" s="263"/>
      <c r="CG71" s="263"/>
      <c r="CH71" s="263"/>
      <c r="CI71" s="263"/>
      <c r="CJ71" s="263"/>
      <c r="CK71" s="263"/>
      <c r="CL71" s="263"/>
      <c r="CM71" s="263"/>
      <c r="CN71" s="263"/>
      <c r="CO71" s="263"/>
      <c r="CP71" s="263"/>
      <c r="CQ71" s="263"/>
      <c r="CR71" s="263"/>
      <c r="CS71" s="263"/>
      <c r="CT71" s="263"/>
      <c r="CU71" s="263"/>
      <c r="CV71" s="263"/>
      <c r="CW71" s="263"/>
      <c r="CX71" s="252"/>
    </row>
    <row r="72" spans="1:102" x14ac:dyDescent="0.25">
      <c r="A72" s="264" t="s">
        <v>457</v>
      </c>
      <c r="B72" s="265" t="e" cm="1">
        <f t="array" aca="1" ref="B72" ca="1">TRANSPOSE(_xlfn._xlws.FILTER(INDIRECT($A72), Pay_ID_Period_End = $B$1))</f>
        <v>#REF!</v>
      </c>
      <c r="C72" s="265"/>
      <c r="D72" s="265"/>
      <c r="E72" s="265"/>
      <c r="F72" s="265"/>
      <c r="G72" s="265"/>
      <c r="H72" s="265"/>
      <c r="I72" s="265"/>
      <c r="J72" s="265"/>
      <c r="K72" s="265"/>
      <c r="L72" s="265"/>
      <c r="M72" s="265"/>
      <c r="N72" s="265"/>
      <c r="O72" s="265"/>
      <c r="P72" s="265"/>
      <c r="Q72" s="265"/>
      <c r="R72" s="265"/>
      <c r="S72" s="265"/>
      <c r="T72" s="265"/>
      <c r="U72" s="265"/>
      <c r="V72" s="265"/>
      <c r="W72" s="265"/>
      <c r="X72" s="265"/>
      <c r="Y72" s="265"/>
      <c r="Z72" s="265"/>
      <c r="AA72" s="265"/>
      <c r="AB72" s="265"/>
      <c r="AC72" s="265"/>
      <c r="AD72" s="265"/>
      <c r="AE72" s="265"/>
      <c r="AF72" s="265"/>
      <c r="AG72" s="265"/>
      <c r="AH72" s="265"/>
      <c r="AI72" s="265"/>
      <c r="AJ72" s="265"/>
      <c r="AK72" s="265"/>
      <c r="AL72" s="265"/>
      <c r="AM72" s="265"/>
      <c r="AN72" s="265"/>
      <c r="AO72" s="265"/>
      <c r="AP72" s="265"/>
      <c r="AQ72" s="265"/>
      <c r="AR72" s="265"/>
      <c r="AS72" s="265"/>
      <c r="AT72" s="265"/>
      <c r="AU72" s="265"/>
      <c r="AV72" s="265"/>
      <c r="AW72" s="265"/>
      <c r="AX72" s="265"/>
      <c r="AY72" s="265"/>
      <c r="AZ72" s="265"/>
      <c r="BA72" s="265"/>
      <c r="BB72" s="265"/>
      <c r="BC72" s="265"/>
      <c r="BD72" s="265"/>
      <c r="BE72" s="265"/>
      <c r="BF72" s="265"/>
      <c r="BG72" s="265"/>
      <c r="BH72" s="265"/>
      <c r="BI72" s="265"/>
      <c r="BJ72" s="265"/>
      <c r="BK72" s="265"/>
      <c r="BL72" s="265"/>
      <c r="BM72" s="265"/>
      <c r="BN72" s="265"/>
      <c r="BO72" s="265"/>
      <c r="BP72" s="265"/>
      <c r="BQ72" s="265"/>
      <c r="BR72" s="265"/>
      <c r="BS72" s="265"/>
      <c r="BT72" s="265"/>
      <c r="BU72" s="265"/>
      <c r="BV72" s="265"/>
      <c r="BW72" s="265"/>
      <c r="BX72" s="265"/>
      <c r="BY72" s="265"/>
      <c r="BZ72" s="265"/>
      <c r="CA72" s="265"/>
      <c r="CB72" s="265"/>
      <c r="CC72" s="265"/>
      <c r="CD72" s="265"/>
      <c r="CE72" s="265"/>
      <c r="CF72" s="265"/>
      <c r="CG72" s="265"/>
      <c r="CH72" s="265"/>
      <c r="CI72" s="265"/>
      <c r="CJ72" s="265"/>
      <c r="CK72" s="265"/>
      <c r="CL72" s="265"/>
      <c r="CM72" s="265"/>
      <c r="CN72" s="265"/>
      <c r="CO72" s="265"/>
      <c r="CP72" s="265"/>
      <c r="CQ72" s="265"/>
      <c r="CR72" s="265"/>
      <c r="CS72" s="265"/>
      <c r="CT72" s="265"/>
      <c r="CU72" s="265"/>
      <c r="CV72" s="265"/>
      <c r="CW72" s="265"/>
      <c r="CX72" s="256"/>
    </row>
    <row r="73" spans="1:102" x14ac:dyDescent="0.25">
      <c r="A73" s="264" t="s">
        <v>458</v>
      </c>
      <c r="B73" s="265" t="e" cm="1">
        <f t="array" aca="1" ref="B73" ca="1">TRANSPOSE(_xlfn._xlws.FILTER(INDIRECT($A73), Pay_ID_Period_End = $B$1))</f>
        <v>#REF!</v>
      </c>
      <c r="C73" s="265"/>
      <c r="D73" s="265"/>
      <c r="E73" s="265"/>
      <c r="F73" s="265"/>
      <c r="G73" s="265"/>
      <c r="H73" s="265"/>
      <c r="I73" s="265"/>
      <c r="J73" s="265"/>
      <c r="K73" s="265"/>
      <c r="L73" s="265"/>
      <c r="M73" s="265"/>
      <c r="N73" s="265"/>
      <c r="O73" s="265"/>
      <c r="P73" s="265"/>
      <c r="Q73" s="265"/>
      <c r="R73" s="265"/>
      <c r="S73" s="265"/>
      <c r="T73" s="265"/>
      <c r="U73" s="265"/>
      <c r="V73" s="265"/>
      <c r="W73" s="265"/>
      <c r="X73" s="265"/>
      <c r="Y73" s="265"/>
      <c r="Z73" s="265"/>
      <c r="AA73" s="265"/>
      <c r="AB73" s="265"/>
      <c r="AC73" s="265"/>
      <c r="AD73" s="265"/>
      <c r="AE73" s="265"/>
      <c r="AF73" s="265"/>
      <c r="AG73" s="265"/>
      <c r="AH73" s="265"/>
      <c r="AI73" s="265"/>
      <c r="AJ73" s="265"/>
      <c r="AK73" s="265"/>
      <c r="AL73" s="265"/>
      <c r="AM73" s="265"/>
      <c r="AN73" s="265"/>
      <c r="AO73" s="265"/>
      <c r="AP73" s="265"/>
      <c r="AQ73" s="265"/>
      <c r="AR73" s="265"/>
      <c r="AS73" s="265"/>
      <c r="AT73" s="265"/>
      <c r="AU73" s="265"/>
      <c r="AV73" s="265"/>
      <c r="AW73" s="265"/>
      <c r="AX73" s="265"/>
      <c r="AY73" s="265"/>
      <c r="AZ73" s="265"/>
      <c r="BA73" s="265"/>
      <c r="BB73" s="265"/>
      <c r="BC73" s="265"/>
      <c r="BD73" s="265"/>
      <c r="BE73" s="265"/>
      <c r="BF73" s="265"/>
      <c r="BG73" s="265"/>
      <c r="BH73" s="265"/>
      <c r="BI73" s="265"/>
      <c r="BJ73" s="265"/>
      <c r="BK73" s="265"/>
      <c r="BL73" s="265"/>
      <c r="BM73" s="265"/>
      <c r="BN73" s="265"/>
      <c r="BO73" s="265"/>
      <c r="BP73" s="265"/>
      <c r="BQ73" s="265"/>
      <c r="BR73" s="265"/>
      <c r="BS73" s="265"/>
      <c r="BT73" s="265"/>
      <c r="BU73" s="265"/>
      <c r="BV73" s="265"/>
      <c r="BW73" s="265"/>
      <c r="BX73" s="265"/>
      <c r="BY73" s="265"/>
      <c r="BZ73" s="265"/>
      <c r="CA73" s="265"/>
      <c r="CB73" s="265"/>
      <c r="CC73" s="265"/>
      <c r="CD73" s="265"/>
      <c r="CE73" s="265"/>
      <c r="CF73" s="265"/>
      <c r="CG73" s="265"/>
      <c r="CH73" s="265"/>
      <c r="CI73" s="265"/>
      <c r="CJ73" s="265"/>
      <c r="CK73" s="265"/>
      <c r="CL73" s="265"/>
      <c r="CM73" s="265"/>
      <c r="CN73" s="265"/>
      <c r="CO73" s="265"/>
      <c r="CP73" s="265"/>
      <c r="CQ73" s="265"/>
      <c r="CR73" s="265"/>
      <c r="CS73" s="265"/>
      <c r="CT73" s="265"/>
      <c r="CU73" s="265"/>
      <c r="CV73" s="265"/>
      <c r="CW73" s="265"/>
      <c r="CX73" s="256"/>
    </row>
    <row r="74" spans="1:102" x14ac:dyDescent="0.25">
      <c r="A74" s="264" t="s">
        <v>459</v>
      </c>
      <c r="B74" s="265" t="e" cm="1">
        <f t="array" aca="1" ref="B74" ca="1">TRANSPOSE(_xlfn._xlws.FILTER(INDIRECT($A74), Pay_ID_Period_End = $B$1))</f>
        <v>#REF!</v>
      </c>
      <c r="C74" s="265"/>
      <c r="D74" s="265"/>
      <c r="E74" s="265"/>
      <c r="F74" s="265"/>
      <c r="G74" s="265"/>
      <c r="H74" s="265"/>
      <c r="I74" s="265"/>
      <c r="J74" s="265"/>
      <c r="K74" s="265"/>
      <c r="L74" s="265"/>
      <c r="M74" s="265"/>
      <c r="N74" s="265"/>
      <c r="O74" s="265"/>
      <c r="P74" s="265"/>
      <c r="Q74" s="265"/>
      <c r="R74" s="265"/>
      <c r="S74" s="265"/>
      <c r="T74" s="265"/>
      <c r="U74" s="265"/>
      <c r="V74" s="265"/>
      <c r="W74" s="265"/>
      <c r="X74" s="265"/>
      <c r="Y74" s="265"/>
      <c r="Z74" s="265"/>
      <c r="AA74" s="265"/>
      <c r="AB74" s="265"/>
      <c r="AC74" s="265"/>
      <c r="AD74" s="265"/>
      <c r="AE74" s="265"/>
      <c r="AF74" s="265"/>
      <c r="AG74" s="265"/>
      <c r="AH74" s="265"/>
      <c r="AI74" s="265"/>
      <c r="AJ74" s="265"/>
      <c r="AK74" s="265"/>
      <c r="AL74" s="265"/>
      <c r="AM74" s="265"/>
      <c r="AN74" s="265"/>
      <c r="AO74" s="265"/>
      <c r="AP74" s="265"/>
      <c r="AQ74" s="265"/>
      <c r="AR74" s="265"/>
      <c r="AS74" s="265"/>
      <c r="AT74" s="265"/>
      <c r="AU74" s="265"/>
      <c r="AV74" s="265"/>
      <c r="AW74" s="265"/>
      <c r="AX74" s="265"/>
      <c r="AY74" s="265"/>
      <c r="AZ74" s="265"/>
      <c r="BA74" s="265"/>
      <c r="BB74" s="265"/>
      <c r="BC74" s="265"/>
      <c r="BD74" s="265"/>
      <c r="BE74" s="265"/>
      <c r="BF74" s="265"/>
      <c r="BG74" s="265"/>
      <c r="BH74" s="265"/>
      <c r="BI74" s="265"/>
      <c r="BJ74" s="265"/>
      <c r="BK74" s="265"/>
      <c r="BL74" s="265"/>
      <c r="BM74" s="265"/>
      <c r="BN74" s="265"/>
      <c r="BO74" s="265"/>
      <c r="BP74" s="265"/>
      <c r="BQ74" s="265"/>
      <c r="BR74" s="265"/>
      <c r="BS74" s="265"/>
      <c r="BT74" s="265"/>
      <c r="BU74" s="265"/>
      <c r="BV74" s="265"/>
      <c r="BW74" s="265"/>
      <c r="BX74" s="265"/>
      <c r="BY74" s="265"/>
      <c r="BZ74" s="265"/>
      <c r="CA74" s="265"/>
      <c r="CB74" s="265"/>
      <c r="CC74" s="265"/>
      <c r="CD74" s="265"/>
      <c r="CE74" s="265"/>
      <c r="CF74" s="265"/>
      <c r="CG74" s="265"/>
      <c r="CH74" s="265"/>
      <c r="CI74" s="265"/>
      <c r="CJ74" s="265"/>
      <c r="CK74" s="265"/>
      <c r="CL74" s="265"/>
      <c r="CM74" s="265"/>
      <c r="CN74" s="265"/>
      <c r="CO74" s="265"/>
      <c r="CP74" s="265"/>
      <c r="CQ74" s="265"/>
      <c r="CR74" s="265"/>
      <c r="CS74" s="265"/>
      <c r="CT74" s="265"/>
      <c r="CU74" s="265"/>
      <c r="CV74" s="265"/>
      <c r="CW74" s="265"/>
      <c r="CX74" s="256"/>
    </row>
    <row r="75" spans="1:102" x14ac:dyDescent="0.25">
      <c r="A75" s="264" t="s">
        <v>463</v>
      </c>
      <c r="B75" s="265" t="e" cm="1">
        <f t="array" aca="1" ref="B75" ca="1">TRANSPOSE(_xlfn._xlws.FILTER(INDIRECT($A75), Pay_ID_Period_End = $B$1))</f>
        <v>#REF!</v>
      </c>
      <c r="C75" s="265"/>
      <c r="D75" s="265"/>
      <c r="E75" s="265"/>
      <c r="F75" s="265"/>
      <c r="G75" s="265"/>
      <c r="H75" s="265"/>
      <c r="I75" s="265"/>
      <c r="J75" s="265"/>
      <c r="K75" s="265"/>
      <c r="L75" s="265"/>
      <c r="M75" s="265"/>
      <c r="N75" s="265"/>
      <c r="O75" s="265"/>
      <c r="P75" s="265"/>
      <c r="Q75" s="265"/>
      <c r="R75" s="265"/>
      <c r="S75" s="265"/>
      <c r="T75" s="265"/>
      <c r="U75" s="265"/>
      <c r="V75" s="265"/>
      <c r="W75" s="265"/>
      <c r="X75" s="265"/>
      <c r="Y75" s="265"/>
      <c r="Z75" s="265"/>
      <c r="AA75" s="265"/>
      <c r="AB75" s="265"/>
      <c r="AC75" s="265"/>
      <c r="AD75" s="265"/>
      <c r="AE75" s="265"/>
      <c r="AF75" s="265"/>
      <c r="AG75" s="265"/>
      <c r="AH75" s="265"/>
      <c r="AI75" s="265"/>
      <c r="AJ75" s="265"/>
      <c r="AK75" s="265"/>
      <c r="AL75" s="265"/>
      <c r="AM75" s="265"/>
      <c r="AN75" s="265"/>
      <c r="AO75" s="265"/>
      <c r="AP75" s="265"/>
      <c r="AQ75" s="265"/>
      <c r="AR75" s="265"/>
      <c r="AS75" s="265"/>
      <c r="AT75" s="265"/>
      <c r="AU75" s="265"/>
      <c r="AV75" s="265"/>
      <c r="AW75" s="265"/>
      <c r="AX75" s="265"/>
      <c r="AY75" s="265"/>
      <c r="AZ75" s="265"/>
      <c r="BA75" s="265"/>
      <c r="BB75" s="265"/>
      <c r="BC75" s="265"/>
      <c r="BD75" s="265"/>
      <c r="BE75" s="265"/>
      <c r="BF75" s="265"/>
      <c r="BG75" s="265"/>
      <c r="BH75" s="265"/>
      <c r="BI75" s="265"/>
      <c r="BJ75" s="265"/>
      <c r="BK75" s="265"/>
      <c r="BL75" s="265"/>
      <c r="BM75" s="265"/>
      <c r="BN75" s="265"/>
      <c r="BO75" s="265"/>
      <c r="BP75" s="265"/>
      <c r="BQ75" s="265"/>
      <c r="BR75" s="265"/>
      <c r="BS75" s="265"/>
      <c r="BT75" s="265"/>
      <c r="BU75" s="265"/>
      <c r="BV75" s="265"/>
      <c r="BW75" s="265"/>
      <c r="BX75" s="265"/>
      <c r="BY75" s="265"/>
      <c r="BZ75" s="265"/>
      <c r="CA75" s="265"/>
      <c r="CB75" s="265"/>
      <c r="CC75" s="265"/>
      <c r="CD75" s="265"/>
      <c r="CE75" s="265"/>
      <c r="CF75" s="265"/>
      <c r="CG75" s="265"/>
      <c r="CH75" s="265"/>
      <c r="CI75" s="265"/>
      <c r="CJ75" s="265"/>
      <c r="CK75" s="265"/>
      <c r="CL75" s="265"/>
      <c r="CM75" s="265"/>
      <c r="CN75" s="265"/>
      <c r="CO75" s="265"/>
      <c r="CP75" s="265"/>
      <c r="CQ75" s="265"/>
      <c r="CR75" s="265"/>
      <c r="CS75" s="265"/>
      <c r="CT75" s="265"/>
      <c r="CU75" s="265"/>
      <c r="CV75" s="265"/>
      <c r="CW75" s="265"/>
      <c r="CX75" s="256"/>
    </row>
    <row r="76" spans="1:102" x14ac:dyDescent="0.25">
      <c r="A76" s="264" t="s">
        <v>464</v>
      </c>
      <c r="B76" s="265" t="e" cm="1">
        <f t="array" aca="1" ref="B76" ca="1">TRANSPOSE(_xlfn._xlws.FILTER(INDIRECT($A76), Pay_ID_Period_End = $B$1))</f>
        <v>#REF!</v>
      </c>
      <c r="C76" s="265"/>
      <c r="D76" s="265"/>
      <c r="E76" s="265"/>
      <c r="F76" s="265"/>
      <c r="G76" s="265"/>
      <c r="H76" s="265"/>
      <c r="I76" s="265"/>
      <c r="J76" s="265"/>
      <c r="K76" s="265"/>
      <c r="L76" s="265"/>
      <c r="M76" s="265"/>
      <c r="N76" s="265"/>
      <c r="O76" s="265"/>
      <c r="P76" s="265"/>
      <c r="Q76" s="265"/>
      <c r="R76" s="265"/>
      <c r="S76" s="265"/>
      <c r="T76" s="265"/>
      <c r="U76" s="265"/>
      <c r="V76" s="265"/>
      <c r="W76" s="265"/>
      <c r="X76" s="265"/>
      <c r="Y76" s="265"/>
      <c r="Z76" s="265"/>
      <c r="AA76" s="265"/>
      <c r="AB76" s="265"/>
      <c r="AC76" s="265"/>
      <c r="AD76" s="265"/>
      <c r="AE76" s="265"/>
      <c r="AF76" s="265"/>
      <c r="AG76" s="265"/>
      <c r="AH76" s="265"/>
      <c r="AI76" s="265"/>
      <c r="AJ76" s="265"/>
      <c r="AK76" s="265"/>
      <c r="AL76" s="265"/>
      <c r="AM76" s="265"/>
      <c r="AN76" s="265"/>
      <c r="AO76" s="265"/>
      <c r="AP76" s="265"/>
      <c r="AQ76" s="265"/>
      <c r="AR76" s="265"/>
      <c r="AS76" s="265"/>
      <c r="AT76" s="265"/>
      <c r="AU76" s="265"/>
      <c r="AV76" s="265"/>
      <c r="AW76" s="265"/>
      <c r="AX76" s="265"/>
      <c r="AY76" s="265"/>
      <c r="AZ76" s="265"/>
      <c r="BA76" s="265"/>
      <c r="BB76" s="265"/>
      <c r="BC76" s="265"/>
      <c r="BD76" s="265"/>
      <c r="BE76" s="265"/>
      <c r="BF76" s="265"/>
      <c r="BG76" s="265"/>
      <c r="BH76" s="265"/>
      <c r="BI76" s="265"/>
      <c r="BJ76" s="265"/>
      <c r="BK76" s="265"/>
      <c r="BL76" s="265"/>
      <c r="BM76" s="265"/>
      <c r="BN76" s="265"/>
      <c r="BO76" s="265"/>
      <c r="BP76" s="265"/>
      <c r="BQ76" s="265"/>
      <c r="BR76" s="265"/>
      <c r="BS76" s="265"/>
      <c r="BT76" s="265"/>
      <c r="BU76" s="265"/>
      <c r="BV76" s="265"/>
      <c r="BW76" s="265"/>
      <c r="BX76" s="265"/>
      <c r="BY76" s="265"/>
      <c r="BZ76" s="265"/>
      <c r="CA76" s="265"/>
      <c r="CB76" s="265"/>
      <c r="CC76" s="265"/>
      <c r="CD76" s="265"/>
      <c r="CE76" s="265"/>
      <c r="CF76" s="265"/>
      <c r="CG76" s="265"/>
      <c r="CH76" s="265"/>
      <c r="CI76" s="265"/>
      <c r="CJ76" s="265"/>
      <c r="CK76" s="265"/>
      <c r="CL76" s="265"/>
      <c r="CM76" s="265"/>
      <c r="CN76" s="265"/>
      <c r="CO76" s="265"/>
      <c r="CP76" s="265"/>
      <c r="CQ76" s="265"/>
      <c r="CR76" s="265"/>
      <c r="CS76" s="265"/>
      <c r="CT76" s="265"/>
      <c r="CU76" s="265"/>
      <c r="CV76" s="265"/>
      <c r="CW76" s="265"/>
      <c r="CX76" s="256"/>
    </row>
    <row r="77" spans="1:102" x14ac:dyDescent="0.25">
      <c r="A77" s="264" t="s">
        <v>312</v>
      </c>
      <c r="B77" s="265" t="e" cm="1">
        <f t="array" aca="1" ref="B77" ca="1">TRANSPOSE(_xlfn._xlws.FILTER(INDIRECT($A77), Pay_ID_Period_End = $B$1))</f>
        <v>#REF!</v>
      </c>
      <c r="C77" s="265"/>
      <c r="D77" s="265"/>
      <c r="E77" s="265"/>
      <c r="F77" s="265"/>
      <c r="G77" s="265"/>
      <c r="H77" s="265"/>
      <c r="I77" s="265"/>
      <c r="J77" s="265"/>
      <c r="K77" s="265"/>
      <c r="L77" s="265"/>
      <c r="M77" s="265"/>
      <c r="N77" s="265"/>
      <c r="O77" s="265"/>
      <c r="P77" s="265"/>
      <c r="Q77" s="265"/>
      <c r="R77" s="265"/>
      <c r="S77" s="265"/>
      <c r="T77" s="265"/>
      <c r="U77" s="265"/>
      <c r="V77" s="265"/>
      <c r="W77" s="265"/>
      <c r="X77" s="265"/>
      <c r="Y77" s="265"/>
      <c r="Z77" s="265"/>
      <c r="AA77" s="265"/>
      <c r="AB77" s="265"/>
      <c r="AC77" s="265"/>
      <c r="AD77" s="265"/>
      <c r="AE77" s="265"/>
      <c r="AF77" s="265"/>
      <c r="AG77" s="265"/>
      <c r="AH77" s="265"/>
      <c r="AI77" s="265"/>
      <c r="AJ77" s="265"/>
      <c r="AK77" s="265"/>
      <c r="AL77" s="265"/>
      <c r="AM77" s="265"/>
      <c r="AN77" s="265"/>
      <c r="AO77" s="265"/>
      <c r="AP77" s="265"/>
      <c r="AQ77" s="265"/>
      <c r="AR77" s="265"/>
      <c r="AS77" s="265"/>
      <c r="AT77" s="265"/>
      <c r="AU77" s="265"/>
      <c r="AV77" s="265"/>
      <c r="AW77" s="265"/>
      <c r="AX77" s="265"/>
      <c r="AY77" s="265"/>
      <c r="AZ77" s="265"/>
      <c r="BA77" s="265"/>
      <c r="BB77" s="265"/>
      <c r="BC77" s="265"/>
      <c r="BD77" s="265"/>
      <c r="BE77" s="265"/>
      <c r="BF77" s="265"/>
      <c r="BG77" s="265"/>
      <c r="BH77" s="265"/>
      <c r="BI77" s="265"/>
      <c r="BJ77" s="265"/>
      <c r="BK77" s="265"/>
      <c r="BL77" s="265"/>
      <c r="BM77" s="265"/>
      <c r="BN77" s="265"/>
      <c r="BO77" s="265"/>
      <c r="BP77" s="265"/>
      <c r="BQ77" s="265"/>
      <c r="BR77" s="265"/>
      <c r="BS77" s="265"/>
      <c r="BT77" s="265"/>
      <c r="BU77" s="265"/>
      <c r="BV77" s="265"/>
      <c r="BW77" s="265"/>
      <c r="BX77" s="265"/>
      <c r="BY77" s="265"/>
      <c r="BZ77" s="265"/>
      <c r="CA77" s="265"/>
      <c r="CB77" s="265"/>
      <c r="CC77" s="265"/>
      <c r="CD77" s="265"/>
      <c r="CE77" s="265"/>
      <c r="CF77" s="265"/>
      <c r="CG77" s="265"/>
      <c r="CH77" s="265"/>
      <c r="CI77" s="265"/>
      <c r="CJ77" s="265"/>
      <c r="CK77" s="265"/>
      <c r="CL77" s="265"/>
      <c r="CM77" s="265"/>
      <c r="CN77" s="265"/>
      <c r="CO77" s="265"/>
      <c r="CP77" s="265"/>
      <c r="CQ77" s="265"/>
      <c r="CR77" s="265"/>
      <c r="CS77" s="265"/>
      <c r="CT77" s="265"/>
      <c r="CU77" s="265"/>
      <c r="CV77" s="265"/>
      <c r="CW77" s="265"/>
      <c r="CX77" s="256"/>
    </row>
    <row r="78" spans="1:102" x14ac:dyDescent="0.25">
      <c r="A78" s="264" t="s">
        <v>526</v>
      </c>
      <c r="B78" s="265" t="e" cm="1">
        <f t="array" aca="1" ref="B78" ca="1">TRANSPOSE(_xlfn._xlws.FILTER(INDIRECT($A78), Pay_ID_Period_End = $B$1))</f>
        <v>#REF!</v>
      </c>
      <c r="C78" s="265"/>
      <c r="D78" s="265"/>
      <c r="E78" s="265"/>
      <c r="F78" s="265"/>
      <c r="G78" s="265"/>
      <c r="H78" s="265"/>
      <c r="I78" s="265"/>
      <c r="J78" s="265"/>
      <c r="K78" s="265"/>
      <c r="L78" s="265"/>
      <c r="M78" s="265"/>
      <c r="N78" s="265"/>
      <c r="O78" s="265"/>
      <c r="P78" s="265"/>
      <c r="Q78" s="265"/>
      <c r="R78" s="265"/>
      <c r="S78" s="265"/>
      <c r="T78" s="265"/>
      <c r="U78" s="265"/>
      <c r="V78" s="265"/>
      <c r="W78" s="265"/>
      <c r="X78" s="265"/>
      <c r="Y78" s="265"/>
      <c r="Z78" s="265"/>
      <c r="AA78" s="265"/>
      <c r="AB78" s="265"/>
      <c r="AC78" s="265"/>
      <c r="AD78" s="265"/>
      <c r="AE78" s="265"/>
      <c r="AF78" s="265"/>
      <c r="AG78" s="265"/>
      <c r="AH78" s="265"/>
      <c r="AI78" s="265"/>
      <c r="AJ78" s="265"/>
      <c r="AK78" s="265"/>
      <c r="AL78" s="265"/>
      <c r="AM78" s="265"/>
      <c r="AN78" s="265"/>
      <c r="AO78" s="265"/>
      <c r="AP78" s="265"/>
      <c r="AQ78" s="265"/>
      <c r="AR78" s="265"/>
      <c r="AS78" s="265"/>
      <c r="AT78" s="265"/>
      <c r="AU78" s="265"/>
      <c r="AV78" s="265"/>
      <c r="AW78" s="265"/>
      <c r="AX78" s="265"/>
      <c r="AY78" s="265"/>
      <c r="AZ78" s="265"/>
      <c r="BA78" s="265"/>
      <c r="BB78" s="265"/>
      <c r="BC78" s="265"/>
      <c r="BD78" s="265"/>
      <c r="BE78" s="265"/>
      <c r="BF78" s="265"/>
      <c r="BG78" s="265"/>
      <c r="BH78" s="265"/>
      <c r="BI78" s="265"/>
      <c r="BJ78" s="265"/>
      <c r="BK78" s="265"/>
      <c r="BL78" s="265"/>
      <c r="BM78" s="265"/>
      <c r="BN78" s="265"/>
      <c r="BO78" s="265"/>
      <c r="BP78" s="265"/>
      <c r="BQ78" s="265"/>
      <c r="BR78" s="265"/>
      <c r="BS78" s="265"/>
      <c r="BT78" s="265"/>
      <c r="BU78" s="265"/>
      <c r="BV78" s="265"/>
      <c r="BW78" s="265"/>
      <c r="BX78" s="265"/>
      <c r="BY78" s="265"/>
      <c r="BZ78" s="265"/>
      <c r="CA78" s="265"/>
      <c r="CB78" s="265"/>
      <c r="CC78" s="265"/>
      <c r="CD78" s="265"/>
      <c r="CE78" s="265"/>
      <c r="CF78" s="265"/>
      <c r="CG78" s="265"/>
      <c r="CH78" s="265"/>
      <c r="CI78" s="265"/>
      <c r="CJ78" s="265"/>
      <c r="CK78" s="265"/>
      <c r="CL78" s="265"/>
      <c r="CM78" s="265"/>
      <c r="CN78" s="265"/>
      <c r="CO78" s="265"/>
      <c r="CP78" s="265"/>
      <c r="CQ78" s="265"/>
      <c r="CR78" s="265"/>
      <c r="CS78" s="265"/>
      <c r="CT78" s="265"/>
      <c r="CU78" s="265"/>
      <c r="CV78" s="265"/>
      <c r="CW78" s="265"/>
      <c r="CX78" s="256"/>
    </row>
    <row r="79" spans="1:102" x14ac:dyDescent="0.25">
      <c r="A79" s="264" t="s">
        <v>525</v>
      </c>
      <c r="B79" s="265" t="e" cm="1">
        <f t="array" aca="1" ref="B79" ca="1">TRANSPOSE(_xlfn._xlws.FILTER(INDIRECT($A79), Pay_ID_Period_End = $B$1))</f>
        <v>#REF!</v>
      </c>
      <c r="C79" s="265"/>
      <c r="D79" s="265"/>
      <c r="E79" s="265"/>
      <c r="F79" s="265"/>
      <c r="G79" s="265"/>
      <c r="H79" s="265"/>
      <c r="I79" s="265"/>
      <c r="J79" s="265"/>
      <c r="K79" s="265"/>
      <c r="L79" s="265"/>
      <c r="M79" s="265"/>
      <c r="N79" s="265"/>
      <c r="O79" s="265"/>
      <c r="P79" s="265"/>
      <c r="Q79" s="265"/>
      <c r="R79" s="265"/>
      <c r="S79" s="265"/>
      <c r="T79" s="265"/>
      <c r="U79" s="265"/>
      <c r="V79" s="265"/>
      <c r="W79" s="265"/>
      <c r="X79" s="265"/>
      <c r="Y79" s="265"/>
      <c r="Z79" s="265"/>
      <c r="AA79" s="265"/>
      <c r="AB79" s="265"/>
      <c r="AC79" s="265"/>
      <c r="AD79" s="265"/>
      <c r="AE79" s="265"/>
      <c r="AF79" s="265"/>
      <c r="AG79" s="265"/>
      <c r="AH79" s="265"/>
      <c r="AI79" s="265"/>
      <c r="AJ79" s="265"/>
      <c r="AK79" s="265"/>
      <c r="AL79" s="265"/>
      <c r="AM79" s="265"/>
      <c r="AN79" s="265"/>
      <c r="AO79" s="265"/>
      <c r="AP79" s="265"/>
      <c r="AQ79" s="265"/>
      <c r="AR79" s="265"/>
      <c r="AS79" s="265"/>
      <c r="AT79" s="265"/>
      <c r="AU79" s="265"/>
      <c r="AV79" s="265"/>
      <c r="AW79" s="265"/>
      <c r="AX79" s="265"/>
      <c r="AY79" s="265"/>
      <c r="AZ79" s="265"/>
      <c r="BA79" s="265"/>
      <c r="BB79" s="265"/>
      <c r="BC79" s="265"/>
      <c r="BD79" s="265"/>
      <c r="BE79" s="265"/>
      <c r="BF79" s="265"/>
      <c r="BG79" s="265"/>
      <c r="BH79" s="265"/>
      <c r="BI79" s="265"/>
      <c r="BJ79" s="265"/>
      <c r="BK79" s="265"/>
      <c r="BL79" s="265"/>
      <c r="BM79" s="265"/>
      <c r="BN79" s="265"/>
      <c r="BO79" s="265"/>
      <c r="BP79" s="265"/>
      <c r="BQ79" s="265"/>
      <c r="BR79" s="265"/>
      <c r="BS79" s="265"/>
      <c r="BT79" s="265"/>
      <c r="BU79" s="265"/>
      <c r="BV79" s="265"/>
      <c r="BW79" s="265"/>
      <c r="BX79" s="265"/>
      <c r="BY79" s="265"/>
      <c r="BZ79" s="265"/>
      <c r="CA79" s="265"/>
      <c r="CB79" s="265"/>
      <c r="CC79" s="265"/>
      <c r="CD79" s="265"/>
      <c r="CE79" s="265"/>
      <c r="CF79" s="265"/>
      <c r="CG79" s="265"/>
      <c r="CH79" s="265"/>
      <c r="CI79" s="265"/>
      <c r="CJ79" s="265"/>
      <c r="CK79" s="265"/>
      <c r="CL79" s="265"/>
      <c r="CM79" s="265"/>
      <c r="CN79" s="265"/>
      <c r="CO79" s="265"/>
      <c r="CP79" s="265"/>
      <c r="CQ79" s="265"/>
      <c r="CR79" s="265"/>
      <c r="CS79" s="265"/>
      <c r="CT79" s="265"/>
      <c r="CU79" s="265"/>
      <c r="CV79" s="265"/>
      <c r="CW79" s="265"/>
      <c r="CX79" s="256"/>
    </row>
    <row r="80" spans="1:102" x14ac:dyDescent="0.25">
      <c r="A80" s="264" t="s">
        <v>685</v>
      </c>
      <c r="B80" s="265" t="e" cm="1">
        <f t="array" aca="1" ref="B80" ca="1">TRANSPOSE(_xlfn._xlws.FILTER(INDIRECT($A80), Pay_ID_Period_End = $B$1))</f>
        <v>#REF!</v>
      </c>
      <c r="C80" s="265"/>
      <c r="D80" s="265"/>
      <c r="E80" s="265"/>
      <c r="F80" s="265"/>
      <c r="G80" s="265"/>
      <c r="H80" s="265"/>
      <c r="I80" s="265"/>
      <c r="J80" s="265"/>
      <c r="K80" s="265"/>
      <c r="L80" s="265"/>
      <c r="M80" s="265"/>
      <c r="N80" s="265"/>
      <c r="O80" s="265"/>
      <c r="P80" s="265"/>
      <c r="Q80" s="265"/>
      <c r="R80" s="265"/>
      <c r="S80" s="265"/>
      <c r="T80" s="265"/>
      <c r="U80" s="265"/>
      <c r="V80" s="265"/>
      <c r="W80" s="265"/>
      <c r="X80" s="265"/>
      <c r="Y80" s="265"/>
      <c r="Z80" s="265"/>
      <c r="AA80" s="265"/>
      <c r="AB80" s="265"/>
      <c r="AC80" s="265"/>
      <c r="AD80" s="265"/>
      <c r="AE80" s="265"/>
      <c r="AF80" s="265"/>
      <c r="AG80" s="265"/>
      <c r="AH80" s="265"/>
      <c r="AI80" s="265"/>
      <c r="AJ80" s="265"/>
      <c r="AK80" s="265"/>
      <c r="AL80" s="265"/>
      <c r="AM80" s="265"/>
      <c r="AN80" s="265"/>
      <c r="AO80" s="265"/>
      <c r="AP80" s="265"/>
      <c r="AQ80" s="265"/>
      <c r="AR80" s="265"/>
      <c r="AS80" s="265"/>
      <c r="AT80" s="265"/>
      <c r="AU80" s="265"/>
      <c r="AV80" s="265"/>
      <c r="AW80" s="265"/>
      <c r="AX80" s="265"/>
      <c r="AY80" s="265"/>
      <c r="AZ80" s="265"/>
      <c r="BA80" s="265"/>
      <c r="BB80" s="265"/>
      <c r="BC80" s="265"/>
      <c r="BD80" s="265"/>
      <c r="BE80" s="265"/>
      <c r="BF80" s="265"/>
      <c r="BG80" s="265"/>
      <c r="BH80" s="265"/>
      <c r="BI80" s="265"/>
      <c r="BJ80" s="265"/>
      <c r="BK80" s="265"/>
      <c r="BL80" s="265"/>
      <c r="BM80" s="265"/>
      <c r="BN80" s="265"/>
      <c r="BO80" s="265"/>
      <c r="BP80" s="265"/>
      <c r="BQ80" s="265"/>
      <c r="BR80" s="265"/>
      <c r="BS80" s="265"/>
      <c r="BT80" s="265"/>
      <c r="BU80" s="265"/>
      <c r="BV80" s="265"/>
      <c r="BW80" s="265"/>
      <c r="BX80" s="265"/>
      <c r="BY80" s="265"/>
      <c r="BZ80" s="265"/>
      <c r="CA80" s="265"/>
      <c r="CB80" s="265"/>
      <c r="CC80" s="265"/>
      <c r="CD80" s="265"/>
      <c r="CE80" s="265"/>
      <c r="CF80" s="265"/>
      <c r="CG80" s="265"/>
      <c r="CH80" s="265"/>
      <c r="CI80" s="265"/>
      <c r="CJ80" s="265"/>
      <c r="CK80" s="265"/>
      <c r="CL80" s="265"/>
      <c r="CM80" s="265"/>
      <c r="CN80" s="265"/>
      <c r="CO80" s="265"/>
      <c r="CP80" s="265"/>
      <c r="CQ80" s="265"/>
      <c r="CR80" s="265"/>
      <c r="CS80" s="265"/>
      <c r="CT80" s="265"/>
      <c r="CU80" s="265"/>
      <c r="CV80" s="265"/>
      <c r="CW80" s="265"/>
      <c r="CX80" s="256"/>
    </row>
    <row r="81" spans="1:102" x14ac:dyDescent="0.25">
      <c r="A81" s="264" t="s">
        <v>527</v>
      </c>
      <c r="B81" s="265" t="e" cm="1">
        <f t="array" aca="1" ref="B81" ca="1">TRANSPOSE(_xlfn._xlws.FILTER(INDIRECT($A81), Pay_ID_Period_End = $B$1))</f>
        <v>#REF!</v>
      </c>
      <c r="C81" s="265"/>
      <c r="D81" s="265"/>
      <c r="E81" s="265"/>
      <c r="F81" s="265"/>
      <c r="G81" s="265"/>
      <c r="H81" s="265"/>
      <c r="I81" s="265"/>
      <c r="J81" s="265"/>
      <c r="K81" s="265"/>
      <c r="L81" s="265"/>
      <c r="M81" s="265"/>
      <c r="N81" s="265"/>
      <c r="O81" s="265"/>
      <c r="P81" s="265"/>
      <c r="Q81" s="265"/>
      <c r="R81" s="265"/>
      <c r="S81" s="265"/>
      <c r="T81" s="265"/>
      <c r="U81" s="265"/>
      <c r="V81" s="265"/>
      <c r="W81" s="265"/>
      <c r="X81" s="265"/>
      <c r="Y81" s="265"/>
      <c r="Z81" s="265"/>
      <c r="AA81" s="265"/>
      <c r="AB81" s="265"/>
      <c r="AC81" s="265"/>
      <c r="AD81" s="265"/>
      <c r="AE81" s="265"/>
      <c r="AF81" s="265"/>
      <c r="AG81" s="265"/>
      <c r="AH81" s="265"/>
      <c r="AI81" s="265"/>
      <c r="AJ81" s="265"/>
      <c r="AK81" s="265"/>
      <c r="AL81" s="265"/>
      <c r="AM81" s="265"/>
      <c r="AN81" s="265"/>
      <c r="AO81" s="265"/>
      <c r="AP81" s="265"/>
      <c r="AQ81" s="265"/>
      <c r="AR81" s="265"/>
      <c r="AS81" s="265"/>
      <c r="AT81" s="265"/>
      <c r="AU81" s="265"/>
      <c r="AV81" s="265"/>
      <c r="AW81" s="265"/>
      <c r="AX81" s="265"/>
      <c r="AY81" s="265"/>
      <c r="AZ81" s="265"/>
      <c r="BA81" s="265"/>
      <c r="BB81" s="265"/>
      <c r="BC81" s="265"/>
      <c r="BD81" s="265"/>
      <c r="BE81" s="265"/>
      <c r="BF81" s="265"/>
      <c r="BG81" s="265"/>
      <c r="BH81" s="265"/>
      <c r="BI81" s="265"/>
      <c r="BJ81" s="265"/>
      <c r="BK81" s="265"/>
      <c r="BL81" s="265"/>
      <c r="BM81" s="265"/>
      <c r="BN81" s="265"/>
      <c r="BO81" s="265"/>
      <c r="BP81" s="265"/>
      <c r="BQ81" s="265"/>
      <c r="BR81" s="265"/>
      <c r="BS81" s="265"/>
      <c r="BT81" s="265"/>
      <c r="BU81" s="265"/>
      <c r="BV81" s="265"/>
      <c r="BW81" s="265"/>
      <c r="BX81" s="265"/>
      <c r="BY81" s="265"/>
      <c r="BZ81" s="265"/>
      <c r="CA81" s="265"/>
      <c r="CB81" s="265"/>
      <c r="CC81" s="265"/>
      <c r="CD81" s="265"/>
      <c r="CE81" s="265"/>
      <c r="CF81" s="265"/>
      <c r="CG81" s="265"/>
      <c r="CH81" s="265"/>
      <c r="CI81" s="265"/>
      <c r="CJ81" s="265"/>
      <c r="CK81" s="265"/>
      <c r="CL81" s="265"/>
      <c r="CM81" s="265"/>
      <c r="CN81" s="265"/>
      <c r="CO81" s="265"/>
      <c r="CP81" s="265"/>
      <c r="CQ81" s="265"/>
      <c r="CR81" s="265"/>
      <c r="CS81" s="265"/>
      <c r="CT81" s="265"/>
      <c r="CU81" s="265"/>
      <c r="CV81" s="265"/>
      <c r="CW81" s="265"/>
      <c r="CX81" s="256"/>
    </row>
    <row r="82" spans="1:102" x14ac:dyDescent="0.25">
      <c r="A82" s="264" t="s">
        <v>528</v>
      </c>
      <c r="B82" s="265" t="e" cm="1">
        <f t="array" aca="1" ref="B82" ca="1">TRANSPOSE(_xlfn._xlws.FILTER(INDIRECT($A82), Pay_ID_Period_End = $B$1))</f>
        <v>#REF!</v>
      </c>
      <c r="C82" s="265"/>
      <c r="D82" s="265"/>
      <c r="E82" s="265"/>
      <c r="F82" s="265"/>
      <c r="G82" s="265"/>
      <c r="H82" s="265"/>
      <c r="I82" s="265"/>
      <c r="J82" s="265"/>
      <c r="K82" s="265"/>
      <c r="L82" s="265"/>
      <c r="M82" s="265"/>
      <c r="N82" s="265"/>
      <c r="O82" s="265"/>
      <c r="P82" s="265"/>
      <c r="Q82" s="265"/>
      <c r="R82" s="265"/>
      <c r="S82" s="265"/>
      <c r="T82" s="265"/>
      <c r="U82" s="265"/>
      <c r="V82" s="265"/>
      <c r="W82" s="265"/>
      <c r="X82" s="265"/>
      <c r="Y82" s="265"/>
      <c r="Z82" s="265"/>
      <c r="AA82" s="265"/>
      <c r="AB82" s="265"/>
      <c r="AC82" s="265"/>
      <c r="AD82" s="265"/>
      <c r="AE82" s="265"/>
      <c r="AF82" s="265"/>
      <c r="AG82" s="265"/>
      <c r="AH82" s="265"/>
      <c r="AI82" s="265"/>
      <c r="AJ82" s="265"/>
      <c r="AK82" s="265"/>
      <c r="AL82" s="265"/>
      <c r="AM82" s="265"/>
      <c r="AN82" s="265"/>
      <c r="AO82" s="265"/>
      <c r="AP82" s="265"/>
      <c r="AQ82" s="265"/>
      <c r="AR82" s="265"/>
      <c r="AS82" s="265"/>
      <c r="AT82" s="265"/>
      <c r="AU82" s="265"/>
      <c r="AV82" s="265"/>
      <c r="AW82" s="265"/>
      <c r="AX82" s="265"/>
      <c r="AY82" s="265"/>
      <c r="AZ82" s="265"/>
      <c r="BA82" s="265"/>
      <c r="BB82" s="265"/>
      <c r="BC82" s="265"/>
      <c r="BD82" s="265"/>
      <c r="BE82" s="265"/>
      <c r="BF82" s="265"/>
      <c r="BG82" s="265"/>
      <c r="BH82" s="265"/>
      <c r="BI82" s="265"/>
      <c r="BJ82" s="265"/>
      <c r="BK82" s="265"/>
      <c r="BL82" s="265"/>
      <c r="BM82" s="265"/>
      <c r="BN82" s="265"/>
      <c r="BO82" s="265"/>
      <c r="BP82" s="265"/>
      <c r="BQ82" s="265"/>
      <c r="BR82" s="265"/>
      <c r="BS82" s="265"/>
      <c r="BT82" s="265"/>
      <c r="BU82" s="265"/>
      <c r="BV82" s="265"/>
      <c r="BW82" s="265"/>
      <c r="BX82" s="265"/>
      <c r="BY82" s="265"/>
      <c r="BZ82" s="265"/>
      <c r="CA82" s="265"/>
      <c r="CB82" s="265"/>
      <c r="CC82" s="265"/>
      <c r="CD82" s="265"/>
      <c r="CE82" s="265"/>
      <c r="CF82" s="265"/>
      <c r="CG82" s="265"/>
      <c r="CH82" s="265"/>
      <c r="CI82" s="265"/>
      <c r="CJ82" s="265"/>
      <c r="CK82" s="265"/>
      <c r="CL82" s="265"/>
      <c r="CM82" s="265"/>
      <c r="CN82" s="265"/>
      <c r="CO82" s="265"/>
      <c r="CP82" s="265"/>
      <c r="CQ82" s="265"/>
      <c r="CR82" s="265"/>
      <c r="CS82" s="265"/>
      <c r="CT82" s="265"/>
      <c r="CU82" s="265"/>
      <c r="CV82" s="265"/>
      <c r="CW82" s="265"/>
      <c r="CX82" s="256"/>
    </row>
    <row r="83" spans="1:102" x14ac:dyDescent="0.25">
      <c r="A83" s="264" t="s">
        <v>529</v>
      </c>
      <c r="B83" s="265" t="e" cm="1">
        <f t="array" aca="1" ref="B83" ca="1">TRANSPOSE(_xlfn._xlws.FILTER(INDIRECT($A83), Pay_ID_Period_End = $B$1))</f>
        <v>#REF!</v>
      </c>
      <c r="C83" s="265"/>
      <c r="D83" s="265"/>
      <c r="E83" s="265"/>
      <c r="F83" s="265"/>
      <c r="G83" s="265"/>
      <c r="H83" s="265"/>
      <c r="I83" s="265"/>
      <c r="J83" s="265"/>
      <c r="K83" s="265"/>
      <c r="L83" s="265"/>
      <c r="M83" s="265"/>
      <c r="N83" s="265"/>
      <c r="O83" s="265"/>
      <c r="P83" s="265"/>
      <c r="Q83" s="265"/>
      <c r="R83" s="265"/>
      <c r="S83" s="265"/>
      <c r="T83" s="265"/>
      <c r="U83" s="265"/>
      <c r="V83" s="265"/>
      <c r="W83" s="265"/>
      <c r="X83" s="265"/>
      <c r="Y83" s="265"/>
      <c r="Z83" s="265"/>
      <c r="AA83" s="265"/>
      <c r="AB83" s="265"/>
      <c r="AC83" s="265"/>
      <c r="AD83" s="265"/>
      <c r="AE83" s="265"/>
      <c r="AF83" s="265"/>
      <c r="AG83" s="265"/>
      <c r="AH83" s="265"/>
      <c r="AI83" s="265"/>
      <c r="AJ83" s="265"/>
      <c r="AK83" s="265"/>
      <c r="AL83" s="265"/>
      <c r="AM83" s="265"/>
      <c r="AN83" s="265"/>
      <c r="AO83" s="265"/>
      <c r="AP83" s="265"/>
      <c r="AQ83" s="265"/>
      <c r="AR83" s="265"/>
      <c r="AS83" s="265"/>
      <c r="AT83" s="265"/>
      <c r="AU83" s="265"/>
      <c r="AV83" s="265"/>
      <c r="AW83" s="265"/>
      <c r="AX83" s="265"/>
      <c r="AY83" s="265"/>
      <c r="AZ83" s="265"/>
      <c r="BA83" s="265"/>
      <c r="BB83" s="265"/>
      <c r="BC83" s="265"/>
      <c r="BD83" s="265"/>
      <c r="BE83" s="265"/>
      <c r="BF83" s="265"/>
      <c r="BG83" s="265"/>
      <c r="BH83" s="265"/>
      <c r="BI83" s="265"/>
      <c r="BJ83" s="265"/>
      <c r="BK83" s="265"/>
      <c r="BL83" s="265"/>
      <c r="BM83" s="265"/>
      <c r="BN83" s="265"/>
      <c r="BO83" s="265"/>
      <c r="BP83" s="265"/>
      <c r="BQ83" s="265"/>
      <c r="BR83" s="265"/>
      <c r="BS83" s="265"/>
      <c r="BT83" s="265"/>
      <c r="BU83" s="265"/>
      <c r="BV83" s="265"/>
      <c r="BW83" s="265"/>
      <c r="BX83" s="265"/>
      <c r="BY83" s="265"/>
      <c r="BZ83" s="265"/>
      <c r="CA83" s="265"/>
      <c r="CB83" s="265"/>
      <c r="CC83" s="265"/>
      <c r="CD83" s="265"/>
      <c r="CE83" s="265"/>
      <c r="CF83" s="265"/>
      <c r="CG83" s="265"/>
      <c r="CH83" s="265"/>
      <c r="CI83" s="265"/>
      <c r="CJ83" s="265"/>
      <c r="CK83" s="265"/>
      <c r="CL83" s="265"/>
      <c r="CM83" s="265"/>
      <c r="CN83" s="265"/>
      <c r="CO83" s="265"/>
      <c r="CP83" s="265"/>
      <c r="CQ83" s="265"/>
      <c r="CR83" s="265"/>
      <c r="CS83" s="265"/>
      <c r="CT83" s="265"/>
      <c r="CU83" s="265"/>
      <c r="CV83" s="265"/>
      <c r="CW83" s="265"/>
      <c r="CX83" s="256"/>
    </row>
    <row r="84" spans="1:102" x14ac:dyDescent="0.25">
      <c r="A84" s="264" t="s">
        <v>530</v>
      </c>
      <c r="B84" s="265" t="e" cm="1">
        <f t="array" aca="1" ref="B84" ca="1">TRANSPOSE(_xlfn._xlws.FILTER(INDIRECT($A84), Pay_ID_Period_End = $B$1))</f>
        <v>#REF!</v>
      </c>
      <c r="C84" s="265"/>
      <c r="D84" s="265"/>
      <c r="E84" s="265"/>
      <c r="F84" s="265"/>
      <c r="G84" s="265"/>
      <c r="H84" s="265"/>
      <c r="I84" s="265"/>
      <c r="J84" s="265"/>
      <c r="K84" s="265"/>
      <c r="L84" s="265"/>
      <c r="M84" s="265"/>
      <c r="N84" s="265"/>
      <c r="O84" s="265"/>
      <c r="P84" s="265"/>
      <c r="Q84" s="265"/>
      <c r="R84" s="265"/>
      <c r="S84" s="265"/>
      <c r="T84" s="265"/>
      <c r="U84" s="265"/>
      <c r="V84" s="265"/>
      <c r="W84" s="265"/>
      <c r="X84" s="265"/>
      <c r="Y84" s="265"/>
      <c r="Z84" s="265"/>
      <c r="AA84" s="265"/>
      <c r="AB84" s="265"/>
      <c r="AC84" s="265"/>
      <c r="AD84" s="265"/>
      <c r="AE84" s="265"/>
      <c r="AF84" s="265"/>
      <c r="AG84" s="265"/>
      <c r="AH84" s="265"/>
      <c r="AI84" s="265"/>
      <c r="AJ84" s="265"/>
      <c r="AK84" s="265"/>
      <c r="AL84" s="265"/>
      <c r="AM84" s="265"/>
      <c r="AN84" s="265"/>
      <c r="AO84" s="265"/>
      <c r="AP84" s="265"/>
      <c r="AQ84" s="265"/>
      <c r="AR84" s="265"/>
      <c r="AS84" s="265"/>
      <c r="AT84" s="265"/>
      <c r="AU84" s="265"/>
      <c r="AV84" s="265"/>
      <c r="AW84" s="265"/>
      <c r="AX84" s="265"/>
      <c r="AY84" s="265"/>
      <c r="AZ84" s="265"/>
      <c r="BA84" s="265"/>
      <c r="BB84" s="265"/>
      <c r="BC84" s="265"/>
      <c r="BD84" s="265"/>
      <c r="BE84" s="265"/>
      <c r="BF84" s="265"/>
      <c r="BG84" s="265"/>
      <c r="BH84" s="265"/>
      <c r="BI84" s="265"/>
      <c r="BJ84" s="265"/>
      <c r="BK84" s="265"/>
      <c r="BL84" s="265"/>
      <c r="BM84" s="265"/>
      <c r="BN84" s="265"/>
      <c r="BO84" s="265"/>
      <c r="BP84" s="265"/>
      <c r="BQ84" s="265"/>
      <c r="BR84" s="265"/>
      <c r="BS84" s="265"/>
      <c r="BT84" s="265"/>
      <c r="BU84" s="265"/>
      <c r="BV84" s="265"/>
      <c r="BW84" s="265"/>
      <c r="BX84" s="265"/>
      <c r="BY84" s="265"/>
      <c r="BZ84" s="265"/>
      <c r="CA84" s="265"/>
      <c r="CB84" s="265"/>
      <c r="CC84" s="265"/>
      <c r="CD84" s="265"/>
      <c r="CE84" s="265"/>
      <c r="CF84" s="265"/>
      <c r="CG84" s="265"/>
      <c r="CH84" s="265"/>
      <c r="CI84" s="265"/>
      <c r="CJ84" s="265"/>
      <c r="CK84" s="265"/>
      <c r="CL84" s="265"/>
      <c r="CM84" s="265"/>
      <c r="CN84" s="265"/>
      <c r="CO84" s="265"/>
      <c r="CP84" s="265"/>
      <c r="CQ84" s="265"/>
      <c r="CR84" s="265"/>
      <c r="CS84" s="265"/>
      <c r="CT84" s="265"/>
      <c r="CU84" s="265"/>
      <c r="CV84" s="265"/>
      <c r="CW84" s="265"/>
      <c r="CX84" s="256"/>
    </row>
    <row r="85" spans="1:102" x14ac:dyDescent="0.25">
      <c r="A85" s="264" t="s">
        <v>531</v>
      </c>
      <c r="B85" s="265" t="e" cm="1">
        <f t="array" aca="1" ref="B85" ca="1">TRANSPOSE(_xlfn._xlws.FILTER(INDIRECT($A85), Pay_ID_Period_End = $B$1))</f>
        <v>#REF!</v>
      </c>
      <c r="C85" s="265"/>
      <c r="D85" s="265"/>
      <c r="E85" s="265"/>
      <c r="F85" s="265"/>
      <c r="G85" s="265"/>
      <c r="H85" s="265"/>
      <c r="I85" s="265"/>
      <c r="J85" s="265"/>
      <c r="K85" s="265"/>
      <c r="L85" s="265"/>
      <c r="M85" s="265"/>
      <c r="N85" s="265"/>
      <c r="O85" s="265"/>
      <c r="P85" s="265"/>
      <c r="Q85" s="265"/>
      <c r="R85" s="265"/>
      <c r="S85" s="265"/>
      <c r="T85" s="265"/>
      <c r="U85" s="265"/>
      <c r="V85" s="265"/>
      <c r="W85" s="265"/>
      <c r="X85" s="265"/>
      <c r="Y85" s="265"/>
      <c r="Z85" s="265"/>
      <c r="AA85" s="265"/>
      <c r="AB85" s="265"/>
      <c r="AC85" s="265"/>
      <c r="AD85" s="265"/>
      <c r="AE85" s="265"/>
      <c r="AF85" s="265"/>
      <c r="AG85" s="265"/>
      <c r="AH85" s="265"/>
      <c r="AI85" s="265"/>
      <c r="AJ85" s="265"/>
      <c r="AK85" s="265"/>
      <c r="AL85" s="265"/>
      <c r="AM85" s="265"/>
      <c r="AN85" s="265"/>
      <c r="AO85" s="265"/>
      <c r="AP85" s="265"/>
      <c r="AQ85" s="265"/>
      <c r="AR85" s="265"/>
      <c r="AS85" s="265"/>
      <c r="AT85" s="265"/>
      <c r="AU85" s="265"/>
      <c r="AV85" s="265"/>
      <c r="AW85" s="265"/>
      <c r="AX85" s="265"/>
      <c r="AY85" s="265"/>
      <c r="AZ85" s="265"/>
      <c r="BA85" s="265"/>
      <c r="BB85" s="265"/>
      <c r="BC85" s="265"/>
      <c r="BD85" s="265"/>
      <c r="BE85" s="265"/>
      <c r="BF85" s="265"/>
      <c r="BG85" s="265"/>
      <c r="BH85" s="265"/>
      <c r="BI85" s="265"/>
      <c r="BJ85" s="265"/>
      <c r="BK85" s="265"/>
      <c r="BL85" s="265"/>
      <c r="BM85" s="265"/>
      <c r="BN85" s="265"/>
      <c r="BO85" s="265"/>
      <c r="BP85" s="265"/>
      <c r="BQ85" s="265"/>
      <c r="BR85" s="265"/>
      <c r="BS85" s="265"/>
      <c r="BT85" s="265"/>
      <c r="BU85" s="265"/>
      <c r="BV85" s="265"/>
      <c r="BW85" s="265"/>
      <c r="BX85" s="265"/>
      <c r="BY85" s="265"/>
      <c r="BZ85" s="265"/>
      <c r="CA85" s="265"/>
      <c r="CB85" s="265"/>
      <c r="CC85" s="265"/>
      <c r="CD85" s="265"/>
      <c r="CE85" s="265"/>
      <c r="CF85" s="265"/>
      <c r="CG85" s="265"/>
      <c r="CH85" s="265"/>
      <c r="CI85" s="265"/>
      <c r="CJ85" s="265"/>
      <c r="CK85" s="265"/>
      <c r="CL85" s="265"/>
      <c r="CM85" s="265"/>
      <c r="CN85" s="265"/>
      <c r="CO85" s="265"/>
      <c r="CP85" s="265"/>
      <c r="CQ85" s="265"/>
      <c r="CR85" s="265"/>
      <c r="CS85" s="265"/>
      <c r="CT85" s="265"/>
      <c r="CU85" s="265"/>
      <c r="CV85" s="265"/>
      <c r="CW85" s="265"/>
      <c r="CX85" s="256"/>
    </row>
  </sheetData>
  <dataValidations count="1">
    <dataValidation type="list" allowBlank="1" showInputMessage="1" showErrorMessage="1" sqref="B1" xr:uid="{5A03505A-C82D-432B-B70C-1B1DDD1B0FF8}">
      <formula1>ID_Period_End</formula1>
    </dataValidation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CCE45-3692-4344-8550-DCC87CB3D2A4}">
  <sheetPr>
    <tabColor rgb="FF7030A0"/>
  </sheetPr>
  <dimension ref="A1:VL2"/>
  <sheetViews>
    <sheetView workbookViewId="0"/>
  </sheetViews>
  <sheetFormatPr defaultRowHeight="13.2" x14ac:dyDescent="0.25"/>
  <cols>
    <col min="1" max="1" width="18.5546875" bestFit="1" customWidth="1"/>
    <col min="2" max="2" width="26.44140625" bestFit="1" customWidth="1"/>
    <col min="3" max="3" width="20.77734375" bestFit="1" customWidth="1"/>
    <col min="4" max="4" width="11.44140625" bestFit="1" customWidth="1"/>
    <col min="5" max="5" width="21.109375" bestFit="1" customWidth="1"/>
    <col min="6" max="6" width="12.77734375" bestFit="1" customWidth="1"/>
    <col min="7" max="7" width="14.21875" bestFit="1" customWidth="1"/>
    <col min="8" max="9" width="16.6640625" bestFit="1" customWidth="1"/>
    <col min="10" max="10" width="22.5546875" bestFit="1" customWidth="1"/>
    <col min="11" max="11" width="16.6640625" bestFit="1" customWidth="1"/>
    <col min="12" max="12" width="14.5546875" bestFit="1" customWidth="1"/>
    <col min="13" max="13" width="14" bestFit="1" customWidth="1"/>
    <col min="14" max="14" width="13.109375" bestFit="1" customWidth="1"/>
    <col min="15" max="15" width="13" bestFit="1" customWidth="1"/>
    <col min="16" max="16" width="20.21875" bestFit="1" customWidth="1"/>
    <col min="17" max="17" width="20.33203125" bestFit="1" customWidth="1"/>
    <col min="18" max="18" width="14.21875" bestFit="1" customWidth="1"/>
    <col min="19" max="19" width="23.21875" bestFit="1" customWidth="1"/>
    <col min="20" max="20" width="14.33203125" bestFit="1" customWidth="1"/>
    <col min="21" max="21" width="17.77734375" bestFit="1" customWidth="1"/>
    <col min="22" max="22" width="13.33203125" bestFit="1" customWidth="1"/>
    <col min="23" max="23" width="14.77734375" bestFit="1" customWidth="1"/>
    <col min="24" max="24" width="14.88671875" bestFit="1" customWidth="1"/>
    <col min="25" max="25" width="14.5546875" bestFit="1" customWidth="1"/>
    <col min="26" max="26" width="20.6640625" bestFit="1" customWidth="1"/>
    <col min="27" max="27" width="14.109375" bestFit="1" customWidth="1"/>
    <col min="28" max="28" width="29.33203125" bestFit="1" customWidth="1"/>
    <col min="29" max="29" width="18" bestFit="1" customWidth="1"/>
    <col min="30" max="30" width="15.77734375" bestFit="1" customWidth="1"/>
    <col min="31" max="31" width="12.109375" bestFit="1" customWidth="1"/>
    <col min="32" max="32" width="13.109375" bestFit="1" customWidth="1"/>
    <col min="33" max="33" width="9.5546875" bestFit="1" customWidth="1"/>
    <col min="34" max="34" width="11" bestFit="1" customWidth="1"/>
    <col min="35" max="35" width="11.109375" bestFit="1" customWidth="1"/>
    <col min="36" max="36" width="10.77734375" bestFit="1" customWidth="1"/>
    <col min="37" max="37" width="18.5546875" bestFit="1" customWidth="1"/>
    <col min="38" max="38" width="18.44140625" bestFit="1" customWidth="1"/>
    <col min="39" max="39" width="20" bestFit="1" customWidth="1"/>
    <col min="40" max="40" width="20.109375" bestFit="1" customWidth="1"/>
    <col min="41" max="41" width="19.77734375" bestFit="1" customWidth="1"/>
    <col min="42" max="42" width="16.44140625" bestFit="1" customWidth="1"/>
    <col min="43" max="43" width="16.33203125" bestFit="1" customWidth="1"/>
    <col min="44" max="44" width="17.77734375" bestFit="1" customWidth="1"/>
    <col min="45" max="45" width="17.88671875" bestFit="1" customWidth="1"/>
    <col min="46" max="46" width="17.5546875" bestFit="1" customWidth="1"/>
    <col min="47" max="47" width="21.44140625" bestFit="1" customWidth="1"/>
    <col min="48" max="48" width="19.21875" bestFit="1" customWidth="1"/>
    <col min="49" max="49" width="19" bestFit="1" customWidth="1"/>
    <col min="50" max="50" width="16.88671875" bestFit="1" customWidth="1"/>
    <col min="51" max="51" width="25" bestFit="1" customWidth="1"/>
    <col min="52" max="52" width="24.6640625" bestFit="1" customWidth="1"/>
    <col min="53" max="53" width="13.21875" bestFit="1" customWidth="1"/>
    <col min="54" max="54" width="22.88671875" bestFit="1" customWidth="1"/>
    <col min="55" max="55" width="8.21875" bestFit="1" customWidth="1"/>
    <col min="56" max="56" width="20.77734375" bestFit="1" customWidth="1"/>
    <col min="57" max="57" width="8" bestFit="1" customWidth="1"/>
    <col min="58" max="58" width="20.77734375" bestFit="1" customWidth="1"/>
    <col min="59" max="59" width="18.5546875" bestFit="1" customWidth="1"/>
    <col min="60" max="61" width="13.33203125" bestFit="1" customWidth="1"/>
    <col min="62" max="62" width="7" bestFit="1" customWidth="1"/>
    <col min="63" max="63" width="10.88671875" bestFit="1" customWidth="1"/>
    <col min="64" max="64" width="16.6640625" bestFit="1" customWidth="1"/>
    <col min="65" max="65" width="5.88671875" bestFit="1" customWidth="1"/>
    <col min="66" max="66" width="14.88671875" bestFit="1" customWidth="1"/>
    <col min="67" max="67" width="13.6640625" bestFit="1" customWidth="1"/>
    <col min="68" max="68" width="11.5546875" bestFit="1" customWidth="1"/>
    <col min="69" max="69" width="14.33203125" bestFit="1" customWidth="1"/>
    <col min="70" max="70" width="16.88671875" bestFit="1" customWidth="1"/>
    <col min="71" max="71" width="17.21875" bestFit="1" customWidth="1"/>
    <col min="72" max="72" width="10.77734375" bestFit="1" customWidth="1"/>
    <col min="73" max="73" width="10.6640625" bestFit="1" customWidth="1"/>
    <col min="74" max="74" width="11.77734375" bestFit="1" customWidth="1"/>
    <col min="75" max="75" width="10.77734375" bestFit="1" customWidth="1"/>
    <col min="76" max="76" width="10.6640625" bestFit="1" customWidth="1"/>
    <col min="77" max="77" width="11.77734375" bestFit="1" customWidth="1"/>
    <col min="78" max="79" width="15.33203125" bestFit="1" customWidth="1"/>
    <col min="80" max="80" width="13.21875" bestFit="1" customWidth="1"/>
    <col min="81" max="81" width="13.109375" bestFit="1" customWidth="1"/>
    <col min="82" max="82" width="14.21875" bestFit="1" customWidth="1"/>
    <col min="83" max="83" width="13.21875" bestFit="1" customWidth="1"/>
    <col min="84" max="84" width="13.109375" bestFit="1" customWidth="1"/>
    <col min="85" max="85" width="14.21875" bestFit="1" customWidth="1"/>
    <col min="86" max="87" width="17.77734375" bestFit="1" customWidth="1"/>
    <col min="88" max="88" width="14.109375" bestFit="1" customWidth="1"/>
    <col min="89" max="89" width="16.6640625" bestFit="1" customWidth="1"/>
    <col min="90" max="90" width="17" bestFit="1" customWidth="1"/>
    <col min="91" max="91" width="9.5546875" bestFit="1" customWidth="1"/>
    <col min="92" max="96" width="19.77734375" bestFit="1" customWidth="1"/>
    <col min="97" max="97" width="12.6640625" bestFit="1" customWidth="1"/>
    <col min="98" max="98" width="14" bestFit="1" customWidth="1"/>
    <col min="99" max="99" width="16.5546875" bestFit="1" customWidth="1"/>
    <col min="100" max="100" width="13.21875" bestFit="1" customWidth="1"/>
    <col min="101" max="101" width="22.77734375" bestFit="1" customWidth="1"/>
    <col min="102" max="102" width="25.33203125" bestFit="1" customWidth="1"/>
    <col min="103" max="103" width="22" bestFit="1" customWidth="1"/>
    <col min="104" max="104" width="25.21875" bestFit="1" customWidth="1"/>
    <col min="105" max="105" width="27.77734375" bestFit="1" customWidth="1"/>
    <col min="106" max="106" width="24.44140625" bestFit="1" customWidth="1"/>
    <col min="107" max="107" width="9.88671875" bestFit="1" customWidth="1"/>
    <col min="108" max="108" width="12.33203125" bestFit="1" customWidth="1"/>
    <col min="109" max="109" width="9.109375" bestFit="1" customWidth="1"/>
    <col min="110" max="110" width="21" bestFit="1" customWidth="1"/>
    <col min="111" max="111" width="23.5546875" bestFit="1" customWidth="1"/>
    <col min="112" max="112" width="20.21875" bestFit="1" customWidth="1"/>
    <col min="113" max="113" width="8.21875" bestFit="1" customWidth="1"/>
    <col min="114" max="114" width="22.109375" bestFit="1" customWidth="1"/>
    <col min="115" max="115" width="18.77734375" bestFit="1" customWidth="1"/>
    <col min="116" max="116" width="21.6640625" bestFit="1" customWidth="1"/>
    <col min="117" max="117" width="15" bestFit="1" customWidth="1"/>
    <col min="118" max="118" width="13" bestFit="1" customWidth="1"/>
    <col min="119" max="119" width="18.21875" bestFit="1" customWidth="1"/>
    <col min="120" max="120" width="13" bestFit="1" customWidth="1"/>
    <col min="121" max="121" width="12.21875" bestFit="1" customWidth="1"/>
    <col min="122" max="122" width="13" bestFit="1" customWidth="1"/>
    <col min="123" max="123" width="14" bestFit="1" customWidth="1"/>
    <col min="124" max="124" width="20.33203125" bestFit="1" customWidth="1"/>
    <col min="125" max="126" width="14" bestFit="1" customWidth="1"/>
    <col min="127" max="127" width="19.88671875" bestFit="1" customWidth="1"/>
    <col min="128" max="128" width="17.77734375" bestFit="1" customWidth="1"/>
    <col min="129" max="129" width="23" bestFit="1" customWidth="1"/>
    <col min="130" max="130" width="17.77734375" bestFit="1" customWidth="1"/>
    <col min="131" max="131" width="17" bestFit="1" customWidth="1"/>
    <col min="132" max="132" width="17.77734375" bestFit="1" customWidth="1"/>
    <col min="133" max="133" width="18.77734375" bestFit="1" customWidth="1"/>
    <col min="134" max="134" width="25.109375" bestFit="1" customWidth="1"/>
    <col min="135" max="136" width="18.77734375" bestFit="1" customWidth="1"/>
    <col min="137" max="137" width="10.77734375" bestFit="1" customWidth="1"/>
    <col min="138" max="138" width="18.6640625" bestFit="1" customWidth="1"/>
    <col min="139" max="139" width="16.5546875" bestFit="1" customWidth="1"/>
    <col min="140" max="140" width="19.44140625" bestFit="1" customWidth="1"/>
    <col min="141" max="141" width="11.33203125" bestFit="1" customWidth="1"/>
    <col min="142" max="142" width="13.77734375" bestFit="1" customWidth="1"/>
    <col min="143" max="143" width="22.44140625" bestFit="1" customWidth="1"/>
    <col min="144" max="144" width="25" bestFit="1" customWidth="1"/>
    <col min="145" max="145" width="25.5546875" bestFit="1" customWidth="1"/>
    <col min="146" max="146" width="28.109375" bestFit="1" customWidth="1"/>
    <col min="147" max="147" width="10.5546875" bestFit="1" customWidth="1"/>
    <col min="148" max="148" width="21.6640625" bestFit="1" customWidth="1"/>
    <col min="149" max="149" width="24.77734375" bestFit="1" customWidth="1"/>
    <col min="150" max="150" width="13.88671875" bestFit="1" customWidth="1"/>
    <col min="151" max="151" width="11.109375" bestFit="1" customWidth="1"/>
    <col min="152" max="152" width="10.44140625" bestFit="1" customWidth="1"/>
    <col min="153" max="153" width="9.33203125" bestFit="1" customWidth="1"/>
    <col min="154" max="154" width="16.6640625" bestFit="1" customWidth="1"/>
    <col min="155" max="155" width="12" bestFit="1" customWidth="1"/>
    <col min="156" max="156" width="14.109375" bestFit="1" customWidth="1"/>
    <col min="157" max="157" width="22.77734375" bestFit="1" customWidth="1"/>
    <col min="158" max="158" width="25.33203125" bestFit="1" customWidth="1"/>
    <col min="159" max="159" width="12" bestFit="1" customWidth="1"/>
    <col min="160" max="160" width="22" bestFit="1" customWidth="1"/>
    <col min="161" max="161" width="11.77734375" bestFit="1" customWidth="1"/>
    <col min="162" max="162" width="20.44140625" bestFit="1" customWidth="1"/>
    <col min="163" max="163" width="22.6640625" bestFit="1" customWidth="1"/>
    <col min="164" max="164" width="17.77734375" bestFit="1" customWidth="1"/>
    <col min="165" max="166" width="15.88671875" bestFit="1" customWidth="1"/>
    <col min="167" max="167" width="18" bestFit="1" customWidth="1"/>
    <col min="168" max="168" width="22.109375" bestFit="1" customWidth="1"/>
    <col min="169" max="169" width="17.77734375" bestFit="1" customWidth="1"/>
    <col min="170" max="170" width="25.88671875" bestFit="1" customWidth="1"/>
    <col min="171" max="171" width="28.44140625" bestFit="1" customWidth="1"/>
    <col min="172" max="172" width="25.109375" bestFit="1" customWidth="1"/>
    <col min="173" max="173" width="20.109375" bestFit="1" customWidth="1"/>
    <col min="174" max="174" width="31.21875" bestFit="1" customWidth="1"/>
    <col min="175" max="175" width="22.5546875" bestFit="1" customWidth="1"/>
    <col min="176" max="176" width="33.77734375" bestFit="1" customWidth="1"/>
    <col min="177" max="177" width="16.44140625" bestFit="1" customWidth="1"/>
    <col min="178" max="178" width="31.88671875" bestFit="1" customWidth="1"/>
    <col min="179" max="179" width="42.77734375" bestFit="1" customWidth="1"/>
    <col min="180" max="180" width="34.33203125" bestFit="1" customWidth="1"/>
    <col min="181" max="181" width="45.33203125" bestFit="1" customWidth="1"/>
    <col min="182" max="182" width="17.5546875" bestFit="1" customWidth="1"/>
    <col min="183" max="183" width="12" bestFit="1" customWidth="1"/>
    <col min="184" max="184" width="21" bestFit="1" customWidth="1"/>
    <col min="185" max="185" width="12.33203125" bestFit="1" customWidth="1"/>
    <col min="186" max="186" width="23.5546875" bestFit="1" customWidth="1"/>
    <col min="187" max="187" width="21.5546875" bestFit="1" customWidth="1"/>
    <col min="188" max="188" width="32.5546875" bestFit="1" customWidth="1"/>
    <col min="189" max="189" width="24.109375" bestFit="1" customWidth="1"/>
    <col min="190" max="190" width="35" bestFit="1" customWidth="1"/>
    <col min="191" max="191" width="12" bestFit="1" customWidth="1"/>
    <col min="192" max="192" width="22.5546875" bestFit="1" customWidth="1"/>
    <col min="193" max="193" width="13.88671875" bestFit="1" customWidth="1"/>
    <col min="194" max="194" width="25.109375" bestFit="1" customWidth="1"/>
    <col min="195" max="195" width="23.109375" bestFit="1" customWidth="1"/>
    <col min="196" max="196" width="34.109375" bestFit="1" customWidth="1"/>
    <col min="197" max="197" width="25.6640625" bestFit="1" customWidth="1"/>
    <col min="198" max="198" width="36.6640625" bestFit="1" customWidth="1"/>
    <col min="199" max="199" width="12.109375" bestFit="1" customWidth="1"/>
    <col min="200" max="200" width="23.21875" bestFit="1" customWidth="1"/>
    <col min="201" max="201" width="14.5546875" bestFit="1" customWidth="1"/>
    <col min="202" max="202" width="25.77734375" bestFit="1" customWidth="1"/>
    <col min="203" max="203" width="23.88671875" bestFit="1" customWidth="1"/>
    <col min="204" max="204" width="34.77734375" bestFit="1" customWidth="1"/>
    <col min="205" max="205" width="26.33203125" bestFit="1" customWidth="1"/>
    <col min="206" max="206" width="37.33203125" bestFit="1" customWidth="1"/>
    <col min="207" max="207" width="11.44140625" bestFit="1" customWidth="1"/>
    <col min="208" max="208" width="16" bestFit="1" customWidth="1"/>
    <col min="209" max="209" width="18.21875" bestFit="1" customWidth="1"/>
    <col min="210" max="210" width="16.88671875" bestFit="1" customWidth="1"/>
    <col min="211" max="211" width="14" bestFit="1" customWidth="1"/>
    <col min="212" max="212" width="29.44140625" bestFit="1" customWidth="1"/>
    <col min="213" max="213" width="28.109375" bestFit="1" customWidth="1"/>
    <col min="214" max="214" width="25.21875" bestFit="1" customWidth="1"/>
    <col min="215" max="215" width="20.77734375" bestFit="1" customWidth="1"/>
    <col min="216" max="216" width="19.44140625" bestFit="1" customWidth="1"/>
    <col min="217" max="217" width="16.5546875" bestFit="1" customWidth="1"/>
    <col min="218" max="218" width="32" bestFit="1" customWidth="1"/>
    <col min="219" max="219" width="30.5546875" bestFit="1" customWidth="1"/>
    <col min="220" max="220" width="27.77734375" bestFit="1" customWidth="1"/>
    <col min="221" max="221" width="30" bestFit="1" customWidth="1"/>
    <col min="222" max="222" width="28.6640625" bestFit="1" customWidth="1"/>
    <col min="223" max="223" width="25.77734375" bestFit="1" customWidth="1"/>
    <col min="224" max="224" width="41" bestFit="1" customWidth="1"/>
    <col min="225" max="225" width="39.5546875" bestFit="1" customWidth="1"/>
    <col min="226" max="226" width="36.77734375" bestFit="1" customWidth="1"/>
    <col min="227" max="227" width="32.5546875" bestFit="1" customWidth="1"/>
    <col min="228" max="228" width="31.109375" bestFit="1" customWidth="1"/>
    <col min="229" max="229" width="28.33203125" bestFit="1" customWidth="1"/>
    <col min="230" max="230" width="43.44140625" bestFit="1" customWidth="1"/>
    <col min="231" max="231" width="42.109375" bestFit="1" customWidth="1"/>
    <col min="232" max="232" width="39.21875" bestFit="1" customWidth="1"/>
    <col min="233" max="233" width="8.33203125" bestFit="1" customWidth="1"/>
    <col min="234" max="234" width="17.21875" bestFit="1" customWidth="1"/>
    <col min="235" max="235" width="13.109375" bestFit="1" customWidth="1"/>
    <col min="236" max="236" width="16.6640625" bestFit="1" customWidth="1"/>
    <col min="237" max="237" width="16.109375" bestFit="1" customWidth="1"/>
    <col min="238" max="238" width="12.6640625" bestFit="1" customWidth="1"/>
    <col min="239" max="239" width="23.88671875" bestFit="1" customWidth="1"/>
    <col min="240" max="240" width="15.109375" bestFit="1" customWidth="1"/>
    <col min="241" max="241" width="26.33203125" bestFit="1" customWidth="1"/>
    <col min="242" max="242" width="24.44140625" bestFit="1" customWidth="1"/>
    <col min="243" max="243" width="35.33203125" bestFit="1" customWidth="1"/>
    <col min="244" max="244" width="26.88671875" bestFit="1" customWidth="1"/>
    <col min="245" max="245" width="37.88671875" bestFit="1" customWidth="1"/>
    <col min="246" max="246" width="22.88671875" bestFit="1" customWidth="1"/>
    <col min="247" max="247" width="34.109375" bestFit="1" customWidth="1"/>
    <col min="248" max="248" width="25.44140625" bestFit="1" customWidth="1"/>
    <col min="249" max="249" width="36.6640625" bestFit="1" customWidth="1"/>
    <col min="250" max="250" width="34.6640625" bestFit="1" customWidth="1"/>
    <col min="251" max="251" width="45.6640625" bestFit="1" customWidth="1"/>
    <col min="252" max="252" width="37.21875" bestFit="1" customWidth="1"/>
    <col min="253" max="253" width="48.21875" bestFit="1" customWidth="1"/>
    <col min="254" max="254" width="14.5546875" bestFit="1" customWidth="1"/>
    <col min="255" max="256" width="17.5546875" bestFit="1" customWidth="1"/>
    <col min="257" max="257" width="23.77734375" bestFit="1" customWidth="1"/>
    <col min="258" max="258" width="22.33203125" bestFit="1" customWidth="1"/>
    <col min="259" max="259" width="17" bestFit="1" customWidth="1"/>
    <col min="260" max="260" width="23.109375" bestFit="1" customWidth="1"/>
    <col min="261" max="261" width="21.77734375" bestFit="1" customWidth="1"/>
    <col min="262" max="262" width="17.33203125" bestFit="1" customWidth="1"/>
    <col min="263" max="263" width="23.5546875" bestFit="1" customWidth="1"/>
    <col min="264" max="264" width="22.109375" bestFit="1" customWidth="1"/>
    <col min="265" max="265" width="16.5546875" bestFit="1" customWidth="1"/>
    <col min="266" max="266" width="22.6640625" bestFit="1" customWidth="1"/>
    <col min="267" max="267" width="21.33203125" bestFit="1" customWidth="1"/>
    <col min="268" max="268" width="16.5546875" bestFit="1" customWidth="1"/>
    <col min="269" max="269" width="22.6640625" bestFit="1" customWidth="1"/>
    <col min="270" max="270" width="21.33203125" bestFit="1" customWidth="1"/>
    <col min="271" max="271" width="19.6640625" bestFit="1" customWidth="1"/>
    <col min="272" max="272" width="25.77734375" bestFit="1" customWidth="1"/>
    <col min="273" max="273" width="24.44140625" bestFit="1" customWidth="1"/>
    <col min="274" max="274" width="17.5546875" bestFit="1" customWidth="1"/>
    <col min="275" max="275" width="22.33203125" bestFit="1" customWidth="1"/>
    <col min="276" max="276" width="17.5546875" bestFit="1" customWidth="1"/>
    <col min="277" max="277" width="23.77734375" bestFit="1" customWidth="1"/>
    <col min="278" max="278" width="22.33203125" bestFit="1" customWidth="1"/>
    <col min="279" max="279" width="16.5546875" bestFit="1" customWidth="1"/>
    <col min="280" max="280" width="21.33203125" bestFit="1" customWidth="1"/>
    <col min="281" max="281" width="20.5546875" bestFit="1" customWidth="1"/>
    <col min="282" max="282" width="11.77734375" bestFit="1" customWidth="1"/>
    <col min="283" max="283" width="20.109375" bestFit="1" customWidth="1"/>
    <col min="284" max="284" width="26.21875" bestFit="1" customWidth="1"/>
    <col min="285" max="285" width="24.88671875" bestFit="1" customWidth="1"/>
    <col min="286" max="286" width="19.5546875" bestFit="1" customWidth="1"/>
    <col min="287" max="287" width="25.6640625" bestFit="1" customWidth="1"/>
    <col min="288" max="288" width="24.33203125" bestFit="1" customWidth="1"/>
    <col min="289" max="289" width="19.88671875" bestFit="1" customWidth="1"/>
    <col min="290" max="290" width="26" bestFit="1" customWidth="1"/>
    <col min="291" max="291" width="24.6640625" bestFit="1" customWidth="1"/>
    <col min="292" max="292" width="19" bestFit="1" customWidth="1"/>
    <col min="293" max="293" width="25.21875" bestFit="1" customWidth="1"/>
    <col min="294" max="294" width="23.88671875" bestFit="1" customWidth="1"/>
    <col min="295" max="295" width="19" bestFit="1" customWidth="1"/>
    <col min="296" max="296" width="25.21875" bestFit="1" customWidth="1"/>
    <col min="297" max="297" width="23.88671875" bestFit="1" customWidth="1"/>
    <col min="298" max="298" width="22.109375" bestFit="1" customWidth="1"/>
    <col min="299" max="299" width="28.33203125" bestFit="1" customWidth="1"/>
    <col min="300" max="300" width="26.88671875" bestFit="1" customWidth="1"/>
    <col min="301" max="301" width="20.109375" bestFit="1" customWidth="1"/>
    <col min="302" max="302" width="24.88671875" bestFit="1" customWidth="1"/>
    <col min="303" max="303" width="20.109375" bestFit="1" customWidth="1"/>
    <col min="304" max="304" width="26.21875" bestFit="1" customWidth="1"/>
    <col min="305" max="305" width="24.88671875" bestFit="1" customWidth="1"/>
    <col min="306" max="306" width="19" bestFit="1" customWidth="1"/>
    <col min="307" max="307" width="23.88671875" bestFit="1" customWidth="1"/>
    <col min="308" max="308" width="14.21875" bestFit="1" customWidth="1"/>
    <col min="309" max="309" width="28.77734375" bestFit="1" customWidth="1"/>
    <col min="310" max="310" width="34.88671875" bestFit="1" customWidth="1"/>
    <col min="311" max="311" width="33.5546875" bestFit="1" customWidth="1"/>
    <col min="312" max="312" width="28.21875" bestFit="1" customWidth="1"/>
    <col min="313" max="313" width="34.33203125" bestFit="1" customWidth="1"/>
    <col min="314" max="314" width="33" bestFit="1" customWidth="1"/>
    <col min="315" max="315" width="28.5546875" bestFit="1" customWidth="1"/>
    <col min="316" max="316" width="34.6640625" bestFit="1" customWidth="1"/>
    <col min="317" max="317" width="33.33203125" bestFit="1" customWidth="1"/>
    <col min="318" max="318" width="27.77734375" bestFit="1" customWidth="1"/>
    <col min="319" max="319" width="33.88671875" bestFit="1" customWidth="1"/>
    <col min="320" max="320" width="32.5546875" bestFit="1" customWidth="1"/>
    <col min="321" max="321" width="27.77734375" bestFit="1" customWidth="1"/>
    <col min="322" max="322" width="33.88671875" bestFit="1" customWidth="1"/>
    <col min="323" max="323" width="32.5546875" bestFit="1" customWidth="1"/>
    <col min="324" max="324" width="30.77734375" bestFit="1" customWidth="1"/>
    <col min="325" max="325" width="37" bestFit="1" customWidth="1"/>
    <col min="326" max="326" width="35.5546875" bestFit="1" customWidth="1"/>
    <col min="327" max="327" width="28.77734375" bestFit="1" customWidth="1"/>
    <col min="328" max="328" width="33.5546875" bestFit="1" customWidth="1"/>
    <col min="329" max="329" width="28.77734375" bestFit="1" customWidth="1"/>
    <col min="330" max="330" width="34.88671875" bestFit="1" customWidth="1"/>
    <col min="331" max="331" width="33.5546875" bestFit="1" customWidth="1"/>
    <col min="332" max="332" width="27.77734375" bestFit="1" customWidth="1"/>
    <col min="333" max="333" width="32.5546875" bestFit="1" customWidth="1"/>
    <col min="334" max="334" width="22.88671875" bestFit="1" customWidth="1"/>
    <col min="335" max="335" width="31.21875" bestFit="1" customWidth="1"/>
    <col min="336" max="336" width="37.44140625" bestFit="1" customWidth="1"/>
    <col min="337" max="337" width="36.109375" bestFit="1" customWidth="1"/>
    <col min="338" max="338" width="30.6640625" bestFit="1" customWidth="1"/>
    <col min="339" max="339" width="36.88671875" bestFit="1" customWidth="1"/>
    <col min="340" max="340" width="35.44140625" bestFit="1" customWidth="1"/>
    <col min="341" max="341" width="31" bestFit="1" customWidth="1"/>
    <col min="342" max="342" width="37.21875" bestFit="1" customWidth="1"/>
    <col min="343" max="343" width="35.88671875" bestFit="1" customWidth="1"/>
    <col min="344" max="344" width="30.21875" bestFit="1" customWidth="1"/>
    <col min="345" max="345" width="36.44140625" bestFit="1" customWidth="1"/>
    <col min="346" max="346" width="35" bestFit="1" customWidth="1"/>
    <col min="347" max="347" width="30.21875" bestFit="1" customWidth="1"/>
    <col min="348" max="348" width="36.44140625" bestFit="1" customWidth="1"/>
    <col min="349" max="349" width="35" bestFit="1" customWidth="1"/>
    <col min="350" max="350" width="33.33203125" bestFit="1" customWidth="1"/>
    <col min="351" max="351" width="39.44140625" bestFit="1" customWidth="1"/>
    <col min="352" max="352" width="38.109375" bestFit="1" customWidth="1"/>
    <col min="353" max="353" width="31.21875" bestFit="1" customWidth="1"/>
    <col min="354" max="354" width="36.109375" bestFit="1" customWidth="1"/>
    <col min="355" max="355" width="31.21875" bestFit="1" customWidth="1"/>
    <col min="356" max="356" width="37.44140625" bestFit="1" customWidth="1"/>
    <col min="357" max="357" width="36.109375" bestFit="1" customWidth="1"/>
    <col min="358" max="358" width="30.21875" bestFit="1" customWidth="1"/>
    <col min="359" max="359" width="35" bestFit="1" customWidth="1"/>
    <col min="360" max="360" width="25.44140625" bestFit="1" customWidth="1"/>
    <col min="361" max="361" width="29.33203125" bestFit="1" customWidth="1"/>
    <col min="362" max="362" width="35.44140625" bestFit="1" customWidth="1"/>
    <col min="363" max="363" width="34.109375" bestFit="1" customWidth="1"/>
    <col min="364" max="364" width="28.77734375" bestFit="1" customWidth="1"/>
    <col min="365" max="365" width="34.88671875" bestFit="1" customWidth="1"/>
    <col min="366" max="366" width="33.5546875" bestFit="1" customWidth="1"/>
    <col min="367" max="367" width="29.109375" bestFit="1" customWidth="1"/>
    <col min="368" max="368" width="35.21875" bestFit="1" customWidth="1"/>
    <col min="369" max="369" width="33.88671875" bestFit="1" customWidth="1"/>
    <col min="370" max="370" width="28.33203125" bestFit="1" customWidth="1"/>
    <col min="371" max="371" width="34.44140625" bestFit="1" customWidth="1"/>
    <col min="372" max="372" width="33.109375" bestFit="1" customWidth="1"/>
    <col min="373" max="373" width="28.33203125" bestFit="1" customWidth="1"/>
    <col min="374" max="374" width="34.44140625" bestFit="1" customWidth="1"/>
    <col min="375" max="375" width="33.109375" bestFit="1" customWidth="1"/>
    <col min="376" max="376" width="31.33203125" bestFit="1" customWidth="1"/>
    <col min="377" max="377" width="37.5546875" bestFit="1" customWidth="1"/>
    <col min="378" max="378" width="36.21875" bestFit="1" customWidth="1"/>
    <col min="379" max="379" width="29.33203125" bestFit="1" customWidth="1"/>
    <col min="380" max="380" width="34.109375" bestFit="1" customWidth="1"/>
    <col min="381" max="381" width="29.33203125" bestFit="1" customWidth="1"/>
    <col min="382" max="382" width="35.44140625" bestFit="1" customWidth="1"/>
    <col min="383" max="383" width="34.109375" bestFit="1" customWidth="1"/>
    <col min="384" max="384" width="28.33203125" bestFit="1" customWidth="1"/>
    <col min="385" max="385" width="33.109375" bestFit="1" customWidth="1"/>
    <col min="386" max="386" width="23.5546875" bestFit="1" customWidth="1"/>
    <col min="387" max="387" width="40.33203125" bestFit="1" customWidth="1"/>
    <col min="388" max="388" width="46.44140625" bestFit="1" customWidth="1"/>
    <col min="389" max="389" width="45.109375" bestFit="1" customWidth="1"/>
    <col min="390" max="390" width="39.6640625" bestFit="1" customWidth="1"/>
    <col min="391" max="391" width="45.88671875" bestFit="1" customWidth="1"/>
    <col min="392" max="392" width="44.5546875" bestFit="1" customWidth="1"/>
    <col min="393" max="393" width="40.109375" bestFit="1" customWidth="1"/>
    <col min="394" max="394" width="46.21875" bestFit="1" customWidth="1"/>
    <col min="395" max="395" width="44.88671875" bestFit="1" customWidth="1"/>
    <col min="396" max="396" width="39.21875" bestFit="1" customWidth="1"/>
    <col min="397" max="397" width="45.44140625" bestFit="1" customWidth="1"/>
    <col min="398" max="398" width="44.109375" bestFit="1" customWidth="1"/>
    <col min="399" max="399" width="39.21875" bestFit="1" customWidth="1"/>
    <col min="400" max="400" width="45.44140625" bestFit="1" customWidth="1"/>
    <col min="401" max="401" width="44.109375" bestFit="1" customWidth="1"/>
    <col min="402" max="402" width="42.33203125" bestFit="1" customWidth="1"/>
    <col min="403" max="403" width="48.5546875" bestFit="1" customWidth="1"/>
    <col min="404" max="404" width="47.109375" bestFit="1" customWidth="1"/>
    <col min="405" max="405" width="40.33203125" bestFit="1" customWidth="1"/>
    <col min="406" max="406" width="45.109375" bestFit="1" customWidth="1"/>
    <col min="407" max="407" width="40.33203125" bestFit="1" customWidth="1"/>
    <col min="408" max="408" width="46.44140625" bestFit="1" customWidth="1"/>
    <col min="409" max="409" width="45.109375" bestFit="1" customWidth="1"/>
    <col min="410" max="410" width="39.21875" bestFit="1" customWidth="1"/>
    <col min="411" max="411" width="44.109375" bestFit="1" customWidth="1"/>
    <col min="412" max="412" width="34.44140625" bestFit="1" customWidth="1"/>
    <col min="413" max="413" width="31.88671875" bestFit="1" customWidth="1"/>
    <col min="414" max="414" width="38" bestFit="1" customWidth="1"/>
    <col min="415" max="415" width="36.6640625" bestFit="1" customWidth="1"/>
    <col min="416" max="416" width="31.21875" bestFit="1" customWidth="1"/>
    <col min="417" max="417" width="37.44140625" bestFit="1" customWidth="1"/>
    <col min="418" max="418" width="36.109375" bestFit="1" customWidth="1"/>
    <col min="419" max="419" width="31.5546875" bestFit="1" customWidth="1"/>
    <col min="420" max="420" width="37.77734375" bestFit="1" customWidth="1"/>
    <col min="421" max="421" width="36.44140625" bestFit="1" customWidth="1"/>
    <col min="422" max="422" width="30.77734375" bestFit="1" customWidth="1"/>
    <col min="423" max="423" width="37" bestFit="1" customWidth="1"/>
    <col min="424" max="424" width="35.5546875" bestFit="1" customWidth="1"/>
    <col min="425" max="425" width="30.77734375" bestFit="1" customWidth="1"/>
    <col min="426" max="426" width="37" bestFit="1" customWidth="1"/>
    <col min="427" max="427" width="35.5546875" bestFit="1" customWidth="1"/>
    <col min="428" max="428" width="33.88671875" bestFit="1" customWidth="1"/>
    <col min="429" max="429" width="40.109375" bestFit="1" customWidth="1"/>
    <col min="430" max="430" width="38.6640625" bestFit="1" customWidth="1"/>
    <col min="431" max="431" width="31.88671875" bestFit="1" customWidth="1"/>
    <col min="432" max="432" width="36.6640625" bestFit="1" customWidth="1"/>
    <col min="433" max="433" width="31.88671875" bestFit="1" customWidth="1"/>
    <col min="434" max="434" width="38" bestFit="1" customWidth="1"/>
    <col min="435" max="435" width="36.6640625" bestFit="1" customWidth="1"/>
    <col min="436" max="436" width="30.77734375" bestFit="1" customWidth="1"/>
    <col min="437" max="437" width="35.5546875" bestFit="1" customWidth="1"/>
    <col min="438" max="438" width="26" bestFit="1" customWidth="1"/>
    <col min="439" max="439" width="42.77734375" bestFit="1" customWidth="1"/>
    <col min="440" max="440" width="49" bestFit="1" customWidth="1"/>
    <col min="441" max="441" width="47.5546875" bestFit="1" customWidth="1"/>
    <col min="442" max="442" width="42.21875" bestFit="1" customWidth="1"/>
    <col min="443" max="443" width="48.44140625" bestFit="1" customWidth="1"/>
    <col min="444" max="444" width="47" bestFit="1" customWidth="1"/>
    <col min="445" max="445" width="42.5546875" bestFit="1" customWidth="1"/>
    <col min="446" max="446" width="48.77734375" bestFit="1" customWidth="1"/>
    <col min="447" max="447" width="47.33203125" bestFit="1" customWidth="1"/>
    <col min="448" max="448" width="41.77734375" bestFit="1" customWidth="1"/>
    <col min="449" max="449" width="47.88671875" bestFit="1" customWidth="1"/>
    <col min="450" max="450" width="46.5546875" bestFit="1" customWidth="1"/>
    <col min="451" max="451" width="41.77734375" bestFit="1" customWidth="1"/>
    <col min="452" max="452" width="47.88671875" bestFit="1" customWidth="1"/>
    <col min="453" max="453" width="46.5546875" bestFit="1" customWidth="1"/>
    <col min="454" max="454" width="44.88671875" bestFit="1" customWidth="1"/>
    <col min="455" max="455" width="51" bestFit="1" customWidth="1"/>
    <col min="456" max="456" width="49.6640625" bestFit="1" customWidth="1"/>
    <col min="457" max="457" width="42.77734375" bestFit="1" customWidth="1"/>
    <col min="458" max="458" width="47.5546875" bestFit="1" customWidth="1"/>
    <col min="459" max="459" width="42.77734375" bestFit="1" customWidth="1"/>
    <col min="460" max="460" width="49" bestFit="1" customWidth="1"/>
    <col min="461" max="461" width="47.5546875" bestFit="1" customWidth="1"/>
    <col min="462" max="462" width="41.77734375" bestFit="1" customWidth="1"/>
    <col min="463" max="463" width="46.5546875" bestFit="1" customWidth="1"/>
    <col min="464" max="464" width="37" bestFit="1" customWidth="1"/>
    <col min="465" max="465" width="15.109375" bestFit="1" customWidth="1"/>
    <col min="466" max="466" width="26.33203125" bestFit="1" customWidth="1"/>
    <col min="467" max="467" width="17.6640625" bestFit="1" customWidth="1"/>
    <col min="468" max="468" width="28.88671875" bestFit="1" customWidth="1"/>
    <col min="469" max="469" width="26.88671875" bestFit="1" customWidth="1"/>
    <col min="470" max="470" width="37.88671875" bestFit="1" customWidth="1"/>
    <col min="471" max="471" width="29.44140625" bestFit="1" customWidth="1"/>
    <col min="472" max="472" width="40.44140625" bestFit="1" customWidth="1"/>
    <col min="473" max="473" width="19.77734375" bestFit="1" customWidth="1"/>
    <col min="474" max="474" width="22.77734375" bestFit="1" customWidth="1"/>
    <col min="475" max="475" width="30.88671875" bestFit="1" customWidth="1"/>
    <col min="476" max="476" width="34" bestFit="1" customWidth="1"/>
    <col min="477" max="477" width="22.21875" bestFit="1" customWidth="1"/>
    <col min="478" max="478" width="25.33203125" bestFit="1" customWidth="1"/>
    <col min="479" max="479" width="33.44140625" bestFit="1" customWidth="1"/>
    <col min="480" max="480" width="36.5546875" bestFit="1" customWidth="1"/>
    <col min="481" max="481" width="31.44140625" bestFit="1" customWidth="1"/>
    <col min="482" max="482" width="34.5546875" bestFit="1" customWidth="1"/>
    <col min="483" max="483" width="42.44140625" bestFit="1" customWidth="1"/>
    <col min="484" max="484" width="45.5546875" bestFit="1" customWidth="1"/>
    <col min="485" max="485" width="34" bestFit="1" customWidth="1"/>
    <col min="486" max="486" width="37.109375" bestFit="1" customWidth="1"/>
    <col min="487" max="487" width="45" bestFit="1" customWidth="1"/>
    <col min="488" max="488" width="48" bestFit="1" customWidth="1"/>
    <col min="489" max="489" width="18.33203125" bestFit="1" customWidth="1"/>
    <col min="490" max="490" width="21.44140625" bestFit="1" customWidth="1"/>
    <col min="491" max="491" width="29.5546875" bestFit="1" customWidth="1"/>
    <col min="492" max="492" width="32.6640625" bestFit="1" customWidth="1"/>
    <col min="493" max="493" width="20.88671875" bestFit="1" customWidth="1"/>
    <col min="494" max="494" width="24" bestFit="1" customWidth="1"/>
    <col min="495" max="495" width="32.109375" bestFit="1" customWidth="1"/>
    <col min="496" max="496" width="35.109375" bestFit="1" customWidth="1"/>
    <col min="497" max="497" width="30.109375" bestFit="1" customWidth="1"/>
    <col min="498" max="498" width="33.21875" bestFit="1" customWidth="1"/>
    <col min="499" max="499" width="41.109375" bestFit="1" customWidth="1"/>
    <col min="500" max="500" width="44.21875" bestFit="1" customWidth="1"/>
    <col min="501" max="501" width="32.6640625" bestFit="1" customWidth="1"/>
    <col min="502" max="502" width="35.6640625" bestFit="1" customWidth="1"/>
    <col min="503" max="503" width="43.5546875" bestFit="1" customWidth="1"/>
    <col min="504" max="504" width="46.6640625" bestFit="1" customWidth="1"/>
    <col min="505" max="505" width="23.6640625" bestFit="1" customWidth="1"/>
    <col min="506" max="506" width="19.77734375" bestFit="1" customWidth="1"/>
    <col min="507" max="507" width="19.109375" bestFit="1" customWidth="1"/>
    <col min="508" max="508" width="19.5546875" bestFit="1" customWidth="1"/>
    <col min="509" max="510" width="18.6640625" bestFit="1" customWidth="1"/>
    <col min="511" max="511" width="21.77734375" bestFit="1" customWidth="1"/>
    <col min="512" max="513" width="19.77734375" bestFit="1" customWidth="1"/>
    <col min="514" max="514" width="18.6640625" bestFit="1" customWidth="1"/>
    <col min="515" max="515" width="26.109375" bestFit="1" customWidth="1"/>
    <col min="516" max="516" width="22.21875" bestFit="1" customWidth="1"/>
    <col min="517" max="517" width="21.6640625" bestFit="1" customWidth="1"/>
    <col min="518" max="518" width="22" bestFit="1" customWidth="1"/>
    <col min="519" max="520" width="21.21875" bestFit="1" customWidth="1"/>
    <col min="521" max="521" width="24.33203125" bestFit="1" customWidth="1"/>
    <col min="522" max="523" width="22.21875" bestFit="1" customWidth="1"/>
    <col min="524" max="524" width="21.21875" bestFit="1" customWidth="1"/>
    <col min="525" max="525" width="34.77734375" bestFit="1" customWidth="1"/>
    <col min="526" max="526" width="30.88671875" bestFit="1" customWidth="1"/>
    <col min="527" max="527" width="30.33203125" bestFit="1" customWidth="1"/>
    <col min="528" max="528" width="30.6640625" bestFit="1" customWidth="1"/>
    <col min="529" max="530" width="29.88671875" bestFit="1" customWidth="1"/>
    <col min="531" max="531" width="33" bestFit="1" customWidth="1"/>
    <col min="532" max="533" width="30.88671875" bestFit="1" customWidth="1"/>
    <col min="534" max="534" width="29.88671875" bestFit="1" customWidth="1"/>
    <col min="535" max="535" width="37.33203125" bestFit="1" customWidth="1"/>
    <col min="536" max="536" width="33.44140625" bestFit="1" customWidth="1"/>
    <col min="537" max="537" width="32.88671875" bestFit="1" customWidth="1"/>
    <col min="538" max="538" width="33.21875" bestFit="1" customWidth="1"/>
    <col min="539" max="540" width="32.44140625" bestFit="1" customWidth="1"/>
    <col min="541" max="541" width="35.44140625" bestFit="1" customWidth="1"/>
    <col min="542" max="543" width="33.44140625" bestFit="1" customWidth="1"/>
    <col min="544" max="544" width="32.44140625" bestFit="1" customWidth="1"/>
    <col min="545" max="545" width="35.33203125" bestFit="1" customWidth="1"/>
    <col min="546" max="546" width="31.44140625" bestFit="1" customWidth="1"/>
    <col min="547" max="547" width="30.88671875" bestFit="1" customWidth="1"/>
    <col min="548" max="548" width="31.21875" bestFit="1" customWidth="1"/>
    <col min="549" max="550" width="30.44140625" bestFit="1" customWidth="1"/>
    <col min="551" max="551" width="33.5546875" bestFit="1" customWidth="1"/>
    <col min="552" max="553" width="31.44140625" bestFit="1" customWidth="1"/>
    <col min="554" max="554" width="30.44140625" bestFit="1" customWidth="1"/>
    <col min="555" max="555" width="46.33203125" bestFit="1" customWidth="1"/>
    <col min="556" max="556" width="42.44140625" bestFit="1" customWidth="1"/>
    <col min="557" max="557" width="41.88671875" bestFit="1" customWidth="1"/>
    <col min="558" max="558" width="42.21875" bestFit="1" customWidth="1"/>
    <col min="559" max="560" width="41.44140625" bestFit="1" customWidth="1"/>
    <col min="561" max="561" width="44.5546875" bestFit="1" customWidth="1"/>
    <col min="562" max="563" width="42.44140625" bestFit="1" customWidth="1"/>
    <col min="564" max="564" width="41.44140625" bestFit="1" customWidth="1"/>
    <col min="565" max="565" width="37.88671875" bestFit="1" customWidth="1"/>
    <col min="566" max="566" width="34" bestFit="1" customWidth="1"/>
    <col min="567" max="567" width="33.44140625" bestFit="1" customWidth="1"/>
    <col min="568" max="568" width="33.77734375" bestFit="1" customWidth="1"/>
    <col min="569" max="570" width="33" bestFit="1" customWidth="1"/>
    <col min="571" max="571" width="36.109375" bestFit="1" customWidth="1"/>
    <col min="572" max="573" width="34" bestFit="1" customWidth="1"/>
    <col min="574" max="574" width="33" bestFit="1" customWidth="1"/>
    <col min="575" max="575" width="48.88671875" bestFit="1" customWidth="1"/>
    <col min="576" max="576" width="45" bestFit="1" customWidth="1"/>
    <col min="577" max="577" width="44.44140625" bestFit="1" customWidth="1"/>
    <col min="578" max="578" width="44.77734375" bestFit="1" customWidth="1"/>
    <col min="579" max="580" width="43.88671875" bestFit="1" customWidth="1"/>
    <col min="581" max="581" width="47" bestFit="1" customWidth="1"/>
    <col min="582" max="583" width="45" bestFit="1" customWidth="1"/>
    <col min="584" max="584" width="43.88671875" bestFit="1" customWidth="1"/>
  </cols>
  <sheetData>
    <row r="1" spans="1:584" x14ac:dyDescent="0.25">
      <c r="A1" t="s">
        <v>256</v>
      </c>
      <c r="B1" t="s">
        <v>582</v>
      </c>
      <c r="C1" t="s">
        <v>3</v>
      </c>
      <c r="D1" t="s">
        <v>300</v>
      </c>
      <c r="E1" t="s">
        <v>423</v>
      </c>
      <c r="F1" t="s">
        <v>302</v>
      </c>
      <c r="G1" t="s">
        <v>303</v>
      </c>
      <c r="H1" t="s">
        <v>1018</v>
      </c>
      <c r="I1" t="s">
        <v>312</v>
      </c>
      <c r="J1" t="s">
        <v>630</v>
      </c>
      <c r="K1" t="s">
        <v>421</v>
      </c>
      <c r="L1" t="s">
        <v>450</v>
      </c>
      <c r="M1" t="s">
        <v>451</v>
      </c>
      <c r="N1" t="s">
        <v>452</v>
      </c>
      <c r="O1" t="s">
        <v>453</v>
      </c>
      <c r="P1" t="s">
        <v>454</v>
      </c>
      <c r="Q1" t="s">
        <v>455</v>
      </c>
      <c r="R1" t="s">
        <v>456</v>
      </c>
      <c r="S1" t="s">
        <v>457</v>
      </c>
      <c r="T1" t="s">
        <v>1019</v>
      </c>
      <c r="U1" t="s">
        <v>458</v>
      </c>
      <c r="V1" t="s">
        <v>459</v>
      </c>
      <c r="W1" t="s">
        <v>460</v>
      </c>
      <c r="X1" t="s">
        <v>461</v>
      </c>
      <c r="Y1" t="s">
        <v>462</v>
      </c>
      <c r="Z1" t="s">
        <v>463</v>
      </c>
      <c r="AA1" t="s">
        <v>464</v>
      </c>
      <c r="AB1" t="s">
        <v>524</v>
      </c>
      <c r="AC1" t="s">
        <v>525</v>
      </c>
      <c r="AD1" t="s">
        <v>526</v>
      </c>
      <c r="AE1" t="s">
        <v>685</v>
      </c>
      <c r="AF1" t="s">
        <v>714</v>
      </c>
      <c r="AG1" t="s">
        <v>715</v>
      </c>
      <c r="AH1" t="s">
        <v>716</v>
      </c>
      <c r="AI1" t="s">
        <v>717</v>
      </c>
      <c r="AJ1" t="s">
        <v>718</v>
      </c>
      <c r="AK1" t="s">
        <v>719</v>
      </c>
      <c r="AL1" t="s">
        <v>720</v>
      </c>
      <c r="AM1" t="s">
        <v>721</v>
      </c>
      <c r="AN1" t="s">
        <v>722</v>
      </c>
      <c r="AO1" t="s">
        <v>723</v>
      </c>
      <c r="AP1" t="s">
        <v>724</v>
      </c>
      <c r="AQ1" t="s">
        <v>725</v>
      </c>
      <c r="AR1" t="s">
        <v>726</v>
      </c>
      <c r="AS1" t="s">
        <v>727</v>
      </c>
      <c r="AT1" t="s">
        <v>728</v>
      </c>
      <c r="AU1" t="s">
        <v>729</v>
      </c>
      <c r="AV1" t="s">
        <v>730</v>
      </c>
      <c r="AW1" t="s">
        <v>731</v>
      </c>
      <c r="AX1" t="s">
        <v>732</v>
      </c>
      <c r="AY1" t="s">
        <v>733</v>
      </c>
      <c r="AZ1" t="s">
        <v>734</v>
      </c>
      <c r="BA1" t="s">
        <v>1020</v>
      </c>
      <c r="BB1" t="s">
        <v>4</v>
      </c>
      <c r="BC1" t="s">
        <v>626</v>
      </c>
      <c r="BD1" t="s">
        <v>417</v>
      </c>
      <c r="BE1" t="s">
        <v>1</v>
      </c>
      <c r="BF1" t="s">
        <v>2</v>
      </c>
      <c r="BG1" t="s">
        <v>682</v>
      </c>
      <c r="BH1" t="s">
        <v>418</v>
      </c>
      <c r="BI1" t="s">
        <v>5</v>
      </c>
      <c r="BJ1" t="s">
        <v>330</v>
      </c>
      <c r="BK1" t="s">
        <v>263</v>
      </c>
      <c r="BL1" t="s">
        <v>264</v>
      </c>
      <c r="BM1" t="s">
        <v>313</v>
      </c>
      <c r="BN1" t="s">
        <v>701</v>
      </c>
      <c r="BO1" t="s">
        <v>314</v>
      </c>
      <c r="BP1" t="s">
        <v>315</v>
      </c>
      <c r="BQ1" t="s">
        <v>316</v>
      </c>
      <c r="BR1" t="s">
        <v>702</v>
      </c>
      <c r="BS1" t="s">
        <v>703</v>
      </c>
      <c r="BT1" t="s">
        <v>276</v>
      </c>
      <c r="BU1" t="s">
        <v>277</v>
      </c>
      <c r="BV1" t="s">
        <v>278</v>
      </c>
      <c r="BW1" t="s">
        <v>279</v>
      </c>
      <c r="BX1" t="s">
        <v>280</v>
      </c>
      <c r="BY1" t="s">
        <v>281</v>
      </c>
      <c r="BZ1" t="s">
        <v>704</v>
      </c>
      <c r="CA1" t="s">
        <v>705</v>
      </c>
      <c r="CB1" t="s">
        <v>282</v>
      </c>
      <c r="CC1" t="s">
        <v>283</v>
      </c>
      <c r="CD1" t="s">
        <v>284</v>
      </c>
      <c r="CE1" t="s">
        <v>285</v>
      </c>
      <c r="CF1" t="s">
        <v>286</v>
      </c>
      <c r="CG1" t="s">
        <v>287</v>
      </c>
      <c r="CH1" t="s">
        <v>706</v>
      </c>
      <c r="CI1" t="s">
        <v>707</v>
      </c>
      <c r="CJ1" t="s">
        <v>293</v>
      </c>
      <c r="CK1" t="s">
        <v>294</v>
      </c>
      <c r="CL1" t="s">
        <v>646</v>
      </c>
      <c r="CM1" t="s">
        <v>1021</v>
      </c>
      <c r="CN1" t="s">
        <v>1022</v>
      </c>
      <c r="CO1" t="s">
        <v>1023</v>
      </c>
      <c r="CP1" t="s">
        <v>1024</v>
      </c>
      <c r="CQ1" t="s">
        <v>1025</v>
      </c>
      <c r="CR1" t="s">
        <v>320</v>
      </c>
      <c r="CS1" t="s">
        <v>321</v>
      </c>
      <c r="CT1" t="s">
        <v>290</v>
      </c>
      <c r="CU1" t="s">
        <v>291</v>
      </c>
      <c r="CV1" t="s">
        <v>292</v>
      </c>
      <c r="CW1" t="s">
        <v>635</v>
      </c>
      <c r="CX1" t="s">
        <v>639</v>
      </c>
      <c r="CY1" t="s">
        <v>643</v>
      </c>
      <c r="CZ1" t="s">
        <v>575</v>
      </c>
      <c r="DA1" t="s">
        <v>576</v>
      </c>
      <c r="DB1" t="s">
        <v>577</v>
      </c>
      <c r="DC1" t="s">
        <v>1026</v>
      </c>
      <c r="DD1" t="s">
        <v>1027</v>
      </c>
      <c r="DE1" t="s">
        <v>1028</v>
      </c>
      <c r="DF1" t="s">
        <v>846</v>
      </c>
      <c r="DG1" t="s">
        <v>847</v>
      </c>
      <c r="DH1" t="s">
        <v>848</v>
      </c>
      <c r="DI1" t="s">
        <v>61</v>
      </c>
      <c r="DJ1" t="s">
        <v>649</v>
      </c>
      <c r="DK1" t="s">
        <v>650</v>
      </c>
      <c r="DL1" t="s">
        <v>651</v>
      </c>
      <c r="DM1" t="s">
        <v>652</v>
      </c>
      <c r="DN1" t="s">
        <v>653</v>
      </c>
      <c r="DO1" t="s">
        <v>654</v>
      </c>
      <c r="DP1" t="s">
        <v>655</v>
      </c>
      <c r="DQ1" t="s">
        <v>656</v>
      </c>
      <c r="DR1" t="s">
        <v>657</v>
      </c>
      <c r="DS1" t="s">
        <v>658</v>
      </c>
      <c r="DT1" t="s">
        <v>659</v>
      </c>
      <c r="DU1" t="s">
        <v>660</v>
      </c>
      <c r="DV1" t="s">
        <v>661</v>
      </c>
      <c r="DW1" t="s">
        <v>662</v>
      </c>
      <c r="DX1" t="s">
        <v>663</v>
      </c>
      <c r="DY1" t="s">
        <v>664</v>
      </c>
      <c r="DZ1" t="s">
        <v>665</v>
      </c>
      <c r="EA1" t="s">
        <v>666</v>
      </c>
      <c r="EB1" t="s">
        <v>667</v>
      </c>
      <c r="EC1" t="s">
        <v>668</v>
      </c>
      <c r="ED1" t="s">
        <v>669</v>
      </c>
      <c r="EE1" t="s">
        <v>670</v>
      </c>
      <c r="EF1" t="s">
        <v>671</v>
      </c>
      <c r="EG1" t="s">
        <v>672</v>
      </c>
      <c r="EH1" t="s">
        <v>673</v>
      </c>
      <c r="EI1" t="s">
        <v>674</v>
      </c>
      <c r="EJ1" t="s">
        <v>675</v>
      </c>
      <c r="EK1" t="s">
        <v>676</v>
      </c>
      <c r="EL1" t="s">
        <v>677</v>
      </c>
      <c r="EM1" t="s">
        <v>678</v>
      </c>
      <c r="EN1" t="s">
        <v>679</v>
      </c>
      <c r="EO1" t="s">
        <v>842</v>
      </c>
      <c r="EP1" t="s">
        <v>843</v>
      </c>
      <c r="EQ1" t="s">
        <v>680</v>
      </c>
      <c r="ER1" t="s">
        <v>844</v>
      </c>
      <c r="ES1" t="s">
        <v>845</v>
      </c>
      <c r="ET1" t="s">
        <v>1029</v>
      </c>
      <c r="EU1" t="s">
        <v>1030</v>
      </c>
      <c r="EV1" t="s">
        <v>1031</v>
      </c>
      <c r="EW1" t="s">
        <v>1032</v>
      </c>
      <c r="EX1" t="s">
        <v>1033</v>
      </c>
      <c r="EY1" t="s">
        <v>708</v>
      </c>
      <c r="EZ1" t="s">
        <v>709</v>
      </c>
      <c r="FA1" t="s">
        <v>710</v>
      </c>
      <c r="FB1" t="s">
        <v>711</v>
      </c>
      <c r="FC1" t="s">
        <v>712</v>
      </c>
      <c r="FD1" t="s">
        <v>713</v>
      </c>
      <c r="FE1" t="s">
        <v>735</v>
      </c>
      <c r="FF1" t="s">
        <v>736</v>
      </c>
      <c r="FG1" t="s">
        <v>737</v>
      </c>
      <c r="FH1" t="s">
        <v>739</v>
      </c>
      <c r="FI1" t="s">
        <v>1034</v>
      </c>
      <c r="FJ1" t="s">
        <v>1035</v>
      </c>
      <c r="FK1" t="s">
        <v>1036</v>
      </c>
      <c r="FL1" t="s">
        <v>1037</v>
      </c>
      <c r="FM1" t="s">
        <v>738</v>
      </c>
      <c r="FN1" t="s">
        <v>849</v>
      </c>
      <c r="FO1" t="s">
        <v>850</v>
      </c>
      <c r="FP1" t="s">
        <v>851</v>
      </c>
      <c r="FQ1" t="s">
        <v>740</v>
      </c>
      <c r="FR1" t="s">
        <v>741</v>
      </c>
      <c r="FS1" t="s">
        <v>742</v>
      </c>
      <c r="FT1" t="s">
        <v>743</v>
      </c>
      <c r="FU1" t="s">
        <v>744</v>
      </c>
      <c r="FV1" t="s">
        <v>745</v>
      </c>
      <c r="FW1" t="s">
        <v>746</v>
      </c>
      <c r="FX1" t="s">
        <v>747</v>
      </c>
      <c r="FY1" t="s">
        <v>748</v>
      </c>
      <c r="FZ1" t="s">
        <v>1038</v>
      </c>
      <c r="GA1" t="s">
        <v>818</v>
      </c>
      <c r="GB1" t="s">
        <v>819</v>
      </c>
      <c r="GC1" t="s">
        <v>820</v>
      </c>
      <c r="GD1" t="s">
        <v>821</v>
      </c>
      <c r="GE1" t="s">
        <v>822</v>
      </c>
      <c r="GF1" t="s">
        <v>823</v>
      </c>
      <c r="GG1" t="s">
        <v>824</v>
      </c>
      <c r="GH1" t="s">
        <v>825</v>
      </c>
      <c r="GI1" t="s">
        <v>826</v>
      </c>
      <c r="GJ1" t="s">
        <v>827</v>
      </c>
      <c r="GK1" t="s">
        <v>828</v>
      </c>
      <c r="GL1" t="s">
        <v>829</v>
      </c>
      <c r="GM1" t="s">
        <v>830</v>
      </c>
      <c r="GN1" t="s">
        <v>831</v>
      </c>
      <c r="GO1" t="s">
        <v>832</v>
      </c>
      <c r="GP1" t="s">
        <v>833</v>
      </c>
      <c r="GQ1" t="s">
        <v>749</v>
      </c>
      <c r="GR1" t="s">
        <v>750</v>
      </c>
      <c r="GS1" t="s">
        <v>751</v>
      </c>
      <c r="GT1" t="s">
        <v>752</v>
      </c>
      <c r="GU1" t="s">
        <v>753</v>
      </c>
      <c r="GV1" t="s">
        <v>754</v>
      </c>
      <c r="GW1" t="s">
        <v>755</v>
      </c>
      <c r="GX1" t="s">
        <v>756</v>
      </c>
      <c r="GY1" t="s">
        <v>1039</v>
      </c>
      <c r="GZ1" t="s">
        <v>1040</v>
      </c>
      <c r="HA1" t="s">
        <v>1041</v>
      </c>
      <c r="HB1" t="s">
        <v>854</v>
      </c>
      <c r="HC1" t="s">
        <v>855</v>
      </c>
      <c r="HD1" t="s">
        <v>1042</v>
      </c>
      <c r="HE1" t="s">
        <v>1043</v>
      </c>
      <c r="HF1" t="s">
        <v>1044</v>
      </c>
      <c r="HG1" t="s">
        <v>1045</v>
      </c>
      <c r="HH1" t="s">
        <v>856</v>
      </c>
      <c r="HI1" t="s">
        <v>857</v>
      </c>
      <c r="HJ1" t="s">
        <v>1046</v>
      </c>
      <c r="HK1" t="s">
        <v>1047</v>
      </c>
      <c r="HL1" t="s">
        <v>1048</v>
      </c>
      <c r="HM1" t="s">
        <v>1049</v>
      </c>
      <c r="HN1" t="s">
        <v>1050</v>
      </c>
      <c r="HO1" t="s">
        <v>1051</v>
      </c>
      <c r="HP1" t="s">
        <v>1052</v>
      </c>
      <c r="HQ1" t="s">
        <v>1053</v>
      </c>
      <c r="HR1" t="s">
        <v>1054</v>
      </c>
      <c r="HS1" t="s">
        <v>1055</v>
      </c>
      <c r="HT1" t="s">
        <v>1056</v>
      </c>
      <c r="HU1" t="s">
        <v>1057</v>
      </c>
      <c r="HV1" t="s">
        <v>1058</v>
      </c>
      <c r="HW1" t="s">
        <v>1059</v>
      </c>
      <c r="HX1" t="s">
        <v>1060</v>
      </c>
      <c r="HY1" t="s">
        <v>700</v>
      </c>
      <c r="HZ1" t="s">
        <v>852</v>
      </c>
      <c r="IA1" t="s">
        <v>853</v>
      </c>
      <c r="IB1" t="s">
        <v>1061</v>
      </c>
      <c r="IC1" t="s">
        <v>858</v>
      </c>
      <c r="ID1" t="s">
        <v>859</v>
      </c>
      <c r="IE1" t="s">
        <v>1062</v>
      </c>
      <c r="IF1" t="s">
        <v>860</v>
      </c>
      <c r="IG1" t="s">
        <v>1063</v>
      </c>
      <c r="IH1" t="s">
        <v>1064</v>
      </c>
      <c r="II1" t="s">
        <v>1065</v>
      </c>
      <c r="IJ1" t="s">
        <v>1066</v>
      </c>
      <c r="IK1" t="s">
        <v>1067</v>
      </c>
      <c r="IL1" t="s">
        <v>834</v>
      </c>
      <c r="IM1" t="s">
        <v>835</v>
      </c>
      <c r="IN1" t="s">
        <v>836</v>
      </c>
      <c r="IO1" t="s">
        <v>837</v>
      </c>
      <c r="IP1" t="s">
        <v>838</v>
      </c>
      <c r="IQ1" t="s">
        <v>839</v>
      </c>
      <c r="IR1" t="s">
        <v>840</v>
      </c>
      <c r="IS1" t="s">
        <v>841</v>
      </c>
      <c r="IT1" t="s">
        <v>1068</v>
      </c>
      <c r="IU1" t="s">
        <v>861</v>
      </c>
      <c r="IV1" t="s">
        <v>773</v>
      </c>
      <c r="IW1" t="s">
        <v>862</v>
      </c>
      <c r="IX1" t="s">
        <v>910</v>
      </c>
      <c r="IY1" t="s">
        <v>774</v>
      </c>
      <c r="IZ1" t="s">
        <v>863</v>
      </c>
      <c r="JA1" t="s">
        <v>911</v>
      </c>
      <c r="JB1" t="s">
        <v>775</v>
      </c>
      <c r="JC1" t="s">
        <v>864</v>
      </c>
      <c r="JD1" t="s">
        <v>912</v>
      </c>
      <c r="JE1" t="s">
        <v>776</v>
      </c>
      <c r="JF1" t="s">
        <v>865</v>
      </c>
      <c r="JG1" t="s">
        <v>913</v>
      </c>
      <c r="JH1" t="s">
        <v>777</v>
      </c>
      <c r="JI1" t="s">
        <v>866</v>
      </c>
      <c r="JJ1" t="s">
        <v>914</v>
      </c>
      <c r="JK1" t="s">
        <v>778</v>
      </c>
      <c r="JL1" t="s">
        <v>867</v>
      </c>
      <c r="JM1" t="s">
        <v>915</v>
      </c>
      <c r="JN1" t="s">
        <v>1069</v>
      </c>
      <c r="JO1" t="s">
        <v>916</v>
      </c>
      <c r="JP1" t="s">
        <v>779</v>
      </c>
      <c r="JQ1" t="s">
        <v>868</v>
      </c>
      <c r="JR1" t="s">
        <v>917</v>
      </c>
      <c r="JS1" t="s">
        <v>1070</v>
      </c>
      <c r="JT1" t="s">
        <v>918</v>
      </c>
      <c r="JU1" t="s">
        <v>1071</v>
      </c>
      <c r="JV1" t="s">
        <v>970</v>
      </c>
      <c r="JW1" t="s">
        <v>780</v>
      </c>
      <c r="JX1" t="s">
        <v>869</v>
      </c>
      <c r="JY1" t="s">
        <v>919</v>
      </c>
      <c r="JZ1" t="s">
        <v>1072</v>
      </c>
      <c r="KA1" t="s">
        <v>1073</v>
      </c>
      <c r="KB1" t="s">
        <v>1074</v>
      </c>
      <c r="KC1" t="s">
        <v>1075</v>
      </c>
      <c r="KD1" t="s">
        <v>1076</v>
      </c>
      <c r="KE1" t="s">
        <v>1077</v>
      </c>
      <c r="KF1" t="s">
        <v>781</v>
      </c>
      <c r="KG1" t="s">
        <v>870</v>
      </c>
      <c r="KH1" t="s">
        <v>920</v>
      </c>
      <c r="KI1" t="s">
        <v>782</v>
      </c>
      <c r="KJ1" t="s">
        <v>871</v>
      </c>
      <c r="KK1" t="s">
        <v>921</v>
      </c>
      <c r="KL1" t="s">
        <v>1078</v>
      </c>
      <c r="KM1" t="s">
        <v>1079</v>
      </c>
      <c r="KN1" t="s">
        <v>1080</v>
      </c>
      <c r="KO1" t="s">
        <v>1081</v>
      </c>
      <c r="KP1" t="s">
        <v>1082</v>
      </c>
      <c r="KQ1" t="s">
        <v>1083</v>
      </c>
      <c r="KR1" t="s">
        <v>1084</v>
      </c>
      <c r="KS1" t="s">
        <v>1085</v>
      </c>
      <c r="KT1" t="s">
        <v>1086</v>
      </c>
      <c r="KU1" t="s">
        <v>1087</v>
      </c>
      <c r="KV1" t="s">
        <v>971</v>
      </c>
      <c r="KW1" t="s">
        <v>783</v>
      </c>
      <c r="KX1" t="s">
        <v>872</v>
      </c>
      <c r="KY1" t="s">
        <v>922</v>
      </c>
      <c r="KZ1" t="s">
        <v>784</v>
      </c>
      <c r="LA1" t="s">
        <v>873</v>
      </c>
      <c r="LB1" t="s">
        <v>923</v>
      </c>
      <c r="LC1" t="s">
        <v>1088</v>
      </c>
      <c r="LD1" t="s">
        <v>874</v>
      </c>
      <c r="LE1" t="s">
        <v>924</v>
      </c>
      <c r="LF1" t="s">
        <v>785</v>
      </c>
      <c r="LG1" t="s">
        <v>875</v>
      </c>
      <c r="LH1" t="s">
        <v>925</v>
      </c>
      <c r="LI1" t="s">
        <v>786</v>
      </c>
      <c r="LJ1" t="s">
        <v>876</v>
      </c>
      <c r="LK1" t="s">
        <v>926</v>
      </c>
      <c r="LL1" t="s">
        <v>1089</v>
      </c>
      <c r="LM1" t="s">
        <v>877</v>
      </c>
      <c r="LN1" t="s">
        <v>927</v>
      </c>
      <c r="LO1" t="s">
        <v>1090</v>
      </c>
      <c r="LP1" t="s">
        <v>928</v>
      </c>
      <c r="LQ1" t="s">
        <v>1091</v>
      </c>
      <c r="LR1" t="s">
        <v>878</v>
      </c>
      <c r="LS1" t="s">
        <v>929</v>
      </c>
      <c r="LT1" t="s">
        <v>1092</v>
      </c>
      <c r="LU1" t="s">
        <v>930</v>
      </c>
      <c r="LV1" t="s">
        <v>972</v>
      </c>
      <c r="LW1" t="s">
        <v>787</v>
      </c>
      <c r="LX1" t="s">
        <v>879</v>
      </c>
      <c r="LY1" t="s">
        <v>931</v>
      </c>
      <c r="LZ1" t="s">
        <v>1093</v>
      </c>
      <c r="MA1" t="s">
        <v>1094</v>
      </c>
      <c r="MB1" t="s">
        <v>1095</v>
      </c>
      <c r="MC1" t="s">
        <v>1096</v>
      </c>
      <c r="MD1" t="s">
        <v>1097</v>
      </c>
      <c r="ME1" t="s">
        <v>1098</v>
      </c>
      <c r="MF1" t="s">
        <v>788</v>
      </c>
      <c r="MG1" t="s">
        <v>880</v>
      </c>
      <c r="MH1" t="s">
        <v>932</v>
      </c>
      <c r="MI1" t="s">
        <v>789</v>
      </c>
      <c r="MJ1" t="s">
        <v>881</v>
      </c>
      <c r="MK1" t="s">
        <v>933</v>
      </c>
      <c r="ML1" t="s">
        <v>1099</v>
      </c>
      <c r="MM1" t="s">
        <v>1100</v>
      </c>
      <c r="MN1" t="s">
        <v>1101</v>
      </c>
      <c r="MO1" t="s">
        <v>1102</v>
      </c>
      <c r="MP1" t="s">
        <v>1103</v>
      </c>
      <c r="MQ1" t="s">
        <v>1104</v>
      </c>
      <c r="MR1" t="s">
        <v>1105</v>
      </c>
      <c r="MS1" t="s">
        <v>1106</v>
      </c>
      <c r="MT1" t="s">
        <v>1107</v>
      </c>
      <c r="MU1" t="s">
        <v>1108</v>
      </c>
      <c r="MV1" t="s">
        <v>973</v>
      </c>
      <c r="MW1" t="s">
        <v>790</v>
      </c>
      <c r="MX1" t="s">
        <v>882</v>
      </c>
      <c r="MY1" t="s">
        <v>934</v>
      </c>
      <c r="MZ1" t="s">
        <v>791</v>
      </c>
      <c r="NA1" t="s">
        <v>883</v>
      </c>
      <c r="NB1" t="s">
        <v>935</v>
      </c>
      <c r="NC1" t="s">
        <v>792</v>
      </c>
      <c r="ND1" t="s">
        <v>884</v>
      </c>
      <c r="NE1" t="s">
        <v>936</v>
      </c>
      <c r="NF1" t="s">
        <v>793</v>
      </c>
      <c r="NG1" t="s">
        <v>885</v>
      </c>
      <c r="NH1" t="s">
        <v>937</v>
      </c>
      <c r="NI1" t="s">
        <v>794</v>
      </c>
      <c r="NJ1" t="s">
        <v>886</v>
      </c>
      <c r="NK1" t="s">
        <v>938</v>
      </c>
      <c r="NL1" t="s">
        <v>795</v>
      </c>
      <c r="NM1" t="s">
        <v>887</v>
      </c>
      <c r="NN1" t="s">
        <v>939</v>
      </c>
      <c r="NO1" t="s">
        <v>1109</v>
      </c>
      <c r="NP1" t="s">
        <v>940</v>
      </c>
      <c r="NQ1" t="s">
        <v>796</v>
      </c>
      <c r="NR1" t="s">
        <v>888</v>
      </c>
      <c r="NS1" t="s">
        <v>941</v>
      </c>
      <c r="NT1" t="s">
        <v>1110</v>
      </c>
      <c r="NU1" t="s">
        <v>942</v>
      </c>
      <c r="NV1" t="s">
        <v>974</v>
      </c>
      <c r="NW1" t="s">
        <v>797</v>
      </c>
      <c r="NX1" t="s">
        <v>889</v>
      </c>
      <c r="NY1" t="s">
        <v>943</v>
      </c>
      <c r="NZ1" t="s">
        <v>798</v>
      </c>
      <c r="OA1" t="s">
        <v>890</v>
      </c>
      <c r="OB1" t="s">
        <v>944</v>
      </c>
      <c r="OC1" t="s">
        <v>799</v>
      </c>
      <c r="OD1" t="s">
        <v>891</v>
      </c>
      <c r="OE1" t="s">
        <v>945</v>
      </c>
      <c r="OF1" t="s">
        <v>800</v>
      </c>
      <c r="OG1" t="s">
        <v>892</v>
      </c>
      <c r="OH1" t="s">
        <v>946</v>
      </c>
      <c r="OI1" t="s">
        <v>801</v>
      </c>
      <c r="OJ1" t="s">
        <v>893</v>
      </c>
      <c r="OK1" t="s">
        <v>947</v>
      </c>
      <c r="OL1" t="s">
        <v>802</v>
      </c>
      <c r="OM1" t="s">
        <v>894</v>
      </c>
      <c r="ON1" t="s">
        <v>948</v>
      </c>
      <c r="OO1" t="s">
        <v>1111</v>
      </c>
      <c r="OP1" t="s">
        <v>949</v>
      </c>
      <c r="OQ1" t="s">
        <v>803</v>
      </c>
      <c r="OR1" t="s">
        <v>895</v>
      </c>
      <c r="OS1" t="s">
        <v>950</v>
      </c>
      <c r="OT1" t="s">
        <v>1112</v>
      </c>
      <c r="OU1" t="s">
        <v>951</v>
      </c>
      <c r="OV1" t="s">
        <v>975</v>
      </c>
      <c r="OW1" t="s">
        <v>804</v>
      </c>
      <c r="OX1" t="s">
        <v>896</v>
      </c>
      <c r="OY1" t="s">
        <v>952</v>
      </c>
      <c r="OZ1" t="s">
        <v>805</v>
      </c>
      <c r="PA1" t="s">
        <v>897</v>
      </c>
      <c r="PB1" t="s">
        <v>953</v>
      </c>
      <c r="PC1" t="s">
        <v>806</v>
      </c>
      <c r="PD1" t="s">
        <v>898</v>
      </c>
      <c r="PE1" t="s">
        <v>954</v>
      </c>
      <c r="PF1" t="s">
        <v>807</v>
      </c>
      <c r="PG1" t="s">
        <v>899</v>
      </c>
      <c r="PH1" t="s">
        <v>955</v>
      </c>
      <c r="PI1" t="s">
        <v>808</v>
      </c>
      <c r="PJ1" t="s">
        <v>900</v>
      </c>
      <c r="PK1" t="s">
        <v>956</v>
      </c>
      <c r="PL1" t="s">
        <v>809</v>
      </c>
      <c r="PM1" t="s">
        <v>901</v>
      </c>
      <c r="PN1" t="s">
        <v>957</v>
      </c>
      <c r="PO1" t="s">
        <v>1113</v>
      </c>
      <c r="PP1" t="s">
        <v>958</v>
      </c>
      <c r="PQ1" t="s">
        <v>810</v>
      </c>
      <c r="PR1" t="s">
        <v>902</v>
      </c>
      <c r="PS1" t="s">
        <v>959</v>
      </c>
      <c r="PT1" t="s">
        <v>1114</v>
      </c>
      <c r="PU1" t="s">
        <v>960</v>
      </c>
      <c r="PV1" t="s">
        <v>976</v>
      </c>
      <c r="PW1" t="s">
        <v>811</v>
      </c>
      <c r="PX1" t="s">
        <v>903</v>
      </c>
      <c r="PY1" t="s">
        <v>961</v>
      </c>
      <c r="PZ1" t="s">
        <v>812</v>
      </c>
      <c r="QA1" t="s">
        <v>904</v>
      </c>
      <c r="QB1" t="s">
        <v>962</v>
      </c>
      <c r="QC1" t="s">
        <v>813</v>
      </c>
      <c r="QD1" t="s">
        <v>905</v>
      </c>
      <c r="QE1" t="s">
        <v>963</v>
      </c>
      <c r="QF1" t="s">
        <v>814</v>
      </c>
      <c r="QG1" t="s">
        <v>906</v>
      </c>
      <c r="QH1" t="s">
        <v>964</v>
      </c>
      <c r="QI1" t="s">
        <v>815</v>
      </c>
      <c r="QJ1" t="s">
        <v>907</v>
      </c>
      <c r="QK1" t="s">
        <v>965</v>
      </c>
      <c r="QL1" t="s">
        <v>816</v>
      </c>
      <c r="QM1" t="s">
        <v>908</v>
      </c>
      <c r="QN1" t="s">
        <v>966</v>
      </c>
      <c r="QO1" t="s">
        <v>1115</v>
      </c>
      <c r="QP1" t="s">
        <v>967</v>
      </c>
      <c r="QQ1" t="s">
        <v>817</v>
      </c>
      <c r="QR1" t="s">
        <v>909</v>
      </c>
      <c r="QS1" t="s">
        <v>968</v>
      </c>
      <c r="QT1" t="s">
        <v>1116</v>
      </c>
      <c r="QU1" t="s">
        <v>969</v>
      </c>
      <c r="QV1" t="s">
        <v>977</v>
      </c>
      <c r="QW1" t="s">
        <v>1117</v>
      </c>
      <c r="QX1" t="s">
        <v>1118</v>
      </c>
      <c r="QY1" t="s">
        <v>1119</v>
      </c>
      <c r="QZ1" t="s">
        <v>1120</v>
      </c>
      <c r="RA1" t="s">
        <v>1121</v>
      </c>
      <c r="RB1" t="s">
        <v>1122</v>
      </c>
      <c r="RC1" t="s">
        <v>1123</v>
      </c>
      <c r="RD1" t="s">
        <v>1124</v>
      </c>
      <c r="RE1" t="s">
        <v>757</v>
      </c>
      <c r="RF1" t="s">
        <v>1125</v>
      </c>
      <c r="RG1" t="s">
        <v>758</v>
      </c>
      <c r="RH1" t="s">
        <v>1126</v>
      </c>
      <c r="RI1" t="s">
        <v>759</v>
      </c>
      <c r="RJ1" t="s">
        <v>1127</v>
      </c>
      <c r="RK1" t="s">
        <v>760</v>
      </c>
      <c r="RL1" t="s">
        <v>1128</v>
      </c>
      <c r="RM1" t="s">
        <v>761</v>
      </c>
      <c r="RN1" t="s">
        <v>1129</v>
      </c>
      <c r="RO1" t="s">
        <v>762</v>
      </c>
      <c r="RP1" t="s">
        <v>1130</v>
      </c>
      <c r="RQ1" t="s">
        <v>763</v>
      </c>
      <c r="RR1" t="s">
        <v>1131</v>
      </c>
      <c r="RS1" t="s">
        <v>764</v>
      </c>
      <c r="RT1" t="s">
        <v>1132</v>
      </c>
      <c r="RU1" t="s">
        <v>765</v>
      </c>
      <c r="RV1" t="s">
        <v>1133</v>
      </c>
      <c r="RW1" t="s">
        <v>766</v>
      </c>
      <c r="RX1" t="s">
        <v>1134</v>
      </c>
      <c r="RY1" t="s">
        <v>767</v>
      </c>
      <c r="RZ1" t="s">
        <v>1135</v>
      </c>
      <c r="SA1" t="s">
        <v>768</v>
      </c>
      <c r="SB1" t="s">
        <v>1136</v>
      </c>
      <c r="SC1" t="s">
        <v>769</v>
      </c>
      <c r="SD1" t="s">
        <v>1137</v>
      </c>
      <c r="SE1" t="s">
        <v>770</v>
      </c>
      <c r="SF1" t="s">
        <v>1138</v>
      </c>
      <c r="SG1" t="s">
        <v>771</v>
      </c>
      <c r="SH1" t="s">
        <v>1139</v>
      </c>
      <c r="SI1" t="s">
        <v>772</v>
      </c>
      <c r="SJ1" t="s">
        <v>1140</v>
      </c>
      <c r="SK1" t="s">
        <v>1141</v>
      </c>
      <c r="SL1" t="s">
        <v>1142</v>
      </c>
      <c r="SM1" t="s">
        <v>1143</v>
      </c>
      <c r="SN1" t="s">
        <v>1144</v>
      </c>
      <c r="SO1" t="s">
        <v>1145</v>
      </c>
      <c r="SP1" t="s">
        <v>1146</v>
      </c>
      <c r="SQ1" t="s">
        <v>1147</v>
      </c>
      <c r="SR1" t="s">
        <v>1148</v>
      </c>
      <c r="SS1" t="s">
        <v>1149</v>
      </c>
      <c r="ST1" t="s">
        <v>1150</v>
      </c>
      <c r="SU1" t="s">
        <v>1151</v>
      </c>
      <c r="SV1" t="s">
        <v>1152</v>
      </c>
      <c r="SW1" t="s">
        <v>1153</v>
      </c>
      <c r="SX1" t="s">
        <v>1154</v>
      </c>
      <c r="SY1" t="s">
        <v>1155</v>
      </c>
      <c r="SZ1" t="s">
        <v>1156</v>
      </c>
      <c r="TA1" t="s">
        <v>1157</v>
      </c>
      <c r="TB1" t="s">
        <v>1158</v>
      </c>
      <c r="TC1" t="s">
        <v>1159</v>
      </c>
      <c r="TD1" t="s">
        <v>1160</v>
      </c>
      <c r="TE1" t="s">
        <v>1161</v>
      </c>
      <c r="TF1" t="s">
        <v>1162</v>
      </c>
      <c r="TG1" t="s">
        <v>1163</v>
      </c>
      <c r="TH1" t="s">
        <v>1164</v>
      </c>
      <c r="TI1" t="s">
        <v>1165</v>
      </c>
      <c r="TJ1" t="s">
        <v>1166</v>
      </c>
      <c r="TK1" t="s">
        <v>1167</v>
      </c>
      <c r="TL1" t="s">
        <v>1168</v>
      </c>
      <c r="TM1" t="s">
        <v>1169</v>
      </c>
      <c r="TN1" t="s">
        <v>1170</v>
      </c>
      <c r="TO1" t="s">
        <v>1171</v>
      </c>
      <c r="TP1" t="s">
        <v>1172</v>
      </c>
      <c r="TQ1" t="s">
        <v>1173</v>
      </c>
      <c r="TR1" t="s">
        <v>1174</v>
      </c>
      <c r="TS1" t="s">
        <v>1175</v>
      </c>
      <c r="TT1" t="s">
        <v>1176</v>
      </c>
      <c r="TU1" t="s">
        <v>1177</v>
      </c>
      <c r="TV1" t="s">
        <v>1178</v>
      </c>
      <c r="TW1" t="s">
        <v>1179</v>
      </c>
      <c r="TX1" t="s">
        <v>1180</v>
      </c>
      <c r="TY1" t="s">
        <v>1181</v>
      </c>
      <c r="TZ1" t="s">
        <v>1182</v>
      </c>
      <c r="UA1" t="s">
        <v>1183</v>
      </c>
      <c r="UB1" t="s">
        <v>1184</v>
      </c>
      <c r="UC1" t="s">
        <v>1185</v>
      </c>
      <c r="UD1" t="s">
        <v>1186</v>
      </c>
      <c r="UE1" t="s">
        <v>1187</v>
      </c>
      <c r="UF1" t="s">
        <v>1188</v>
      </c>
      <c r="UG1" t="s">
        <v>1189</v>
      </c>
      <c r="UH1" t="s">
        <v>1190</v>
      </c>
      <c r="UI1" t="s">
        <v>1191</v>
      </c>
      <c r="UJ1" t="s">
        <v>1192</v>
      </c>
      <c r="UK1" t="s">
        <v>1193</v>
      </c>
      <c r="UL1" t="s">
        <v>1194</v>
      </c>
      <c r="UM1" t="s">
        <v>1195</v>
      </c>
      <c r="UN1" t="s">
        <v>1196</v>
      </c>
      <c r="UO1" t="s">
        <v>1197</v>
      </c>
      <c r="UP1" t="s">
        <v>1198</v>
      </c>
      <c r="UQ1" t="s">
        <v>1199</v>
      </c>
      <c r="UR1" t="s">
        <v>1200</v>
      </c>
      <c r="US1" t="s">
        <v>1201</v>
      </c>
      <c r="UT1" t="s">
        <v>1202</v>
      </c>
      <c r="UU1" t="s">
        <v>1203</v>
      </c>
      <c r="UV1" t="s">
        <v>1204</v>
      </c>
      <c r="UW1" t="s">
        <v>1205</v>
      </c>
      <c r="UX1" t="s">
        <v>1206</v>
      </c>
      <c r="UY1" t="s">
        <v>1207</v>
      </c>
      <c r="UZ1" t="s">
        <v>1208</v>
      </c>
      <c r="VA1" t="s">
        <v>1209</v>
      </c>
      <c r="VB1" t="s">
        <v>1210</v>
      </c>
      <c r="VC1" t="s">
        <v>1211</v>
      </c>
      <c r="VD1" t="s">
        <v>1212</v>
      </c>
      <c r="VE1" t="s">
        <v>1213</v>
      </c>
      <c r="VF1" t="s">
        <v>1214</v>
      </c>
      <c r="VG1" t="s">
        <v>1215</v>
      </c>
      <c r="VH1" t="s">
        <v>1216</v>
      </c>
      <c r="VI1" t="s">
        <v>1217</v>
      </c>
      <c r="VJ1" t="s">
        <v>1218</v>
      </c>
      <c r="VK1" t="s">
        <v>1219</v>
      </c>
      <c r="VL1" t="s">
        <v>1220</v>
      </c>
    </row>
    <row r="2" spans="1:584" x14ac:dyDescent="0.25">
      <c r="D2" s="3"/>
      <c r="BH2" s="3"/>
      <c r="BI2" s="3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69500-0531-403B-BD4E-C39037ED518B}">
  <sheetPr>
    <tabColor rgb="FF7030A0"/>
  </sheetPr>
  <dimension ref="A1:MK2"/>
  <sheetViews>
    <sheetView workbookViewId="0"/>
  </sheetViews>
  <sheetFormatPr defaultRowHeight="13.2" x14ac:dyDescent="0.25"/>
  <cols>
    <col min="1" max="1" width="8" bestFit="1" customWidth="1"/>
    <col min="2" max="3" width="20.77734375" bestFit="1" customWidth="1"/>
    <col min="4" max="4" width="22.88671875" bestFit="1" customWidth="1"/>
    <col min="5" max="5" width="19.5546875" bestFit="1" customWidth="1"/>
    <col min="6" max="6" width="8.21875" bestFit="1" customWidth="1"/>
    <col min="7" max="7" width="20.77734375" bestFit="1" customWidth="1"/>
    <col min="8" max="8" width="8.33203125" bestFit="1" customWidth="1"/>
    <col min="9" max="9" width="7" bestFit="1" customWidth="1"/>
    <col min="10" max="10" width="5.88671875" bestFit="1" customWidth="1"/>
    <col min="11" max="11" width="14.88671875" bestFit="1" customWidth="1"/>
    <col min="12" max="12" width="13.6640625" bestFit="1" customWidth="1"/>
    <col min="13" max="13" width="11.5546875" bestFit="1" customWidth="1"/>
    <col min="14" max="14" width="14.33203125" bestFit="1" customWidth="1"/>
    <col min="15" max="15" width="16.88671875" bestFit="1" customWidth="1"/>
    <col min="16" max="16" width="17.21875" bestFit="1" customWidth="1"/>
    <col min="17" max="17" width="10.77734375" bestFit="1" customWidth="1"/>
    <col min="18" max="18" width="10.6640625" bestFit="1" customWidth="1"/>
    <col min="19" max="19" width="11.77734375" bestFit="1" customWidth="1"/>
    <col min="20" max="20" width="10.77734375" bestFit="1" customWidth="1"/>
    <col min="21" max="21" width="10.6640625" bestFit="1" customWidth="1"/>
    <col min="22" max="22" width="11.77734375" bestFit="1" customWidth="1"/>
    <col min="23" max="24" width="15.33203125" bestFit="1" customWidth="1"/>
    <col min="25" max="25" width="13.21875" bestFit="1" customWidth="1"/>
    <col min="26" max="26" width="13.109375" bestFit="1" customWidth="1"/>
    <col min="27" max="27" width="14.21875" bestFit="1" customWidth="1"/>
    <col min="28" max="28" width="13.21875" bestFit="1" customWidth="1"/>
    <col min="29" max="29" width="13.109375" bestFit="1" customWidth="1"/>
    <col min="30" max="30" width="14.21875" bestFit="1" customWidth="1"/>
    <col min="31" max="32" width="17.77734375" bestFit="1" customWidth="1"/>
    <col min="33" max="33" width="14" bestFit="1" customWidth="1"/>
    <col min="34" max="34" width="16.5546875" bestFit="1" customWidth="1"/>
    <col min="35" max="35" width="13.21875" bestFit="1" customWidth="1"/>
    <col min="36" max="36" width="22.77734375" bestFit="1" customWidth="1"/>
    <col min="37" max="37" width="25.33203125" bestFit="1" customWidth="1"/>
    <col min="38" max="38" width="22" bestFit="1" customWidth="1"/>
    <col min="39" max="39" width="25.21875" bestFit="1" customWidth="1"/>
    <col min="40" max="40" width="27.77734375" bestFit="1" customWidth="1"/>
    <col min="41" max="41" width="24.44140625" bestFit="1" customWidth="1"/>
    <col min="42" max="42" width="12" bestFit="1" customWidth="1"/>
    <col min="43" max="43" width="14.109375" bestFit="1" customWidth="1"/>
    <col min="44" max="44" width="22.77734375" bestFit="1" customWidth="1"/>
    <col min="45" max="45" width="25.33203125" bestFit="1" customWidth="1"/>
    <col min="46" max="46" width="12" bestFit="1" customWidth="1"/>
    <col min="47" max="47" width="22" bestFit="1" customWidth="1"/>
    <col min="48" max="48" width="29.33203125" bestFit="1" customWidth="1"/>
    <col min="49" max="49" width="12.109375" bestFit="1" customWidth="1"/>
    <col min="50" max="50" width="13.109375" bestFit="1" customWidth="1"/>
    <col min="51" max="51" width="9.5546875" bestFit="1" customWidth="1"/>
    <col min="52" max="52" width="11" bestFit="1" customWidth="1"/>
    <col min="53" max="53" width="11.109375" bestFit="1" customWidth="1"/>
    <col min="54" max="54" width="10.77734375" bestFit="1" customWidth="1"/>
    <col min="55" max="55" width="18.5546875" bestFit="1" customWidth="1"/>
    <col min="56" max="56" width="18.44140625" bestFit="1" customWidth="1"/>
    <col min="57" max="57" width="20" bestFit="1" customWidth="1"/>
    <col min="58" max="58" width="20.109375" bestFit="1" customWidth="1"/>
    <col min="59" max="59" width="19.77734375" bestFit="1" customWidth="1"/>
    <col min="60" max="60" width="16.44140625" bestFit="1" customWidth="1"/>
    <col min="61" max="61" width="16.33203125" bestFit="1" customWidth="1"/>
    <col min="62" max="62" width="17.77734375" bestFit="1" customWidth="1"/>
    <col min="63" max="63" width="17.88671875" bestFit="1" customWidth="1"/>
    <col min="64" max="64" width="17.5546875" bestFit="1" customWidth="1"/>
    <col min="65" max="65" width="21.44140625" bestFit="1" customWidth="1"/>
    <col min="66" max="66" width="19.21875" bestFit="1" customWidth="1"/>
    <col min="67" max="67" width="19" bestFit="1" customWidth="1"/>
    <col min="68" max="68" width="16.88671875" bestFit="1" customWidth="1"/>
    <col min="69" max="69" width="25" bestFit="1" customWidth="1"/>
    <col min="70" max="70" width="24.6640625" bestFit="1" customWidth="1"/>
    <col min="71" max="71" width="11.77734375" bestFit="1" customWidth="1"/>
    <col min="72" max="72" width="20.44140625" bestFit="1" customWidth="1"/>
    <col min="73" max="73" width="22.6640625" bestFit="1" customWidth="1"/>
    <col min="74" max="75" width="17.77734375" bestFit="1" customWidth="1"/>
    <col min="76" max="76" width="20.109375" bestFit="1" customWidth="1"/>
    <col min="77" max="77" width="31.21875" bestFit="1" customWidth="1"/>
    <col min="78" max="78" width="22.5546875" bestFit="1" customWidth="1"/>
    <col min="79" max="79" width="33.77734375" bestFit="1" customWidth="1"/>
    <col min="80" max="80" width="16.44140625" bestFit="1" customWidth="1"/>
    <col min="81" max="81" width="31.88671875" bestFit="1" customWidth="1"/>
    <col min="82" max="82" width="42.77734375" bestFit="1" customWidth="1"/>
    <col min="83" max="83" width="34.33203125" bestFit="1" customWidth="1"/>
    <col min="84" max="84" width="45.33203125" bestFit="1" customWidth="1"/>
    <col min="85" max="85" width="12.109375" bestFit="1" customWidth="1"/>
    <col min="86" max="86" width="23.21875" bestFit="1" customWidth="1"/>
    <col min="87" max="87" width="14.5546875" bestFit="1" customWidth="1"/>
    <col min="88" max="88" width="25.77734375" bestFit="1" customWidth="1"/>
    <col min="89" max="89" width="23.88671875" bestFit="1" customWidth="1"/>
    <col min="90" max="90" width="34.77734375" bestFit="1" customWidth="1"/>
    <col min="91" max="91" width="26.33203125" bestFit="1" customWidth="1"/>
    <col min="92" max="92" width="37.33203125" bestFit="1" customWidth="1"/>
    <col min="93" max="93" width="19.77734375" bestFit="1" customWidth="1"/>
    <col min="94" max="94" width="30.88671875" bestFit="1" customWidth="1"/>
    <col min="95" max="95" width="22.21875" bestFit="1" customWidth="1"/>
    <col min="96" max="96" width="33.44140625" bestFit="1" customWidth="1"/>
    <col min="97" max="97" width="31.44140625" bestFit="1" customWidth="1"/>
    <col min="98" max="98" width="42.44140625" bestFit="1" customWidth="1"/>
    <col min="99" max="99" width="34" bestFit="1" customWidth="1"/>
    <col min="100" max="100" width="45" bestFit="1" customWidth="1"/>
    <col min="101" max="101" width="18.33203125" bestFit="1" customWidth="1"/>
    <col min="102" max="102" width="29.5546875" bestFit="1" customWidth="1"/>
    <col min="103" max="103" width="20.88671875" bestFit="1" customWidth="1"/>
    <col min="104" max="104" width="32.109375" bestFit="1" customWidth="1"/>
    <col min="105" max="105" width="30.109375" bestFit="1" customWidth="1"/>
    <col min="106" max="106" width="41.109375" bestFit="1" customWidth="1"/>
    <col min="107" max="107" width="32.6640625" bestFit="1" customWidth="1"/>
    <col min="108" max="108" width="43.5546875" bestFit="1" customWidth="1"/>
    <col min="109" max="109" width="17.5546875" bestFit="1" customWidth="1"/>
    <col min="110" max="110" width="17" bestFit="1" customWidth="1"/>
    <col min="111" max="111" width="17.33203125" bestFit="1" customWidth="1"/>
    <col min="112" max="113" width="16.5546875" bestFit="1" customWidth="1"/>
    <col min="114" max="114" width="19.6640625" bestFit="1" customWidth="1"/>
    <col min="115" max="115" width="17.5546875" bestFit="1" customWidth="1"/>
    <col min="116" max="116" width="20.109375" bestFit="1" customWidth="1"/>
    <col min="117" max="118" width="19" bestFit="1" customWidth="1"/>
    <col min="119" max="119" width="28.77734375" bestFit="1" customWidth="1"/>
    <col min="120" max="120" width="28.21875" bestFit="1" customWidth="1"/>
    <col min="121" max="122" width="27.77734375" bestFit="1" customWidth="1"/>
    <col min="123" max="123" width="31.21875" bestFit="1" customWidth="1"/>
    <col min="124" max="125" width="30.21875" bestFit="1" customWidth="1"/>
    <col min="126" max="126" width="29.33203125" bestFit="1" customWidth="1"/>
    <col min="127" max="127" width="28.77734375" bestFit="1" customWidth="1"/>
    <col min="128" max="128" width="29.109375" bestFit="1" customWidth="1"/>
    <col min="129" max="130" width="28.33203125" bestFit="1" customWidth="1"/>
    <col min="131" max="131" width="31.33203125" bestFit="1" customWidth="1"/>
    <col min="132" max="132" width="29.33203125" bestFit="1" customWidth="1"/>
    <col min="133" max="133" width="40.33203125" bestFit="1" customWidth="1"/>
    <col min="134" max="134" width="39.6640625" bestFit="1" customWidth="1"/>
    <col min="135" max="135" width="40.109375" bestFit="1" customWidth="1"/>
    <col min="136" max="137" width="39.21875" bestFit="1" customWidth="1"/>
    <col min="138" max="138" width="42.33203125" bestFit="1" customWidth="1"/>
    <col min="139" max="139" width="40.33203125" bestFit="1" customWidth="1"/>
    <col min="140" max="140" width="31.88671875" bestFit="1" customWidth="1"/>
    <col min="141" max="141" width="31.21875" bestFit="1" customWidth="1"/>
    <col min="142" max="142" width="31.5546875" bestFit="1" customWidth="1"/>
    <col min="143" max="144" width="30.77734375" bestFit="1" customWidth="1"/>
    <col min="145" max="145" width="33.88671875" bestFit="1" customWidth="1"/>
    <col min="146" max="146" width="31.88671875" bestFit="1" customWidth="1"/>
    <col min="147" max="147" width="42.77734375" bestFit="1" customWidth="1"/>
    <col min="148" max="148" width="42.21875" bestFit="1" customWidth="1"/>
    <col min="149" max="149" width="42.5546875" bestFit="1" customWidth="1"/>
    <col min="150" max="151" width="41.77734375" bestFit="1" customWidth="1"/>
    <col min="152" max="152" width="44.88671875" bestFit="1" customWidth="1"/>
    <col min="153" max="153" width="42.77734375" bestFit="1" customWidth="1"/>
    <col min="154" max="154" width="12" bestFit="1" customWidth="1"/>
    <col min="155" max="155" width="21" bestFit="1" customWidth="1"/>
    <col min="156" max="156" width="12.33203125" bestFit="1" customWidth="1"/>
    <col min="157" max="157" width="23.5546875" bestFit="1" customWidth="1"/>
    <col min="158" max="158" width="21.5546875" bestFit="1" customWidth="1"/>
    <col min="159" max="159" width="32.5546875" bestFit="1" customWidth="1"/>
    <col min="160" max="160" width="24.109375" bestFit="1" customWidth="1"/>
    <col min="161" max="161" width="35" bestFit="1" customWidth="1"/>
    <col min="162" max="162" width="12" bestFit="1" customWidth="1"/>
    <col min="163" max="163" width="22.5546875" bestFit="1" customWidth="1"/>
    <col min="164" max="164" width="13.88671875" bestFit="1" customWidth="1"/>
    <col min="165" max="165" width="25.109375" bestFit="1" customWidth="1"/>
    <col min="166" max="166" width="23.109375" bestFit="1" customWidth="1"/>
    <col min="167" max="167" width="34.109375" bestFit="1" customWidth="1"/>
    <col min="168" max="168" width="25.6640625" bestFit="1" customWidth="1"/>
    <col min="169" max="169" width="36.6640625" bestFit="1" customWidth="1"/>
    <col min="170" max="170" width="22.88671875" bestFit="1" customWidth="1"/>
    <col min="171" max="171" width="34.109375" bestFit="1" customWidth="1"/>
    <col min="172" max="172" width="25.44140625" bestFit="1" customWidth="1"/>
    <col min="173" max="173" width="36.6640625" bestFit="1" customWidth="1"/>
    <col min="174" max="174" width="34.6640625" bestFit="1" customWidth="1"/>
    <col min="175" max="175" width="45.6640625" bestFit="1" customWidth="1"/>
    <col min="176" max="176" width="37.21875" bestFit="1" customWidth="1"/>
    <col min="177" max="177" width="48.21875" bestFit="1" customWidth="1"/>
    <col min="178" max="178" width="11.44140625" bestFit="1" customWidth="1"/>
    <col min="179" max="180" width="13.33203125" bestFit="1" customWidth="1"/>
    <col min="181" max="181" width="22.109375" bestFit="1" customWidth="1"/>
    <col min="182" max="182" width="18.77734375" bestFit="1" customWidth="1"/>
    <col min="183" max="183" width="21.6640625" bestFit="1" customWidth="1"/>
    <col min="184" max="184" width="19.88671875" bestFit="1" customWidth="1"/>
    <col min="185" max="185" width="17.77734375" bestFit="1" customWidth="1"/>
    <col min="186" max="186" width="23" bestFit="1" customWidth="1"/>
    <col min="187" max="187" width="17.77734375" bestFit="1" customWidth="1"/>
    <col min="188" max="188" width="17" bestFit="1" customWidth="1"/>
    <col min="189" max="189" width="17.77734375" bestFit="1" customWidth="1"/>
    <col min="190" max="190" width="18.77734375" bestFit="1" customWidth="1"/>
    <col min="191" max="191" width="25.109375" bestFit="1" customWidth="1"/>
    <col min="192" max="193" width="18.77734375" bestFit="1" customWidth="1"/>
    <col min="194" max="194" width="10.77734375" bestFit="1" customWidth="1"/>
    <col min="195" max="195" width="18.6640625" bestFit="1" customWidth="1"/>
    <col min="196" max="196" width="16.5546875" bestFit="1" customWidth="1"/>
    <col min="197" max="197" width="19.44140625" bestFit="1" customWidth="1"/>
    <col min="198" max="198" width="11.33203125" bestFit="1" customWidth="1"/>
    <col min="199" max="199" width="13.77734375" bestFit="1" customWidth="1"/>
    <col min="200" max="200" width="22.44140625" bestFit="1" customWidth="1"/>
    <col min="201" max="201" width="25" bestFit="1" customWidth="1"/>
    <col min="202" max="202" width="25.5546875" bestFit="1" customWidth="1"/>
    <col min="203" max="203" width="28.109375" bestFit="1" customWidth="1"/>
    <col min="204" max="204" width="10.5546875" bestFit="1" customWidth="1"/>
    <col min="205" max="205" width="21.6640625" bestFit="1" customWidth="1"/>
    <col min="206" max="206" width="24.77734375" bestFit="1" customWidth="1"/>
    <col min="207" max="207" width="21" bestFit="1" customWidth="1"/>
    <col min="208" max="208" width="23.5546875" bestFit="1" customWidth="1"/>
    <col min="209" max="209" width="20.21875" bestFit="1" customWidth="1"/>
    <col min="210" max="210" width="25.88671875" bestFit="1" customWidth="1"/>
    <col min="211" max="211" width="28.44140625" bestFit="1" customWidth="1"/>
    <col min="212" max="212" width="25.109375" bestFit="1" customWidth="1"/>
    <col min="213" max="213" width="17.21875" bestFit="1" customWidth="1"/>
    <col min="214" max="214" width="13.109375" bestFit="1" customWidth="1"/>
    <col min="215" max="215" width="16.88671875" bestFit="1" customWidth="1"/>
    <col min="216" max="216" width="14" bestFit="1" customWidth="1"/>
    <col min="217" max="217" width="19.44140625" bestFit="1" customWidth="1"/>
    <col min="218" max="218" width="16.5546875" bestFit="1" customWidth="1"/>
    <col min="219" max="219" width="16.109375" bestFit="1" customWidth="1"/>
    <col min="220" max="220" width="12.6640625" bestFit="1" customWidth="1"/>
    <col min="221" max="221" width="15.109375" bestFit="1" customWidth="1"/>
    <col min="222" max="222" width="17.5546875" bestFit="1" customWidth="1"/>
    <col min="223" max="223" width="23.77734375" bestFit="1" customWidth="1"/>
    <col min="224" max="224" width="23.109375" bestFit="1" customWidth="1"/>
    <col min="225" max="225" width="23.5546875" bestFit="1" customWidth="1"/>
    <col min="226" max="227" width="22.6640625" bestFit="1" customWidth="1"/>
    <col min="228" max="228" width="25.77734375" bestFit="1" customWidth="1"/>
    <col min="229" max="229" width="23.77734375" bestFit="1" customWidth="1"/>
    <col min="230" max="230" width="26.21875" bestFit="1" customWidth="1"/>
    <col min="231" max="232" width="25.21875" bestFit="1" customWidth="1"/>
    <col min="233" max="233" width="34.88671875" bestFit="1" customWidth="1"/>
    <col min="234" max="234" width="34.33203125" bestFit="1" customWidth="1"/>
    <col min="235" max="235" width="34.6640625" bestFit="1" customWidth="1"/>
    <col min="236" max="237" width="33.88671875" bestFit="1" customWidth="1"/>
    <col min="238" max="238" width="37" bestFit="1" customWidth="1"/>
    <col min="239" max="239" width="34.88671875" bestFit="1" customWidth="1"/>
    <col min="240" max="240" width="37.44140625" bestFit="1" customWidth="1"/>
    <col min="241" max="242" width="36.44140625" bestFit="1" customWidth="1"/>
    <col min="243" max="243" width="35.44140625" bestFit="1" customWidth="1"/>
    <col min="244" max="244" width="34.88671875" bestFit="1" customWidth="1"/>
    <col min="245" max="245" width="35.21875" bestFit="1" customWidth="1"/>
    <col min="246" max="247" width="34.44140625" bestFit="1" customWidth="1"/>
    <col min="248" max="248" width="37.5546875" bestFit="1" customWidth="1"/>
    <col min="249" max="249" width="35.44140625" bestFit="1" customWidth="1"/>
    <col min="250" max="250" width="46.44140625" bestFit="1" customWidth="1"/>
    <col min="251" max="251" width="45.88671875" bestFit="1" customWidth="1"/>
    <col min="252" max="252" width="46.21875" bestFit="1" customWidth="1"/>
    <col min="253" max="254" width="45.44140625" bestFit="1" customWidth="1"/>
    <col min="255" max="255" width="48.5546875" bestFit="1" customWidth="1"/>
    <col min="256" max="256" width="46.44140625" bestFit="1" customWidth="1"/>
    <col min="257" max="257" width="38" bestFit="1" customWidth="1"/>
    <col min="258" max="258" width="37.44140625" bestFit="1" customWidth="1"/>
    <col min="259" max="259" width="37.77734375" bestFit="1" customWidth="1"/>
    <col min="260" max="261" width="37" bestFit="1" customWidth="1"/>
    <col min="262" max="262" width="40.109375" bestFit="1" customWidth="1"/>
    <col min="263" max="263" width="38" bestFit="1" customWidth="1"/>
    <col min="264" max="264" width="49" bestFit="1" customWidth="1"/>
    <col min="265" max="265" width="48.44140625" bestFit="1" customWidth="1"/>
    <col min="266" max="266" width="48.77734375" bestFit="1" customWidth="1"/>
    <col min="267" max="268" width="47.88671875" bestFit="1" customWidth="1"/>
    <col min="269" max="269" width="51" bestFit="1" customWidth="1"/>
    <col min="270" max="270" width="49" bestFit="1" customWidth="1"/>
    <col min="271" max="271" width="22.33203125" bestFit="1" customWidth="1"/>
    <col min="272" max="272" width="21.77734375" bestFit="1" customWidth="1"/>
    <col min="273" max="273" width="22.109375" bestFit="1" customWidth="1"/>
    <col min="274" max="275" width="21.33203125" bestFit="1" customWidth="1"/>
    <col min="276" max="276" width="24.44140625" bestFit="1" customWidth="1"/>
    <col min="277" max="278" width="22.33203125" bestFit="1" customWidth="1"/>
    <col min="279" max="279" width="21.33203125" bestFit="1" customWidth="1"/>
    <col min="280" max="280" width="24.88671875" bestFit="1" customWidth="1"/>
    <col min="281" max="282" width="23.88671875" bestFit="1" customWidth="1"/>
    <col min="283" max="283" width="33.5546875" bestFit="1" customWidth="1"/>
    <col min="284" max="284" width="33" bestFit="1" customWidth="1"/>
    <col min="285" max="285" width="33.33203125" bestFit="1" customWidth="1"/>
    <col min="286" max="287" width="32.5546875" bestFit="1" customWidth="1"/>
    <col min="288" max="288" width="35.5546875" bestFit="1" customWidth="1"/>
    <col min="289" max="290" width="33.5546875" bestFit="1" customWidth="1"/>
    <col min="291" max="291" width="32.5546875" bestFit="1" customWidth="1"/>
    <col min="292" max="292" width="36.109375" bestFit="1" customWidth="1"/>
    <col min="293" max="294" width="35" bestFit="1" customWidth="1"/>
    <col min="295" max="295" width="34.109375" bestFit="1" customWidth="1"/>
    <col min="296" max="296" width="33.5546875" bestFit="1" customWidth="1"/>
    <col min="297" max="297" width="33.88671875" bestFit="1" customWidth="1"/>
    <col min="298" max="299" width="33.109375" bestFit="1" customWidth="1"/>
    <col min="300" max="300" width="36.21875" bestFit="1" customWidth="1"/>
    <col min="301" max="302" width="34.109375" bestFit="1" customWidth="1"/>
    <col min="303" max="303" width="33.109375" bestFit="1" customWidth="1"/>
    <col min="304" max="304" width="45.109375" bestFit="1" customWidth="1"/>
    <col min="305" max="305" width="44.5546875" bestFit="1" customWidth="1"/>
    <col min="306" max="306" width="44.88671875" bestFit="1" customWidth="1"/>
    <col min="307" max="308" width="44.109375" bestFit="1" customWidth="1"/>
    <col min="309" max="309" width="47.109375" bestFit="1" customWidth="1"/>
    <col min="310" max="311" width="45.109375" bestFit="1" customWidth="1"/>
    <col min="312" max="312" width="44.109375" bestFit="1" customWidth="1"/>
    <col min="313" max="313" width="36.6640625" bestFit="1" customWidth="1"/>
    <col min="314" max="314" width="36.109375" bestFit="1" customWidth="1"/>
    <col min="315" max="315" width="36.44140625" bestFit="1" customWidth="1"/>
    <col min="316" max="317" width="35.5546875" bestFit="1" customWidth="1"/>
    <col min="318" max="318" width="38.6640625" bestFit="1" customWidth="1"/>
    <col min="319" max="320" width="36.6640625" bestFit="1" customWidth="1"/>
    <col min="321" max="321" width="35.5546875" bestFit="1" customWidth="1"/>
    <col min="322" max="322" width="47.5546875" bestFit="1" customWidth="1"/>
    <col min="323" max="323" width="47" bestFit="1" customWidth="1"/>
    <col min="324" max="324" width="47.33203125" bestFit="1" customWidth="1"/>
    <col min="325" max="326" width="46.5546875" bestFit="1" customWidth="1"/>
    <col min="327" max="327" width="49.6640625" bestFit="1" customWidth="1"/>
    <col min="328" max="329" width="47.5546875" bestFit="1" customWidth="1"/>
    <col min="330" max="330" width="46.5546875" bestFit="1" customWidth="1"/>
    <col min="331" max="331" width="11.77734375" bestFit="1" customWidth="1"/>
    <col min="332" max="332" width="14.21875" bestFit="1" customWidth="1"/>
    <col min="333" max="333" width="22.88671875" bestFit="1" customWidth="1"/>
    <col min="334" max="334" width="25.44140625" bestFit="1" customWidth="1"/>
    <col min="335" max="335" width="23.5546875" bestFit="1" customWidth="1"/>
    <col min="336" max="336" width="34.44140625" bestFit="1" customWidth="1"/>
    <col min="337" max="337" width="26" bestFit="1" customWidth="1"/>
    <col min="338" max="338" width="37" bestFit="1" customWidth="1"/>
    <col min="339" max="339" width="15.6640625" bestFit="1" customWidth="1"/>
    <col min="340" max="341" width="17.5546875" bestFit="1" customWidth="1"/>
    <col min="342" max="342" width="18.33203125" bestFit="1" customWidth="1"/>
    <col min="343" max="343" width="16.6640625" bestFit="1" customWidth="1"/>
    <col min="344" max="344" width="21.33203125" bestFit="1" customWidth="1"/>
    <col min="345" max="345" width="28.44140625" bestFit="1" customWidth="1"/>
    <col min="346" max="346" width="20" bestFit="1" customWidth="1"/>
    <col min="347" max="347" width="16.6640625" bestFit="1" customWidth="1"/>
    <col min="348" max="348" width="22.88671875" bestFit="1" customWidth="1"/>
    <col min="349" max="349" width="30" bestFit="1" customWidth="1"/>
    <col min="350" max="350" width="8" bestFit="1" customWidth="1"/>
    <col min="351" max="351" width="29" bestFit="1" customWidth="1"/>
    <col min="352" max="352" width="19.6640625" bestFit="1" customWidth="1"/>
    <col min="353" max="353" width="24.109375" bestFit="1" customWidth="1"/>
    <col min="354" max="354" width="25.33203125" bestFit="1" customWidth="1"/>
    <col min="355" max="355" width="21.88671875" bestFit="1" customWidth="1"/>
    <col min="356" max="356" width="24.88671875" bestFit="1" customWidth="1"/>
    <col min="357" max="357" width="23" bestFit="1" customWidth="1"/>
    <col min="358" max="358" width="21" bestFit="1" customWidth="1"/>
    <col min="359" max="359" width="26.33203125" bestFit="1" customWidth="1"/>
    <col min="360" max="360" width="21" bestFit="1" customWidth="1"/>
    <col min="361" max="361" width="20.33203125" bestFit="1" customWidth="1"/>
    <col min="362" max="362" width="21" bestFit="1" customWidth="1"/>
    <col min="363" max="363" width="22" bestFit="1" customWidth="1"/>
    <col min="364" max="364" width="28.33203125" bestFit="1" customWidth="1"/>
    <col min="365" max="366" width="22" bestFit="1" customWidth="1"/>
    <col min="367" max="367" width="13.6640625" bestFit="1" customWidth="1"/>
    <col min="368" max="368" width="21.6640625" bestFit="1" customWidth="1"/>
    <col min="369" max="369" width="19.6640625" bestFit="1" customWidth="1"/>
    <col min="370" max="370" width="22.44140625" bestFit="1" customWidth="1"/>
    <col min="371" max="371" width="14.33203125" bestFit="1" customWidth="1"/>
    <col min="372" max="372" width="16.88671875" bestFit="1" customWidth="1"/>
    <col min="373" max="373" width="25.5546875" bestFit="1" customWidth="1"/>
    <col min="374" max="374" width="28.109375" bestFit="1" customWidth="1"/>
    <col min="375" max="375" width="13.5546875" bestFit="1" customWidth="1"/>
    <col min="376" max="376" width="16" bestFit="1" customWidth="1"/>
    <col min="377" max="377" width="23" bestFit="1" customWidth="1"/>
    <col min="378" max="378" width="21" bestFit="1" customWidth="1"/>
    <col min="379" max="379" width="26.33203125" bestFit="1" customWidth="1"/>
    <col min="380" max="380" width="21" bestFit="1" customWidth="1"/>
    <col min="381" max="381" width="20.33203125" bestFit="1" customWidth="1"/>
    <col min="382" max="382" width="21" bestFit="1" customWidth="1"/>
    <col min="383" max="383" width="22" bestFit="1" customWidth="1"/>
    <col min="384" max="384" width="28.33203125" bestFit="1" customWidth="1"/>
    <col min="385" max="386" width="22" bestFit="1" customWidth="1"/>
    <col min="387" max="387" width="13.5546875" bestFit="1" customWidth="1"/>
    <col min="388" max="388" width="21.5546875" bestFit="1" customWidth="1"/>
    <col min="389" max="389" width="19.44140625" bestFit="1" customWidth="1"/>
    <col min="390" max="390" width="22.33203125" bestFit="1" customWidth="1"/>
    <col min="391" max="391" width="18.6640625" bestFit="1" customWidth="1"/>
    <col min="392" max="392" width="18.5546875" bestFit="1" customWidth="1"/>
    <col min="393" max="393" width="19.6640625" bestFit="1" customWidth="1"/>
    <col min="394" max="394" width="18.6640625" bestFit="1" customWidth="1"/>
    <col min="395" max="395" width="18.5546875" bestFit="1" customWidth="1"/>
    <col min="396" max="397" width="19.6640625" bestFit="1" customWidth="1"/>
    <col min="398" max="398" width="21.33203125" bestFit="1" customWidth="1"/>
    <col min="399" max="399" width="21" bestFit="1" customWidth="1"/>
    <col min="400" max="400" width="22.109375" bestFit="1" customWidth="1"/>
    <col min="401" max="401" width="21.33203125" bestFit="1" customWidth="1"/>
    <col min="402" max="402" width="21" bestFit="1" customWidth="1"/>
    <col min="403" max="404" width="22.109375" bestFit="1" customWidth="1"/>
    <col min="405" max="405" width="18.6640625" bestFit="1" customWidth="1"/>
    <col min="406" max="406" width="15.44140625" bestFit="1" customWidth="1"/>
    <col min="407" max="407" width="16.33203125" bestFit="1" customWidth="1"/>
    <col min="408" max="408" width="13.109375" bestFit="1" customWidth="1"/>
    <col min="409" max="409" width="24.88671875" bestFit="1" customWidth="1"/>
    <col min="410" max="410" width="25.33203125" bestFit="1" customWidth="1"/>
    <col min="411" max="411" width="24.88671875" bestFit="1" customWidth="1"/>
    <col min="412" max="412" width="25.33203125" bestFit="1" customWidth="1"/>
    <col min="413" max="413" width="33.33203125" bestFit="1" customWidth="1"/>
    <col min="414" max="414" width="35.5546875" bestFit="1" customWidth="1"/>
    <col min="415" max="415" width="22.6640625" bestFit="1" customWidth="1"/>
    <col min="416" max="416" width="25.109375" bestFit="1" customWidth="1"/>
    <col min="417" max="417" width="33.88671875" bestFit="1" customWidth="1"/>
    <col min="418" max="418" width="36.44140625" bestFit="1" customWidth="1"/>
    <col min="419" max="419" width="21.44140625" bestFit="1" customWidth="1"/>
    <col min="420" max="420" width="24" bestFit="1" customWidth="1"/>
    <col min="421" max="421" width="32.6640625" bestFit="1" customWidth="1"/>
    <col min="422" max="422" width="35.109375" bestFit="1" customWidth="1"/>
    <col min="423" max="423" width="23" bestFit="1" customWidth="1"/>
    <col min="424" max="424" width="25.5546875" bestFit="1" customWidth="1"/>
    <col min="425" max="425" width="34.33203125" bestFit="1" customWidth="1"/>
    <col min="426" max="426" width="36.6640625" bestFit="1" customWidth="1"/>
    <col min="427" max="427" width="21.6640625" bestFit="1" customWidth="1"/>
    <col min="428" max="428" width="20.6640625" bestFit="1" customWidth="1"/>
    <col min="429" max="429" width="22.33203125" bestFit="1" customWidth="1"/>
    <col min="430" max="430" width="14.6640625" bestFit="1" customWidth="1"/>
    <col min="431" max="432" width="21.109375" bestFit="1" customWidth="1"/>
    <col min="433" max="433" width="14.33203125" bestFit="1" customWidth="1"/>
    <col min="434" max="435" width="20.6640625" bestFit="1" customWidth="1"/>
    <col min="436" max="436" width="25.88671875" bestFit="1" customWidth="1"/>
    <col min="437" max="437" width="27.44140625" bestFit="1" customWidth="1"/>
    <col min="438" max="438" width="21.6640625" bestFit="1" customWidth="1"/>
    <col min="439" max="439" width="15" bestFit="1" customWidth="1"/>
    <col min="440" max="440" width="27.109375" bestFit="1" customWidth="1"/>
    <col min="441" max="442" width="29" bestFit="1" customWidth="1"/>
  </cols>
  <sheetData>
    <row r="1" spans="1:349" x14ac:dyDescent="0.25">
      <c r="A1" t="s">
        <v>1</v>
      </c>
      <c r="B1" t="s">
        <v>2</v>
      </c>
      <c r="C1" t="s">
        <v>3</v>
      </c>
      <c r="D1" t="s">
        <v>4</v>
      </c>
      <c r="E1" t="s">
        <v>582</v>
      </c>
      <c r="F1" t="s">
        <v>626</v>
      </c>
      <c r="G1" t="s">
        <v>417</v>
      </c>
      <c r="H1" t="s">
        <v>700</v>
      </c>
      <c r="I1" t="s">
        <v>330</v>
      </c>
      <c r="J1" t="s">
        <v>313</v>
      </c>
      <c r="K1" t="s">
        <v>701</v>
      </c>
      <c r="L1" t="s">
        <v>314</v>
      </c>
      <c r="M1" t="s">
        <v>315</v>
      </c>
      <c r="N1" t="s">
        <v>316</v>
      </c>
      <c r="O1" t="s">
        <v>702</v>
      </c>
      <c r="P1" t="s">
        <v>703</v>
      </c>
      <c r="Q1" t="s">
        <v>276</v>
      </c>
      <c r="R1" t="s">
        <v>277</v>
      </c>
      <c r="S1" t="s">
        <v>278</v>
      </c>
      <c r="T1" t="s">
        <v>279</v>
      </c>
      <c r="U1" t="s">
        <v>280</v>
      </c>
      <c r="V1" t="s">
        <v>281</v>
      </c>
      <c r="W1" t="s">
        <v>704</v>
      </c>
      <c r="X1" t="s">
        <v>705</v>
      </c>
      <c r="Y1" t="s">
        <v>282</v>
      </c>
      <c r="Z1" t="s">
        <v>283</v>
      </c>
      <c r="AA1" t="s">
        <v>284</v>
      </c>
      <c r="AB1" t="s">
        <v>285</v>
      </c>
      <c r="AC1" t="s">
        <v>286</v>
      </c>
      <c r="AD1" t="s">
        <v>287</v>
      </c>
      <c r="AE1" t="s">
        <v>706</v>
      </c>
      <c r="AF1" t="s">
        <v>707</v>
      </c>
      <c r="AG1" t="s">
        <v>290</v>
      </c>
      <c r="AH1" t="s">
        <v>291</v>
      </c>
      <c r="AI1" t="s">
        <v>292</v>
      </c>
      <c r="AJ1" t="s">
        <v>635</v>
      </c>
      <c r="AK1" t="s">
        <v>639</v>
      </c>
      <c r="AL1" t="s">
        <v>643</v>
      </c>
      <c r="AM1" t="s">
        <v>575</v>
      </c>
      <c r="AN1" t="s">
        <v>576</v>
      </c>
      <c r="AO1" t="s">
        <v>577</v>
      </c>
      <c r="AP1" t="s">
        <v>708</v>
      </c>
      <c r="AQ1" t="s">
        <v>709</v>
      </c>
      <c r="AR1" t="s">
        <v>710</v>
      </c>
      <c r="AS1" t="s">
        <v>711</v>
      </c>
      <c r="AT1" t="s">
        <v>712</v>
      </c>
      <c r="AU1" t="s">
        <v>713</v>
      </c>
      <c r="AV1" t="s">
        <v>524</v>
      </c>
      <c r="AW1" t="s">
        <v>685</v>
      </c>
      <c r="AX1" t="s">
        <v>714</v>
      </c>
      <c r="AY1" t="s">
        <v>715</v>
      </c>
      <c r="AZ1" t="s">
        <v>716</v>
      </c>
      <c r="BA1" t="s">
        <v>717</v>
      </c>
      <c r="BB1" t="s">
        <v>718</v>
      </c>
      <c r="BC1" t="s">
        <v>719</v>
      </c>
      <c r="BD1" t="s">
        <v>720</v>
      </c>
      <c r="BE1" t="s">
        <v>721</v>
      </c>
      <c r="BF1" t="s">
        <v>722</v>
      </c>
      <c r="BG1" t="s">
        <v>723</v>
      </c>
      <c r="BH1" t="s">
        <v>724</v>
      </c>
      <c r="BI1" t="s">
        <v>725</v>
      </c>
      <c r="BJ1" t="s">
        <v>726</v>
      </c>
      <c r="BK1" t="s">
        <v>727</v>
      </c>
      <c r="BL1" t="s">
        <v>728</v>
      </c>
      <c r="BM1" t="s">
        <v>729</v>
      </c>
      <c r="BN1" t="s">
        <v>730</v>
      </c>
      <c r="BO1" t="s">
        <v>731</v>
      </c>
      <c r="BP1" t="s">
        <v>732</v>
      </c>
      <c r="BQ1" t="s">
        <v>733</v>
      </c>
      <c r="BR1" t="s">
        <v>734</v>
      </c>
      <c r="BS1" t="s">
        <v>735</v>
      </c>
      <c r="BT1" t="s">
        <v>736</v>
      </c>
      <c r="BU1" t="s">
        <v>737</v>
      </c>
      <c r="BV1" t="s">
        <v>738</v>
      </c>
      <c r="BW1" t="s">
        <v>739</v>
      </c>
      <c r="BX1" t="s">
        <v>740</v>
      </c>
      <c r="BY1" t="s">
        <v>741</v>
      </c>
      <c r="BZ1" t="s">
        <v>742</v>
      </c>
      <c r="CA1" t="s">
        <v>743</v>
      </c>
      <c r="CB1" t="s">
        <v>744</v>
      </c>
      <c r="CC1" t="s">
        <v>745</v>
      </c>
      <c r="CD1" t="s">
        <v>746</v>
      </c>
      <c r="CE1" t="s">
        <v>747</v>
      </c>
      <c r="CF1" t="s">
        <v>748</v>
      </c>
      <c r="CG1" t="s">
        <v>749</v>
      </c>
      <c r="CH1" t="s">
        <v>750</v>
      </c>
      <c r="CI1" t="s">
        <v>751</v>
      </c>
      <c r="CJ1" t="s">
        <v>752</v>
      </c>
      <c r="CK1" t="s">
        <v>753</v>
      </c>
      <c r="CL1" t="s">
        <v>754</v>
      </c>
      <c r="CM1" t="s">
        <v>755</v>
      </c>
      <c r="CN1" t="s">
        <v>756</v>
      </c>
      <c r="CO1" t="s">
        <v>757</v>
      </c>
      <c r="CP1" t="s">
        <v>758</v>
      </c>
      <c r="CQ1" t="s">
        <v>759</v>
      </c>
      <c r="CR1" t="s">
        <v>760</v>
      </c>
      <c r="CS1" t="s">
        <v>761</v>
      </c>
      <c r="CT1" t="s">
        <v>762</v>
      </c>
      <c r="CU1" t="s">
        <v>763</v>
      </c>
      <c r="CV1" t="s">
        <v>764</v>
      </c>
      <c r="CW1" t="s">
        <v>765</v>
      </c>
      <c r="CX1" t="s">
        <v>766</v>
      </c>
      <c r="CY1" t="s">
        <v>767</v>
      </c>
      <c r="CZ1" t="s">
        <v>768</v>
      </c>
      <c r="DA1" t="s">
        <v>769</v>
      </c>
      <c r="DB1" t="s">
        <v>770</v>
      </c>
      <c r="DC1" t="s">
        <v>771</v>
      </c>
      <c r="DD1" t="s">
        <v>772</v>
      </c>
      <c r="DE1" t="s">
        <v>773</v>
      </c>
      <c r="DF1" t="s">
        <v>774</v>
      </c>
      <c r="DG1" t="s">
        <v>775</v>
      </c>
      <c r="DH1" t="s">
        <v>776</v>
      </c>
      <c r="DI1" t="s">
        <v>777</v>
      </c>
      <c r="DJ1" t="s">
        <v>778</v>
      </c>
      <c r="DK1" t="s">
        <v>779</v>
      </c>
      <c r="DL1" t="s">
        <v>780</v>
      </c>
      <c r="DM1" t="s">
        <v>781</v>
      </c>
      <c r="DN1" t="s">
        <v>782</v>
      </c>
      <c r="DO1" t="s">
        <v>783</v>
      </c>
      <c r="DP1" t="s">
        <v>784</v>
      </c>
      <c r="DQ1" t="s">
        <v>785</v>
      </c>
      <c r="DR1" t="s">
        <v>786</v>
      </c>
      <c r="DS1" t="s">
        <v>787</v>
      </c>
      <c r="DT1" t="s">
        <v>788</v>
      </c>
      <c r="DU1" t="s">
        <v>789</v>
      </c>
      <c r="DV1" t="s">
        <v>790</v>
      </c>
      <c r="DW1" t="s">
        <v>791</v>
      </c>
      <c r="DX1" t="s">
        <v>792</v>
      </c>
      <c r="DY1" t="s">
        <v>793</v>
      </c>
      <c r="DZ1" t="s">
        <v>794</v>
      </c>
      <c r="EA1" t="s">
        <v>795</v>
      </c>
      <c r="EB1" t="s">
        <v>796</v>
      </c>
      <c r="EC1" t="s">
        <v>797</v>
      </c>
      <c r="ED1" t="s">
        <v>798</v>
      </c>
      <c r="EE1" t="s">
        <v>799</v>
      </c>
      <c r="EF1" t="s">
        <v>800</v>
      </c>
      <c r="EG1" t="s">
        <v>801</v>
      </c>
      <c r="EH1" t="s">
        <v>802</v>
      </c>
      <c r="EI1" t="s">
        <v>803</v>
      </c>
      <c r="EJ1" t="s">
        <v>804</v>
      </c>
      <c r="EK1" t="s">
        <v>805</v>
      </c>
      <c r="EL1" t="s">
        <v>806</v>
      </c>
      <c r="EM1" t="s">
        <v>807</v>
      </c>
      <c r="EN1" t="s">
        <v>808</v>
      </c>
      <c r="EO1" t="s">
        <v>809</v>
      </c>
      <c r="EP1" t="s">
        <v>810</v>
      </c>
      <c r="EQ1" t="s">
        <v>811</v>
      </c>
      <c r="ER1" t="s">
        <v>812</v>
      </c>
      <c r="ES1" t="s">
        <v>813</v>
      </c>
      <c r="ET1" t="s">
        <v>814</v>
      </c>
      <c r="EU1" t="s">
        <v>815</v>
      </c>
      <c r="EV1" t="s">
        <v>816</v>
      </c>
      <c r="EW1" t="s">
        <v>817</v>
      </c>
      <c r="EX1" t="s">
        <v>818</v>
      </c>
      <c r="EY1" t="s">
        <v>819</v>
      </c>
      <c r="EZ1" t="s">
        <v>820</v>
      </c>
      <c r="FA1" t="s">
        <v>821</v>
      </c>
      <c r="FB1" t="s">
        <v>822</v>
      </c>
      <c r="FC1" t="s">
        <v>823</v>
      </c>
      <c r="FD1" t="s">
        <v>824</v>
      </c>
      <c r="FE1" t="s">
        <v>825</v>
      </c>
      <c r="FF1" t="s">
        <v>826</v>
      </c>
      <c r="FG1" t="s">
        <v>827</v>
      </c>
      <c r="FH1" t="s">
        <v>828</v>
      </c>
      <c r="FI1" t="s">
        <v>829</v>
      </c>
      <c r="FJ1" t="s">
        <v>830</v>
      </c>
      <c r="FK1" t="s">
        <v>831</v>
      </c>
      <c r="FL1" t="s">
        <v>832</v>
      </c>
      <c r="FM1" t="s">
        <v>833</v>
      </c>
      <c r="FN1" t="s">
        <v>834</v>
      </c>
      <c r="FO1" t="s">
        <v>835</v>
      </c>
      <c r="FP1" t="s">
        <v>836</v>
      </c>
      <c r="FQ1" t="s">
        <v>837</v>
      </c>
      <c r="FR1" t="s">
        <v>838</v>
      </c>
      <c r="FS1" t="s">
        <v>839</v>
      </c>
      <c r="FT1" t="s">
        <v>840</v>
      </c>
      <c r="FU1" t="s">
        <v>841</v>
      </c>
      <c r="FV1" t="s">
        <v>300</v>
      </c>
      <c r="FW1" t="s">
        <v>418</v>
      </c>
      <c r="FX1" t="s">
        <v>5</v>
      </c>
      <c r="FY1" t="s">
        <v>649</v>
      </c>
      <c r="FZ1" t="s">
        <v>650</v>
      </c>
      <c r="GA1" t="s">
        <v>651</v>
      </c>
      <c r="GB1" t="s">
        <v>662</v>
      </c>
      <c r="GC1" t="s">
        <v>663</v>
      </c>
      <c r="GD1" t="s">
        <v>664</v>
      </c>
      <c r="GE1" t="s">
        <v>665</v>
      </c>
      <c r="GF1" t="s">
        <v>666</v>
      </c>
      <c r="GG1" t="s">
        <v>667</v>
      </c>
      <c r="GH1" t="s">
        <v>668</v>
      </c>
      <c r="GI1" t="s">
        <v>669</v>
      </c>
      <c r="GJ1" t="s">
        <v>670</v>
      </c>
      <c r="GK1" t="s">
        <v>671</v>
      </c>
      <c r="GL1" t="s">
        <v>672</v>
      </c>
      <c r="GM1" t="s">
        <v>673</v>
      </c>
      <c r="GN1" t="s">
        <v>674</v>
      </c>
      <c r="GO1" t="s">
        <v>675</v>
      </c>
      <c r="GP1" t="s">
        <v>676</v>
      </c>
      <c r="GQ1" t="s">
        <v>677</v>
      </c>
      <c r="GR1" t="s">
        <v>678</v>
      </c>
      <c r="GS1" t="s">
        <v>679</v>
      </c>
      <c r="GT1" t="s">
        <v>842</v>
      </c>
      <c r="GU1" t="s">
        <v>843</v>
      </c>
      <c r="GV1" t="s">
        <v>680</v>
      </c>
      <c r="GW1" t="s">
        <v>844</v>
      </c>
      <c r="GX1" t="s">
        <v>845</v>
      </c>
      <c r="GY1" t="s">
        <v>846</v>
      </c>
      <c r="GZ1" t="s">
        <v>847</v>
      </c>
      <c r="HA1" t="s">
        <v>848</v>
      </c>
      <c r="HB1" t="s">
        <v>849</v>
      </c>
      <c r="HC1" t="s">
        <v>850</v>
      </c>
      <c r="HD1" t="s">
        <v>851</v>
      </c>
      <c r="HE1" t="s">
        <v>852</v>
      </c>
      <c r="HF1" t="s">
        <v>853</v>
      </c>
      <c r="HG1" t="s">
        <v>854</v>
      </c>
      <c r="HH1" t="s">
        <v>855</v>
      </c>
      <c r="HI1" t="s">
        <v>856</v>
      </c>
      <c r="HJ1" t="s">
        <v>857</v>
      </c>
      <c r="HK1" t="s">
        <v>858</v>
      </c>
      <c r="HL1" t="s">
        <v>859</v>
      </c>
      <c r="HM1" t="s">
        <v>860</v>
      </c>
      <c r="HN1" t="s">
        <v>861</v>
      </c>
      <c r="HO1" t="s">
        <v>862</v>
      </c>
      <c r="HP1" t="s">
        <v>863</v>
      </c>
      <c r="HQ1" t="s">
        <v>864</v>
      </c>
      <c r="HR1" t="s">
        <v>865</v>
      </c>
      <c r="HS1" t="s">
        <v>866</v>
      </c>
      <c r="HT1" t="s">
        <v>867</v>
      </c>
      <c r="HU1" t="s">
        <v>868</v>
      </c>
      <c r="HV1" t="s">
        <v>869</v>
      </c>
      <c r="HW1" t="s">
        <v>870</v>
      </c>
      <c r="HX1" t="s">
        <v>871</v>
      </c>
      <c r="HY1" t="s">
        <v>872</v>
      </c>
      <c r="HZ1" t="s">
        <v>873</v>
      </c>
      <c r="IA1" t="s">
        <v>874</v>
      </c>
      <c r="IB1" t="s">
        <v>875</v>
      </c>
      <c r="IC1" t="s">
        <v>876</v>
      </c>
      <c r="ID1" t="s">
        <v>877</v>
      </c>
      <c r="IE1" t="s">
        <v>878</v>
      </c>
      <c r="IF1" t="s">
        <v>879</v>
      </c>
      <c r="IG1" t="s">
        <v>880</v>
      </c>
      <c r="IH1" t="s">
        <v>881</v>
      </c>
      <c r="II1" t="s">
        <v>882</v>
      </c>
      <c r="IJ1" t="s">
        <v>883</v>
      </c>
      <c r="IK1" t="s">
        <v>884</v>
      </c>
      <c r="IL1" t="s">
        <v>885</v>
      </c>
      <c r="IM1" t="s">
        <v>886</v>
      </c>
      <c r="IN1" t="s">
        <v>887</v>
      </c>
      <c r="IO1" t="s">
        <v>888</v>
      </c>
      <c r="IP1" t="s">
        <v>889</v>
      </c>
      <c r="IQ1" t="s">
        <v>890</v>
      </c>
      <c r="IR1" t="s">
        <v>891</v>
      </c>
      <c r="IS1" t="s">
        <v>892</v>
      </c>
      <c r="IT1" t="s">
        <v>893</v>
      </c>
      <c r="IU1" t="s">
        <v>894</v>
      </c>
      <c r="IV1" t="s">
        <v>895</v>
      </c>
      <c r="IW1" t="s">
        <v>896</v>
      </c>
      <c r="IX1" t="s">
        <v>897</v>
      </c>
      <c r="IY1" t="s">
        <v>898</v>
      </c>
      <c r="IZ1" t="s">
        <v>899</v>
      </c>
      <c r="JA1" t="s">
        <v>900</v>
      </c>
      <c r="JB1" t="s">
        <v>901</v>
      </c>
      <c r="JC1" t="s">
        <v>902</v>
      </c>
      <c r="JD1" t="s">
        <v>903</v>
      </c>
      <c r="JE1" t="s">
        <v>904</v>
      </c>
      <c r="JF1" t="s">
        <v>905</v>
      </c>
      <c r="JG1" t="s">
        <v>906</v>
      </c>
      <c r="JH1" t="s">
        <v>907</v>
      </c>
      <c r="JI1" t="s">
        <v>908</v>
      </c>
      <c r="JJ1" t="s">
        <v>909</v>
      </c>
      <c r="JK1" t="s">
        <v>910</v>
      </c>
      <c r="JL1" t="s">
        <v>911</v>
      </c>
      <c r="JM1" t="s">
        <v>912</v>
      </c>
      <c r="JN1" t="s">
        <v>913</v>
      </c>
      <c r="JO1" t="s">
        <v>914</v>
      </c>
      <c r="JP1" t="s">
        <v>915</v>
      </c>
      <c r="JQ1" t="s">
        <v>916</v>
      </c>
      <c r="JR1" t="s">
        <v>917</v>
      </c>
      <c r="JS1" t="s">
        <v>918</v>
      </c>
      <c r="JT1" t="s">
        <v>919</v>
      </c>
      <c r="JU1" t="s">
        <v>920</v>
      </c>
      <c r="JV1" t="s">
        <v>921</v>
      </c>
      <c r="JW1" t="s">
        <v>922</v>
      </c>
      <c r="JX1" t="s">
        <v>923</v>
      </c>
      <c r="JY1" t="s">
        <v>924</v>
      </c>
      <c r="JZ1" t="s">
        <v>925</v>
      </c>
      <c r="KA1" t="s">
        <v>926</v>
      </c>
      <c r="KB1" t="s">
        <v>927</v>
      </c>
      <c r="KC1" t="s">
        <v>928</v>
      </c>
      <c r="KD1" t="s">
        <v>929</v>
      </c>
      <c r="KE1" t="s">
        <v>930</v>
      </c>
      <c r="KF1" t="s">
        <v>931</v>
      </c>
      <c r="KG1" t="s">
        <v>932</v>
      </c>
      <c r="KH1" t="s">
        <v>933</v>
      </c>
      <c r="KI1" t="s">
        <v>934</v>
      </c>
      <c r="KJ1" t="s">
        <v>935</v>
      </c>
      <c r="KK1" t="s">
        <v>936</v>
      </c>
      <c r="KL1" t="s">
        <v>937</v>
      </c>
      <c r="KM1" t="s">
        <v>938</v>
      </c>
      <c r="KN1" t="s">
        <v>939</v>
      </c>
      <c r="KO1" t="s">
        <v>940</v>
      </c>
      <c r="KP1" t="s">
        <v>941</v>
      </c>
      <c r="KQ1" t="s">
        <v>942</v>
      </c>
      <c r="KR1" t="s">
        <v>943</v>
      </c>
      <c r="KS1" t="s">
        <v>944</v>
      </c>
      <c r="KT1" t="s">
        <v>945</v>
      </c>
      <c r="KU1" t="s">
        <v>946</v>
      </c>
      <c r="KV1" t="s">
        <v>947</v>
      </c>
      <c r="KW1" t="s">
        <v>948</v>
      </c>
      <c r="KX1" t="s">
        <v>949</v>
      </c>
      <c r="KY1" t="s">
        <v>950</v>
      </c>
      <c r="KZ1" t="s">
        <v>951</v>
      </c>
      <c r="LA1" t="s">
        <v>952</v>
      </c>
      <c r="LB1" t="s">
        <v>953</v>
      </c>
      <c r="LC1" t="s">
        <v>954</v>
      </c>
      <c r="LD1" t="s">
        <v>955</v>
      </c>
      <c r="LE1" t="s">
        <v>956</v>
      </c>
      <c r="LF1" t="s">
        <v>957</v>
      </c>
      <c r="LG1" t="s">
        <v>958</v>
      </c>
      <c r="LH1" t="s">
        <v>959</v>
      </c>
      <c r="LI1" t="s">
        <v>960</v>
      </c>
      <c r="LJ1" t="s">
        <v>961</v>
      </c>
      <c r="LK1" t="s">
        <v>962</v>
      </c>
      <c r="LL1" t="s">
        <v>963</v>
      </c>
      <c r="LM1" t="s">
        <v>964</v>
      </c>
      <c r="LN1" t="s">
        <v>965</v>
      </c>
      <c r="LO1" t="s">
        <v>966</v>
      </c>
      <c r="LP1" t="s">
        <v>967</v>
      </c>
      <c r="LQ1" t="s">
        <v>968</v>
      </c>
      <c r="LR1" t="s">
        <v>969</v>
      </c>
      <c r="LS1" t="s">
        <v>970</v>
      </c>
      <c r="LT1" t="s">
        <v>971</v>
      </c>
      <c r="LU1" t="s">
        <v>972</v>
      </c>
      <c r="LV1" t="s">
        <v>973</v>
      </c>
      <c r="LW1" t="s">
        <v>974</v>
      </c>
      <c r="LX1" t="s">
        <v>975</v>
      </c>
      <c r="LY1" t="s">
        <v>976</v>
      </c>
      <c r="LZ1" t="s">
        <v>977</v>
      </c>
      <c r="MA1" t="s">
        <v>978</v>
      </c>
      <c r="MB1" t="s">
        <v>979</v>
      </c>
      <c r="MC1" t="s">
        <v>980</v>
      </c>
      <c r="MD1" t="s">
        <v>981</v>
      </c>
      <c r="ME1" t="s">
        <v>982</v>
      </c>
      <c r="MF1" t="s">
        <v>983</v>
      </c>
      <c r="MG1" t="s">
        <v>984</v>
      </c>
      <c r="MH1" t="s">
        <v>985</v>
      </c>
      <c r="MI1" t="s">
        <v>986</v>
      </c>
      <c r="MJ1" t="s">
        <v>987</v>
      </c>
      <c r="MK1" t="s">
        <v>988</v>
      </c>
    </row>
    <row r="2" spans="1:349" x14ac:dyDescent="0.25">
      <c r="FV2" s="3"/>
      <c r="FW2" s="3"/>
      <c r="FX2" s="3"/>
    </row>
  </sheetData>
  <phoneticPr fontId="13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8F348-A8CE-4E12-B638-394698FDFF83}">
  <sheetPr>
    <tabColor rgb="FF002060"/>
  </sheetPr>
  <dimension ref="A1:FU2"/>
  <sheetViews>
    <sheetView workbookViewId="0"/>
  </sheetViews>
  <sheetFormatPr defaultColWidth="8.88671875" defaultRowHeight="13.2" x14ac:dyDescent="0.25"/>
  <cols>
    <col min="1" max="1" width="18.5546875" bestFit="1" customWidth="1"/>
    <col min="2" max="2" width="12.6640625" bestFit="1" customWidth="1"/>
    <col min="3" max="3" width="22.88671875" bestFit="1" customWidth="1"/>
    <col min="4" max="4" width="8.21875" bestFit="1" customWidth="1"/>
    <col min="5" max="5" width="7.5546875" bestFit="1" customWidth="1"/>
    <col min="6" max="6" width="20.77734375" bestFit="1" customWidth="1"/>
    <col min="7" max="7" width="8" bestFit="1" customWidth="1"/>
    <col min="8" max="8" width="20.77734375" bestFit="1" customWidth="1"/>
    <col min="9" max="9" width="18.5546875" bestFit="1" customWidth="1"/>
    <col min="10" max="10" width="10.109375" bestFit="1" customWidth="1"/>
    <col min="11" max="11" width="12.5546875" bestFit="1" customWidth="1"/>
    <col min="12" max="12" width="18.21875" bestFit="1" customWidth="1"/>
    <col min="13" max="13" width="13.5546875" bestFit="1" customWidth="1"/>
    <col min="14" max="15" width="13.33203125" bestFit="1" customWidth="1"/>
    <col min="16" max="16" width="5.88671875" bestFit="1" customWidth="1"/>
    <col min="17" max="17" width="14.88671875" bestFit="1" customWidth="1"/>
    <col min="18" max="18" width="13.6640625" bestFit="1" customWidth="1"/>
    <col min="19" max="19" width="11.5546875" bestFit="1" customWidth="1"/>
    <col min="20" max="20" width="14.33203125" bestFit="1" customWidth="1"/>
    <col min="21" max="21" width="15" bestFit="1" customWidth="1"/>
    <col min="22" max="22" width="16.88671875" bestFit="1" customWidth="1"/>
    <col min="23" max="23" width="17.21875" bestFit="1" customWidth="1"/>
    <col min="24" max="24" width="8.5546875" bestFit="1" customWidth="1"/>
    <col min="25" max="25" width="10.88671875" bestFit="1" customWidth="1"/>
    <col min="26" max="27" width="10.77734375" bestFit="1" customWidth="1"/>
    <col min="28" max="28" width="11.6640625" bestFit="1" customWidth="1"/>
    <col min="29" max="30" width="13.5546875" bestFit="1" customWidth="1"/>
    <col min="31" max="32" width="17.77734375" bestFit="1" customWidth="1"/>
    <col min="33" max="34" width="16.21875" bestFit="1" customWidth="1"/>
    <col min="35" max="35" width="7" bestFit="1" customWidth="1"/>
    <col min="36" max="36" width="10.77734375" bestFit="1" customWidth="1"/>
    <col min="37" max="37" width="10.6640625" bestFit="1" customWidth="1"/>
    <col min="38" max="38" width="11.77734375" bestFit="1" customWidth="1"/>
    <col min="39" max="39" width="10.77734375" bestFit="1" customWidth="1"/>
    <col min="40" max="40" width="10.6640625" bestFit="1" customWidth="1"/>
    <col min="41" max="41" width="11.77734375" bestFit="1" customWidth="1"/>
    <col min="42" max="42" width="11.6640625" bestFit="1" customWidth="1"/>
    <col min="43" max="44" width="15.33203125" bestFit="1" customWidth="1"/>
    <col min="45" max="45" width="13.21875" bestFit="1" customWidth="1"/>
    <col min="46" max="46" width="13.109375" bestFit="1" customWidth="1"/>
    <col min="47" max="47" width="14.21875" bestFit="1" customWidth="1"/>
    <col min="48" max="48" width="13.21875" bestFit="1" customWidth="1"/>
    <col min="49" max="49" width="13.109375" bestFit="1" customWidth="1"/>
    <col min="50" max="50" width="14.21875" bestFit="1" customWidth="1"/>
    <col min="51" max="51" width="14.109375" bestFit="1" customWidth="1"/>
    <col min="52" max="53" width="17.77734375" bestFit="1" customWidth="1"/>
    <col min="54" max="54" width="10.88671875" bestFit="1" customWidth="1"/>
    <col min="55" max="55" width="14.33203125" bestFit="1" customWidth="1"/>
    <col min="56" max="56" width="12" bestFit="1" customWidth="1"/>
    <col min="57" max="57" width="7.6640625" bestFit="1" customWidth="1"/>
    <col min="58" max="58" width="5.44140625" bestFit="1" customWidth="1"/>
    <col min="59" max="59" width="14" bestFit="1" customWidth="1"/>
    <col min="60" max="60" width="16.5546875" bestFit="1" customWidth="1"/>
    <col min="61" max="61" width="13.21875" bestFit="1" customWidth="1"/>
    <col min="62" max="62" width="14.109375" bestFit="1" customWidth="1"/>
    <col min="63" max="63" width="11.77734375" bestFit="1" customWidth="1"/>
    <col min="64" max="64" width="14.88671875" bestFit="1" customWidth="1"/>
    <col min="65" max="66" width="17.109375" bestFit="1" customWidth="1"/>
    <col min="67" max="68" width="14.44140625" bestFit="1" customWidth="1"/>
    <col min="69" max="70" width="11.88671875" bestFit="1" customWidth="1"/>
    <col min="71" max="72" width="11.44140625" bestFit="1" customWidth="1"/>
    <col min="73" max="73" width="9" bestFit="1" customWidth="1"/>
    <col min="74" max="74" width="8.44140625" bestFit="1" customWidth="1"/>
    <col min="75" max="75" width="12.5546875" bestFit="1" customWidth="1"/>
    <col min="76" max="77" width="8.21875" bestFit="1" customWidth="1"/>
    <col min="78" max="79" width="15.109375" bestFit="1" customWidth="1"/>
    <col min="80" max="80" width="12.21875" bestFit="1" customWidth="1"/>
    <col min="81" max="81" width="12.6640625" bestFit="1" customWidth="1"/>
    <col min="82" max="82" width="8.6640625" bestFit="1" customWidth="1"/>
    <col min="83" max="83" width="5.88671875" bestFit="1" customWidth="1"/>
    <col min="84" max="84" width="16.77734375" bestFit="1" customWidth="1"/>
    <col min="85" max="85" width="9.33203125" bestFit="1" customWidth="1"/>
    <col min="86" max="86" width="20.5546875" bestFit="1" customWidth="1"/>
    <col min="87" max="87" width="21" bestFit="1" customWidth="1"/>
    <col min="88" max="88" width="9.109375" bestFit="1" customWidth="1"/>
    <col min="89" max="89" width="20.33203125" bestFit="1" customWidth="1"/>
    <col min="90" max="90" width="20.77734375" bestFit="1" customWidth="1"/>
    <col min="91" max="91" width="8.88671875" bestFit="1" customWidth="1"/>
    <col min="92" max="92" width="16.88671875" bestFit="1" customWidth="1"/>
    <col min="93" max="93" width="17.21875" bestFit="1" customWidth="1"/>
    <col min="94" max="94" width="17" bestFit="1" customWidth="1"/>
    <col min="95" max="95" width="17.33203125" bestFit="1" customWidth="1"/>
    <col min="96" max="96" width="11.44140625" bestFit="1" customWidth="1"/>
    <col min="97" max="97" width="11.5546875" bestFit="1" customWidth="1"/>
    <col min="98" max="98" width="16.5546875" bestFit="1" customWidth="1"/>
    <col min="99" max="99" width="24.88671875" bestFit="1" customWidth="1"/>
    <col min="100" max="100" width="22.77734375" bestFit="1" customWidth="1"/>
    <col min="101" max="101" width="14" bestFit="1" customWidth="1"/>
    <col min="102" max="102" width="19" bestFit="1" customWidth="1"/>
    <col min="103" max="103" width="27.33203125" bestFit="1" customWidth="1"/>
    <col min="104" max="104" width="25.33203125" bestFit="1" customWidth="1"/>
    <col min="105" max="105" width="10.77734375" bestFit="1" customWidth="1"/>
    <col min="106" max="106" width="15.77734375" bestFit="1" customWidth="1"/>
    <col min="107" max="107" width="24.33203125" bestFit="1" customWidth="1"/>
    <col min="108" max="108" width="22" bestFit="1" customWidth="1"/>
    <col min="109" max="109" width="25.21875" bestFit="1" customWidth="1"/>
    <col min="110" max="110" width="27.77734375" bestFit="1" customWidth="1"/>
    <col min="111" max="111" width="24.44140625" bestFit="1" customWidth="1"/>
    <col min="112" max="112" width="9.88671875" bestFit="1" customWidth="1"/>
    <col min="113" max="113" width="12.33203125" bestFit="1" customWidth="1"/>
    <col min="114" max="114" width="9.109375" bestFit="1" customWidth="1"/>
    <col min="115" max="115" width="19.77734375" bestFit="1" customWidth="1"/>
    <col min="116" max="116" width="20.109375" bestFit="1" customWidth="1"/>
    <col min="117" max="117" width="19.109375" bestFit="1" customWidth="1"/>
    <col min="118" max="118" width="19.5546875" bestFit="1" customWidth="1"/>
    <col min="119" max="119" width="21" bestFit="1" customWidth="1"/>
    <col min="120" max="120" width="23.5546875" bestFit="1" customWidth="1"/>
    <col min="121" max="121" width="20.21875" bestFit="1" customWidth="1"/>
    <col min="122" max="122" width="15.6640625" bestFit="1" customWidth="1"/>
    <col min="123" max="123" width="23.6640625" bestFit="1" customWidth="1"/>
    <col min="124" max="124" width="8.5546875" bestFit="1" customWidth="1"/>
    <col min="125" max="125" width="17" bestFit="1" customWidth="1"/>
    <col min="126" max="126" width="28.77734375" bestFit="1" customWidth="1"/>
    <col min="127" max="127" width="26.33203125" bestFit="1" customWidth="1"/>
    <col min="128" max="128" width="8.21875" bestFit="1" customWidth="1"/>
    <col min="129" max="129" width="22.109375" bestFit="1" customWidth="1"/>
    <col min="130" max="130" width="18.77734375" bestFit="1" customWidth="1"/>
    <col min="131" max="131" width="21.6640625" bestFit="1" customWidth="1"/>
    <col min="132" max="132" width="15" bestFit="1" customWidth="1"/>
    <col min="133" max="133" width="13" bestFit="1" customWidth="1"/>
    <col min="134" max="134" width="18.21875" bestFit="1" customWidth="1"/>
    <col min="135" max="135" width="13" bestFit="1" customWidth="1"/>
    <col min="136" max="136" width="12.21875" bestFit="1" customWidth="1"/>
    <col min="137" max="137" width="13" bestFit="1" customWidth="1"/>
    <col min="138" max="138" width="14" bestFit="1" customWidth="1"/>
    <col min="139" max="139" width="20.33203125" bestFit="1" customWidth="1"/>
    <col min="140" max="141" width="14" bestFit="1" customWidth="1"/>
    <col min="142" max="142" width="24" bestFit="1" customWidth="1"/>
    <col min="143" max="143" width="24.33203125" bestFit="1" customWidth="1"/>
    <col min="144" max="144" width="24.109375" bestFit="1" customWidth="1"/>
    <col min="145" max="145" width="24.44140625" bestFit="1" customWidth="1"/>
    <col min="146" max="146" width="21.109375" bestFit="1" customWidth="1"/>
    <col min="147" max="147" width="23.6640625" bestFit="1" customWidth="1"/>
    <col min="148" max="148" width="20.33203125" bestFit="1" customWidth="1"/>
    <col min="149" max="149" width="32.33203125" bestFit="1" customWidth="1"/>
    <col min="150" max="150" width="34.77734375" bestFit="1" customWidth="1"/>
    <col min="151" max="151" width="31.44140625" bestFit="1" customWidth="1"/>
    <col min="152" max="152" width="28.109375" bestFit="1" customWidth="1"/>
    <col min="153" max="153" width="30.5546875" bestFit="1" customWidth="1"/>
    <col min="154" max="154" width="27.21875" bestFit="1" customWidth="1"/>
    <col min="155" max="155" width="19.88671875" bestFit="1" customWidth="1"/>
    <col min="156" max="156" width="17.77734375" bestFit="1" customWidth="1"/>
    <col min="157" max="157" width="23" bestFit="1" customWidth="1"/>
    <col min="158" max="158" width="17.77734375" bestFit="1" customWidth="1"/>
    <col min="159" max="159" width="17" bestFit="1" customWidth="1"/>
    <col min="160" max="160" width="17.77734375" bestFit="1" customWidth="1"/>
    <col min="161" max="161" width="18.77734375" bestFit="1" customWidth="1"/>
    <col min="162" max="162" width="25.109375" bestFit="1" customWidth="1"/>
    <col min="163" max="164" width="18.77734375" bestFit="1" customWidth="1"/>
    <col min="165" max="165" width="10.77734375" bestFit="1" customWidth="1"/>
    <col min="166" max="166" width="18.6640625" bestFit="1" customWidth="1"/>
    <col min="167" max="167" width="16.5546875" bestFit="1" customWidth="1"/>
    <col min="168" max="168" width="19.44140625" customWidth="1"/>
    <col min="169" max="169" width="11.33203125" bestFit="1" customWidth="1"/>
    <col min="170" max="170" width="13.77734375" bestFit="1" customWidth="1"/>
    <col min="171" max="171" width="22.44140625" bestFit="1" customWidth="1"/>
    <col min="172" max="172" width="25" bestFit="1" customWidth="1"/>
    <col min="173" max="173" width="25.5546875" bestFit="1" customWidth="1"/>
    <col min="174" max="174" width="28.109375" bestFit="1" customWidth="1"/>
    <col min="175" max="175" width="10.5546875" bestFit="1" customWidth="1"/>
    <col min="176" max="176" width="21.6640625" bestFit="1" customWidth="1"/>
    <col min="177" max="177" width="24.77734375" bestFit="1" customWidth="1"/>
    <col min="178" max="178" width="11.33203125" bestFit="1" customWidth="1"/>
    <col min="179" max="179" width="13.6640625" bestFit="1" customWidth="1"/>
    <col min="180" max="180" width="22.44140625" bestFit="1" customWidth="1"/>
    <col min="181" max="181" width="25" bestFit="1" customWidth="1"/>
    <col min="182" max="182" width="10.5546875" bestFit="1" customWidth="1"/>
    <col min="183" max="183" width="14.6640625" bestFit="1" customWidth="1"/>
    <col min="184" max="184" width="17.33203125" bestFit="1" customWidth="1"/>
    <col min="185" max="185" width="26" bestFit="1" customWidth="1"/>
    <col min="186" max="186" width="28.44140625" bestFit="1" customWidth="1"/>
    <col min="187" max="187" width="13.88671875" bestFit="1" customWidth="1"/>
    <col min="188" max="188" width="25.109375" bestFit="1" customWidth="1"/>
    <col min="189" max="189" width="13.5546875" bestFit="1" customWidth="1"/>
    <col min="190" max="190" width="16.109375" bestFit="1" customWidth="1"/>
    <col min="191" max="191" width="24.6640625" bestFit="1" customWidth="1"/>
    <col min="192" max="192" width="27.33203125" bestFit="1" customWidth="1"/>
    <col min="193" max="193" width="12.6640625" bestFit="1" customWidth="1"/>
    <col min="194" max="194" width="24" bestFit="1" customWidth="1"/>
    <col min="195" max="195" width="15.109375" bestFit="1" customWidth="1"/>
    <col min="196" max="196" width="17.6640625" bestFit="1" customWidth="1"/>
    <col min="197" max="197" width="26.33203125" bestFit="1" customWidth="1"/>
    <col min="198" max="198" width="28.88671875" bestFit="1" customWidth="1"/>
    <col min="199" max="199" width="14.33203125" bestFit="1" customWidth="1"/>
    <col min="200" max="200" width="25.5546875" bestFit="1" customWidth="1"/>
    <col min="201" max="201" width="19.88671875" bestFit="1" customWidth="1"/>
    <col min="202" max="202" width="17.6640625" bestFit="1" customWidth="1"/>
    <col min="203" max="203" width="23" bestFit="1" customWidth="1"/>
    <col min="204" max="204" width="17.6640625" bestFit="1" customWidth="1"/>
    <col min="205" max="205" width="17" bestFit="1" customWidth="1"/>
    <col min="206" max="206" width="17.6640625" bestFit="1" customWidth="1"/>
    <col min="207" max="207" width="18.6640625" bestFit="1" customWidth="1"/>
    <col min="208" max="208" width="25.109375" bestFit="1" customWidth="1"/>
    <col min="209" max="210" width="18.6640625" bestFit="1" customWidth="1"/>
    <col min="211" max="211" width="10.6640625" bestFit="1" customWidth="1"/>
    <col min="212" max="212" width="18.6640625" bestFit="1" customWidth="1"/>
    <col min="213" max="213" width="16.5546875" bestFit="1" customWidth="1"/>
    <col min="214" max="214" width="19.44140625" bestFit="1" customWidth="1"/>
    <col min="215" max="215" width="11.33203125" bestFit="1" customWidth="1"/>
    <col min="216" max="216" width="13.6640625" bestFit="1" customWidth="1"/>
    <col min="217" max="217" width="22.44140625" bestFit="1" customWidth="1"/>
    <col min="218" max="218" width="25" bestFit="1" customWidth="1"/>
    <col min="219" max="219" width="10.5546875" bestFit="1" customWidth="1"/>
    <col min="220" max="220" width="14.6640625" bestFit="1" customWidth="1"/>
    <col min="221" max="221" width="17.33203125" bestFit="1" customWidth="1"/>
    <col min="222" max="222" width="25.88671875" bestFit="1" customWidth="1"/>
    <col min="223" max="223" width="28.44140625" bestFit="1" customWidth="1"/>
    <col min="224" max="224" width="13.88671875" bestFit="1" customWidth="1"/>
    <col min="225" max="225" width="25.109375" bestFit="1" customWidth="1"/>
    <col min="226" max="226" width="13.5546875" bestFit="1" customWidth="1"/>
    <col min="227" max="227" width="16.109375" bestFit="1" customWidth="1"/>
    <col min="228" max="228" width="24.6640625" bestFit="1" customWidth="1"/>
    <col min="229" max="229" width="27.33203125" bestFit="1" customWidth="1"/>
    <col min="230" max="230" width="12.6640625" bestFit="1" customWidth="1"/>
    <col min="231" max="231" width="24" bestFit="1" customWidth="1"/>
    <col min="232" max="232" width="15.109375" bestFit="1" customWidth="1"/>
    <col min="233" max="233" width="17.6640625" bestFit="1" customWidth="1"/>
    <col min="234" max="234" width="26.33203125" bestFit="1" customWidth="1"/>
    <col min="235" max="235" width="28.88671875" bestFit="1" customWidth="1"/>
    <col min="236" max="236" width="14.33203125" bestFit="1" customWidth="1"/>
    <col min="237" max="237" width="25.5546875" bestFit="1" customWidth="1"/>
    <col min="238" max="238" width="17" bestFit="1" customWidth="1"/>
    <col min="239" max="239" width="17.6640625" bestFit="1" customWidth="1"/>
    <col min="240" max="240" width="25.88671875" bestFit="1" customWidth="1"/>
    <col min="241" max="241" width="28.5546875" bestFit="1" customWidth="1"/>
    <col min="242" max="242" width="24.88671875" bestFit="1" customWidth="1"/>
    <col min="243" max="243" width="17.44140625" bestFit="1" customWidth="1"/>
    <col min="244" max="244" width="18.109375" bestFit="1" customWidth="1"/>
    <col min="245" max="245" width="31.6640625" bestFit="1" customWidth="1"/>
    <col min="246" max="246" width="34.44140625" bestFit="1" customWidth="1"/>
    <col min="247" max="247" width="17.44140625" bestFit="1" customWidth="1"/>
    <col min="248" max="248" width="18.109375" bestFit="1" customWidth="1"/>
    <col min="249" max="249" width="11" bestFit="1" customWidth="1"/>
    <col min="250" max="250" width="31.6640625" bestFit="1" customWidth="1"/>
    <col min="251" max="251" width="34.44140625" bestFit="1" customWidth="1"/>
    <col min="252" max="252" width="13" bestFit="1" customWidth="1"/>
    <col min="253" max="253" width="15.6640625" bestFit="1" customWidth="1"/>
    <col min="254" max="254" width="28.44140625" bestFit="1" customWidth="1"/>
    <col min="255" max="255" width="31.44140625" bestFit="1" customWidth="1"/>
    <col min="256" max="256" width="25.88671875" bestFit="1" customWidth="1"/>
    <col min="257" max="257" width="28.44140625" bestFit="1" customWidth="1"/>
    <col min="258" max="258" width="13.33203125" bestFit="1" customWidth="1"/>
    <col min="259" max="259" width="16" bestFit="1" customWidth="1"/>
    <col min="260" max="260" width="14.6640625" bestFit="1" customWidth="1"/>
    <col min="261" max="261" width="17.44140625" bestFit="1" customWidth="1"/>
    <col min="262" max="262" width="17.88671875" bestFit="1" customWidth="1"/>
    <col min="263" max="263" width="20.44140625" bestFit="1" customWidth="1"/>
    <col min="264" max="264" width="28.88671875" bestFit="1" customWidth="1"/>
    <col min="265" max="265" width="26.109375" bestFit="1" customWidth="1"/>
    <col min="266" max="266" width="28.88671875" bestFit="1" customWidth="1"/>
    <col min="267" max="267" width="15.6640625" bestFit="1" customWidth="1"/>
    <col min="268" max="268" width="24" bestFit="1" customWidth="1"/>
    <col min="269" max="269" width="17.44140625" bestFit="1" customWidth="1"/>
    <col min="270" max="270" width="21.44140625" bestFit="1" customWidth="1"/>
    <col min="271" max="271" width="15.88671875" bestFit="1" customWidth="1"/>
    <col min="272" max="272" width="14.44140625" bestFit="1" customWidth="1"/>
    <col min="273" max="273" width="16" bestFit="1" customWidth="1"/>
    <col min="274" max="274" width="18.44140625" bestFit="1" customWidth="1"/>
    <col min="275" max="275" width="17.44140625" bestFit="1" customWidth="1"/>
    <col min="276" max="276" width="29" bestFit="1" customWidth="1"/>
    <col min="277" max="277" width="26.44140625" bestFit="1" customWidth="1"/>
    <col min="278" max="278" width="16" bestFit="1" customWidth="1"/>
    <col min="279" max="279" width="18.44140625" bestFit="1" customWidth="1"/>
    <col min="280" max="280" width="17.44140625" bestFit="1" customWidth="1"/>
    <col min="281" max="281" width="29" bestFit="1" customWidth="1"/>
    <col min="282" max="283" width="26.44140625" bestFit="1" customWidth="1"/>
    <col min="284" max="284" width="7" bestFit="1" customWidth="1"/>
    <col min="285" max="285" width="7.44140625" bestFit="1" customWidth="1"/>
    <col min="286" max="286" width="12.88671875" bestFit="1" customWidth="1"/>
    <col min="287" max="287" width="27.6640625" bestFit="1" customWidth="1"/>
    <col min="288" max="288" width="11.88671875" bestFit="1" customWidth="1"/>
    <col min="289" max="289" width="17.109375" bestFit="1" customWidth="1"/>
    <col min="290" max="290" width="18.33203125" bestFit="1" customWidth="1"/>
    <col min="291" max="291" width="15.88671875" bestFit="1" customWidth="1"/>
    <col min="292" max="292" width="16.44140625" bestFit="1" customWidth="1"/>
    <col min="293" max="293" width="12.109375" bestFit="1" customWidth="1"/>
    <col min="294" max="294" width="14.6640625" bestFit="1" customWidth="1"/>
    <col min="295" max="295" width="40.109375" bestFit="1" customWidth="1"/>
    <col min="296" max="296" width="21.33203125" bestFit="1" customWidth="1"/>
    <col min="297" max="297" width="60.109375" bestFit="1" customWidth="1"/>
    <col min="298" max="298" width="34" bestFit="1" customWidth="1"/>
    <col min="299" max="299" width="23" bestFit="1" customWidth="1"/>
    <col min="300" max="300" width="29.88671875" bestFit="1" customWidth="1"/>
    <col min="301" max="301" width="14.6640625" bestFit="1" customWidth="1"/>
    <col min="302" max="302" width="12.44140625" bestFit="1" customWidth="1"/>
    <col min="303" max="303" width="21.44140625" bestFit="1" customWidth="1"/>
    <col min="304" max="304" width="16.109375" bestFit="1" customWidth="1"/>
    <col min="305" max="305" width="17.109375" bestFit="1" customWidth="1"/>
    <col min="306" max="306" width="18" bestFit="1" customWidth="1"/>
    <col min="307" max="307" width="17.109375" bestFit="1" customWidth="1"/>
    <col min="308" max="308" width="16.44140625" bestFit="1" customWidth="1"/>
    <col min="309" max="309" width="15" bestFit="1" customWidth="1"/>
    <col min="310" max="310" width="18" bestFit="1" customWidth="1"/>
    <col min="311" max="311" width="14.88671875" bestFit="1" customWidth="1"/>
    <col min="312" max="312" width="11.6640625" bestFit="1" customWidth="1"/>
    <col min="313" max="313" width="9.44140625" bestFit="1" customWidth="1"/>
    <col min="314" max="314" width="14.44140625" bestFit="1" customWidth="1"/>
    <col min="315" max="317" width="13.88671875" bestFit="1" customWidth="1"/>
    <col min="318" max="320" width="12.88671875" bestFit="1" customWidth="1"/>
    <col min="321" max="321" width="12.33203125" bestFit="1" customWidth="1"/>
    <col min="322" max="322" width="14" bestFit="1" customWidth="1"/>
    <col min="323" max="323" width="10.6640625" bestFit="1" customWidth="1"/>
    <col min="324" max="324" width="9.44140625" bestFit="1" customWidth="1"/>
    <col min="325" max="325" width="13.33203125" bestFit="1" customWidth="1"/>
    <col min="326" max="326" width="10.6640625" bestFit="1" customWidth="1"/>
    <col min="327" max="327" width="9.44140625" bestFit="1" customWidth="1"/>
    <col min="328" max="328" width="13.44140625" bestFit="1" customWidth="1"/>
    <col min="329" max="329" width="13.33203125" bestFit="1" customWidth="1"/>
    <col min="330" max="330" width="19.6640625" bestFit="1" customWidth="1"/>
  </cols>
  <sheetData>
    <row r="1" spans="1:177" x14ac:dyDescent="0.25">
      <c r="A1" t="s">
        <v>256</v>
      </c>
      <c r="B1" t="s">
        <v>260</v>
      </c>
      <c r="C1" t="s">
        <v>4</v>
      </c>
      <c r="D1" t="s">
        <v>626</v>
      </c>
      <c r="E1" t="s">
        <v>1289</v>
      </c>
      <c r="F1" t="s">
        <v>417</v>
      </c>
      <c r="G1" t="s">
        <v>1</v>
      </c>
      <c r="H1" t="s">
        <v>2</v>
      </c>
      <c r="I1" t="s">
        <v>682</v>
      </c>
      <c r="J1" t="s">
        <v>259</v>
      </c>
      <c r="K1" t="s">
        <v>627</v>
      </c>
      <c r="L1" t="s">
        <v>629</v>
      </c>
      <c r="M1" t="s">
        <v>1291</v>
      </c>
      <c r="N1" t="s">
        <v>418</v>
      </c>
      <c r="O1" t="s">
        <v>5</v>
      </c>
      <c r="P1" t="s">
        <v>313</v>
      </c>
      <c r="Q1" t="s">
        <v>701</v>
      </c>
      <c r="R1" t="s">
        <v>314</v>
      </c>
      <c r="S1" t="s">
        <v>315</v>
      </c>
      <c r="T1" t="s">
        <v>316</v>
      </c>
      <c r="U1" t="s">
        <v>1297</v>
      </c>
      <c r="V1" t="s">
        <v>702</v>
      </c>
      <c r="W1" t="s">
        <v>703</v>
      </c>
      <c r="X1" t="s">
        <v>264</v>
      </c>
      <c r="Y1" t="s">
        <v>263</v>
      </c>
      <c r="Z1" t="s">
        <v>265</v>
      </c>
      <c r="AA1" t="s">
        <v>266</v>
      </c>
      <c r="AB1" t="s">
        <v>267</v>
      </c>
      <c r="AC1" t="s">
        <v>268</v>
      </c>
      <c r="AD1" t="s">
        <v>269</v>
      </c>
      <c r="AE1" t="s">
        <v>270</v>
      </c>
      <c r="AF1" t="s">
        <v>271</v>
      </c>
      <c r="AG1" t="s">
        <v>272</v>
      </c>
      <c r="AH1" t="s">
        <v>273</v>
      </c>
      <c r="AI1" t="s">
        <v>330</v>
      </c>
      <c r="AJ1" t="s">
        <v>276</v>
      </c>
      <c r="AK1" t="s">
        <v>277</v>
      </c>
      <c r="AL1" t="s">
        <v>278</v>
      </c>
      <c r="AM1" t="s">
        <v>279</v>
      </c>
      <c r="AN1" t="s">
        <v>280</v>
      </c>
      <c r="AO1" t="s">
        <v>281</v>
      </c>
      <c r="AP1" t="s">
        <v>419</v>
      </c>
      <c r="AQ1" t="s">
        <v>704</v>
      </c>
      <c r="AR1" t="s">
        <v>705</v>
      </c>
      <c r="AS1" t="s">
        <v>282</v>
      </c>
      <c r="AT1" t="s">
        <v>283</v>
      </c>
      <c r="AU1" t="s">
        <v>284</v>
      </c>
      <c r="AV1" t="s">
        <v>285</v>
      </c>
      <c r="AW1" t="s">
        <v>286</v>
      </c>
      <c r="AX1" t="s">
        <v>287</v>
      </c>
      <c r="AY1" t="s">
        <v>420</v>
      </c>
      <c r="AZ1" t="s">
        <v>706</v>
      </c>
      <c r="BA1" t="s">
        <v>707</v>
      </c>
      <c r="BB1" t="s">
        <v>317</v>
      </c>
      <c r="BC1" t="s">
        <v>288</v>
      </c>
      <c r="BD1" t="s">
        <v>289</v>
      </c>
      <c r="BE1" t="s">
        <v>318</v>
      </c>
      <c r="BF1" t="s">
        <v>319</v>
      </c>
      <c r="BG1" t="s">
        <v>290</v>
      </c>
      <c r="BH1" t="s">
        <v>291</v>
      </c>
      <c r="BI1" t="s">
        <v>292</v>
      </c>
      <c r="BJ1" t="s">
        <v>293</v>
      </c>
      <c r="BK1" t="s">
        <v>294</v>
      </c>
      <c r="BL1" t="s">
        <v>1298</v>
      </c>
      <c r="BM1" t="s">
        <v>1299</v>
      </c>
      <c r="BN1" t="s">
        <v>1300</v>
      </c>
      <c r="BO1" t="s">
        <v>295</v>
      </c>
      <c r="BP1" t="s">
        <v>296</v>
      </c>
      <c r="BQ1" t="s">
        <v>1301</v>
      </c>
      <c r="BR1" t="s">
        <v>1302</v>
      </c>
      <c r="BS1" t="s">
        <v>1303</v>
      </c>
      <c r="BT1" t="s">
        <v>1304</v>
      </c>
      <c r="BU1" t="s">
        <v>297</v>
      </c>
      <c r="BV1" t="s">
        <v>1305</v>
      </c>
      <c r="BW1" t="s">
        <v>1306</v>
      </c>
      <c r="BX1" t="s">
        <v>1022</v>
      </c>
      <c r="BY1" t="s">
        <v>1023</v>
      </c>
      <c r="BZ1" t="s">
        <v>1024</v>
      </c>
      <c r="CA1" t="s">
        <v>1025</v>
      </c>
      <c r="CB1" t="s">
        <v>320</v>
      </c>
      <c r="CC1" t="s">
        <v>321</v>
      </c>
      <c r="CD1" t="s">
        <v>322</v>
      </c>
      <c r="CE1" t="s">
        <v>275</v>
      </c>
      <c r="CF1" t="s">
        <v>1307</v>
      </c>
      <c r="CG1" t="s">
        <v>323</v>
      </c>
      <c r="CH1" t="s">
        <v>324</v>
      </c>
      <c r="CI1" t="s">
        <v>325</v>
      </c>
      <c r="CJ1" t="s">
        <v>326</v>
      </c>
      <c r="CK1" t="s">
        <v>327</v>
      </c>
      <c r="CL1" t="s">
        <v>328</v>
      </c>
      <c r="CM1" t="s">
        <v>1308</v>
      </c>
      <c r="CN1" t="s">
        <v>578</v>
      </c>
      <c r="CO1" t="s">
        <v>579</v>
      </c>
      <c r="CP1" t="s">
        <v>580</v>
      </c>
      <c r="CQ1" t="s">
        <v>581</v>
      </c>
      <c r="CR1" t="s">
        <v>304</v>
      </c>
      <c r="CS1" t="s">
        <v>632</v>
      </c>
      <c r="CT1" t="s">
        <v>633</v>
      </c>
      <c r="CU1" t="s">
        <v>634</v>
      </c>
      <c r="CV1" t="s">
        <v>635</v>
      </c>
      <c r="CW1" t="s">
        <v>636</v>
      </c>
      <c r="CX1" t="s">
        <v>637</v>
      </c>
      <c r="CY1" t="s">
        <v>638</v>
      </c>
      <c r="CZ1" t="s">
        <v>639</v>
      </c>
      <c r="DA1" t="s">
        <v>640</v>
      </c>
      <c r="DB1" t="s">
        <v>641</v>
      </c>
      <c r="DC1" t="s">
        <v>642</v>
      </c>
      <c r="DD1" t="s">
        <v>643</v>
      </c>
      <c r="DE1" t="s">
        <v>575</v>
      </c>
      <c r="DF1" t="s">
        <v>576</v>
      </c>
      <c r="DG1" t="s">
        <v>577</v>
      </c>
      <c r="DH1" t="s">
        <v>1026</v>
      </c>
      <c r="DI1" t="s">
        <v>1027</v>
      </c>
      <c r="DJ1" t="s">
        <v>1028</v>
      </c>
      <c r="DK1" t="s">
        <v>1309</v>
      </c>
      <c r="DL1" t="s">
        <v>1310</v>
      </c>
      <c r="DM1" t="s">
        <v>1311</v>
      </c>
      <c r="DN1" t="s">
        <v>1312</v>
      </c>
      <c r="DO1" t="s">
        <v>846</v>
      </c>
      <c r="DP1" t="s">
        <v>847</v>
      </c>
      <c r="DQ1" t="s">
        <v>848</v>
      </c>
      <c r="DR1" t="s">
        <v>644</v>
      </c>
      <c r="DS1" t="s">
        <v>645</v>
      </c>
      <c r="DT1" t="s">
        <v>312</v>
      </c>
      <c r="DU1" t="s">
        <v>646</v>
      </c>
      <c r="DV1" t="s">
        <v>647</v>
      </c>
      <c r="DW1" t="s">
        <v>648</v>
      </c>
      <c r="DX1" t="s">
        <v>61</v>
      </c>
      <c r="DY1" t="s">
        <v>649</v>
      </c>
      <c r="DZ1" t="s">
        <v>650</v>
      </c>
      <c r="EA1" t="s">
        <v>651</v>
      </c>
      <c r="EB1" t="s">
        <v>652</v>
      </c>
      <c r="EC1" t="s">
        <v>653</v>
      </c>
      <c r="ED1" t="s">
        <v>654</v>
      </c>
      <c r="EE1" t="s">
        <v>655</v>
      </c>
      <c r="EF1" t="s">
        <v>656</v>
      </c>
      <c r="EG1" t="s">
        <v>657</v>
      </c>
      <c r="EH1" t="s">
        <v>658</v>
      </c>
      <c r="EI1" t="s">
        <v>659</v>
      </c>
      <c r="EJ1" t="s">
        <v>660</v>
      </c>
      <c r="EK1" t="s">
        <v>661</v>
      </c>
      <c r="EL1" t="s">
        <v>1313</v>
      </c>
      <c r="EM1" t="s">
        <v>1314</v>
      </c>
      <c r="EN1" t="s">
        <v>1315</v>
      </c>
      <c r="EO1" t="s">
        <v>1316</v>
      </c>
      <c r="EP1" t="s">
        <v>1317</v>
      </c>
      <c r="EQ1" t="s">
        <v>1318</v>
      </c>
      <c r="ER1" t="s">
        <v>1319</v>
      </c>
      <c r="ES1" t="s">
        <v>1320</v>
      </c>
      <c r="ET1" t="s">
        <v>1321</v>
      </c>
      <c r="EU1" t="s">
        <v>1322</v>
      </c>
      <c r="EV1" t="s">
        <v>1323</v>
      </c>
      <c r="EW1" t="s">
        <v>1324</v>
      </c>
      <c r="EX1" t="s">
        <v>1325</v>
      </c>
      <c r="EY1" t="s">
        <v>662</v>
      </c>
      <c r="EZ1" t="s">
        <v>663</v>
      </c>
      <c r="FA1" t="s">
        <v>664</v>
      </c>
      <c r="FB1" t="s">
        <v>665</v>
      </c>
      <c r="FC1" t="s">
        <v>666</v>
      </c>
      <c r="FD1" t="s">
        <v>667</v>
      </c>
      <c r="FE1" t="s">
        <v>668</v>
      </c>
      <c r="FF1" t="s">
        <v>669</v>
      </c>
      <c r="FG1" t="s">
        <v>670</v>
      </c>
      <c r="FH1" t="s">
        <v>671</v>
      </c>
      <c r="FI1" t="s">
        <v>672</v>
      </c>
      <c r="FJ1" t="s">
        <v>673</v>
      </c>
      <c r="FK1" t="s">
        <v>674</v>
      </c>
      <c r="FL1" t="s">
        <v>675</v>
      </c>
      <c r="FM1" t="s">
        <v>676</v>
      </c>
      <c r="FN1" t="s">
        <v>677</v>
      </c>
      <c r="FO1" t="s">
        <v>678</v>
      </c>
      <c r="FP1" t="s">
        <v>679</v>
      </c>
      <c r="FQ1" t="s">
        <v>842</v>
      </c>
      <c r="FR1" t="s">
        <v>843</v>
      </c>
      <c r="FS1" t="s">
        <v>680</v>
      </c>
      <c r="FT1" t="s">
        <v>844</v>
      </c>
      <c r="FU1" t="s">
        <v>845</v>
      </c>
    </row>
    <row r="2" spans="1:177" x14ac:dyDescent="0.25">
      <c r="J2" s="3"/>
      <c r="K2" s="3"/>
      <c r="N2" s="3"/>
      <c r="O2" s="3"/>
    </row>
  </sheetData>
  <phoneticPr fontId="1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07153-A813-496C-9959-118177FECBC8}">
  <sheetPr>
    <tabColor rgb="FF002060"/>
  </sheetPr>
  <dimension ref="A1:BF2"/>
  <sheetViews>
    <sheetView workbookViewId="0"/>
  </sheetViews>
  <sheetFormatPr defaultColWidth="8.88671875" defaultRowHeight="13.2" x14ac:dyDescent="0.25"/>
  <cols>
    <col min="1" max="1" width="10.109375" bestFit="1" customWidth="1"/>
    <col min="2" max="2" width="8.21875" bestFit="1" customWidth="1"/>
    <col min="3" max="3" width="9.5546875" bestFit="1" customWidth="1"/>
    <col min="4" max="4" width="8.21875" bestFit="1" customWidth="1"/>
    <col min="5" max="5" width="18.5546875" bestFit="1" customWidth="1"/>
    <col min="6" max="7" width="15.33203125" bestFit="1" customWidth="1"/>
    <col min="8" max="8" width="16.6640625" bestFit="1" customWidth="1"/>
    <col min="9" max="9" width="8.5546875" bestFit="1" customWidth="1"/>
    <col min="10" max="10" width="21.77734375" bestFit="1" customWidth="1"/>
    <col min="11" max="11" width="15.33203125" bestFit="1" customWidth="1"/>
    <col min="12" max="12" width="22.88671875" bestFit="1" customWidth="1"/>
    <col min="13" max="13" width="9.77734375" bestFit="1" customWidth="1"/>
    <col min="14" max="14" width="8" bestFit="1" customWidth="1"/>
    <col min="15" max="15" width="20.77734375" bestFit="1" customWidth="1"/>
    <col min="16" max="16" width="7.5546875" bestFit="1" customWidth="1"/>
    <col min="17" max="17" width="11.6640625" bestFit="1" customWidth="1"/>
    <col min="18" max="19" width="13.33203125" bestFit="1" customWidth="1"/>
    <col min="20" max="20" width="18.5546875" bestFit="1" customWidth="1"/>
    <col min="21" max="21" width="20.77734375" bestFit="1" customWidth="1"/>
    <col min="22" max="22" width="18.5546875" bestFit="1" customWidth="1"/>
    <col min="23" max="23" width="12.5546875" bestFit="1" customWidth="1"/>
    <col min="24" max="24" width="17" bestFit="1" customWidth="1"/>
    <col min="25" max="25" width="18.21875" bestFit="1" customWidth="1"/>
    <col min="26" max="26" width="13.5546875" bestFit="1" customWidth="1"/>
    <col min="27" max="27" width="12.6640625" bestFit="1" customWidth="1"/>
    <col min="28" max="28" width="15.33203125" bestFit="1" customWidth="1"/>
    <col min="29" max="29" width="13.77734375" bestFit="1" customWidth="1"/>
    <col min="30" max="30" width="15.33203125" bestFit="1" customWidth="1"/>
    <col min="31" max="31" width="13.44140625" bestFit="1" customWidth="1"/>
    <col min="32" max="32" width="16.109375" bestFit="1" customWidth="1"/>
    <col min="33" max="33" width="7" bestFit="1" customWidth="1"/>
    <col min="34" max="34" width="9.6640625" bestFit="1" customWidth="1"/>
    <col min="35" max="35" width="12.6640625" bestFit="1" customWidth="1"/>
    <col min="36" max="36" width="5.88671875" bestFit="1" customWidth="1"/>
    <col min="37" max="37" width="8.5546875" bestFit="1" customWidth="1"/>
    <col min="38" max="38" width="11.6640625" bestFit="1" customWidth="1"/>
    <col min="39" max="39" width="10.6640625" bestFit="1" customWidth="1"/>
    <col min="40" max="40" width="15.44140625" bestFit="1" customWidth="1"/>
    <col min="41" max="41" width="10.88671875" bestFit="1" customWidth="1"/>
    <col min="42" max="42" width="9.77734375" bestFit="1" customWidth="1"/>
    <col min="43" max="43" width="14.21875" bestFit="1" customWidth="1"/>
    <col min="44" max="44" width="14.88671875" bestFit="1" customWidth="1"/>
    <col min="45" max="45" width="13.6640625" bestFit="1" customWidth="1"/>
    <col min="46" max="46" width="11.5546875" bestFit="1" customWidth="1"/>
    <col min="47" max="47" width="15" bestFit="1" customWidth="1"/>
    <col min="48" max="48" width="14.33203125" bestFit="1" customWidth="1"/>
    <col min="49" max="49" width="16.88671875" bestFit="1" customWidth="1"/>
    <col min="50" max="50" width="17.21875" bestFit="1" customWidth="1"/>
    <col min="51" max="52" width="10.77734375" bestFit="1" customWidth="1"/>
    <col min="53" max="54" width="13.5546875" bestFit="1" customWidth="1"/>
    <col min="55" max="56" width="17.77734375" bestFit="1" customWidth="1"/>
    <col min="57" max="58" width="16.21875" bestFit="1" customWidth="1"/>
    <col min="59" max="60" width="13.33203125" bestFit="1" customWidth="1"/>
    <col min="61" max="61" width="17.6640625" bestFit="1" customWidth="1"/>
    <col min="62" max="62" width="26.33203125" bestFit="1" customWidth="1"/>
    <col min="63" max="63" width="14.44140625" bestFit="1" customWidth="1"/>
    <col min="64" max="64" width="9.44140625" bestFit="1" customWidth="1"/>
    <col min="65" max="65" width="23.33203125" bestFit="1" customWidth="1"/>
    <col min="66" max="66" width="24.6640625" bestFit="1" customWidth="1"/>
    <col min="67" max="67" width="17.6640625" bestFit="1" customWidth="1"/>
    <col min="68" max="68" width="11.33203125" bestFit="1" customWidth="1"/>
    <col min="69" max="69" width="17.33203125" bestFit="1" customWidth="1"/>
    <col min="70" max="70" width="12.88671875" bestFit="1" customWidth="1"/>
    <col min="71" max="71" width="15.33203125" bestFit="1" customWidth="1"/>
    <col min="72" max="72" width="12.5546875" bestFit="1" customWidth="1"/>
    <col min="73" max="73" width="17" bestFit="1" customWidth="1"/>
    <col min="74" max="75" width="16.109375" bestFit="1" customWidth="1"/>
    <col min="76" max="76" width="7" bestFit="1" customWidth="1"/>
    <col min="77" max="77" width="9.6640625" bestFit="1" customWidth="1"/>
    <col min="78" max="78" width="10" bestFit="1" customWidth="1"/>
    <col min="79" max="79" width="5.88671875" bestFit="1" customWidth="1"/>
    <col min="80" max="80" width="8.5546875" bestFit="1" customWidth="1"/>
    <col min="81" max="81" width="11.6640625" bestFit="1" customWidth="1"/>
    <col min="82" max="82" width="5.109375" bestFit="1" customWidth="1"/>
    <col min="83" max="83" width="7.6640625" bestFit="1" customWidth="1"/>
    <col min="84" max="84" width="10.88671875" customWidth="1"/>
    <col min="85" max="85" width="10.6640625" bestFit="1" customWidth="1"/>
    <col min="86" max="86" width="15.44140625" bestFit="1" customWidth="1"/>
    <col min="87" max="87" width="10.88671875" customWidth="1"/>
    <col min="88" max="88" width="9.6640625" bestFit="1" customWidth="1"/>
    <col min="89" max="89" width="13.6640625" bestFit="1" customWidth="1"/>
    <col min="90" max="90" width="11.5546875" bestFit="1" customWidth="1"/>
    <col min="91" max="91" width="14.33203125" bestFit="1" customWidth="1"/>
    <col min="92" max="93" width="10.6640625" bestFit="1" customWidth="1"/>
    <col min="94" max="95" width="13.5546875" bestFit="1" customWidth="1"/>
    <col min="96" max="97" width="17.6640625" bestFit="1" customWidth="1"/>
    <col min="98" max="99" width="16.33203125" bestFit="1" customWidth="1"/>
    <col min="100" max="100" width="9" bestFit="1" customWidth="1"/>
    <col min="101" max="101" width="8.88671875" bestFit="1" customWidth="1"/>
    <col min="102" max="105" width="10" bestFit="1" customWidth="1"/>
    <col min="106" max="109" width="12.6640625" bestFit="1" customWidth="1"/>
    <col min="110" max="110" width="12.33203125" bestFit="1" customWidth="1"/>
    <col min="111" max="111" width="19.109375" bestFit="1" customWidth="1"/>
    <col min="112" max="112" width="21.6640625" bestFit="1" customWidth="1"/>
    <col min="113" max="113" width="23.33203125" bestFit="1" customWidth="1"/>
    <col min="114" max="114" width="26" bestFit="1" customWidth="1"/>
    <col min="115" max="115" width="22" bestFit="1" customWidth="1"/>
    <col min="116" max="116" width="24.6640625" bestFit="1" customWidth="1"/>
    <col min="117" max="117" width="20.33203125" bestFit="1" customWidth="1"/>
    <col min="118" max="118" width="22.6640625" bestFit="1" customWidth="1"/>
    <col min="119" max="119" width="7.6640625" bestFit="1" customWidth="1"/>
    <col min="120" max="120" width="17.88671875" bestFit="1" customWidth="1"/>
    <col min="121" max="121" width="12.44140625" bestFit="1" customWidth="1"/>
    <col min="122" max="122" width="17.33203125" bestFit="1" customWidth="1"/>
    <col min="123" max="123" width="12.6640625" bestFit="1" customWidth="1"/>
    <col min="124" max="124" width="11.5546875" bestFit="1" customWidth="1"/>
    <col min="125" max="125" width="15.5546875" bestFit="1" customWidth="1"/>
    <col min="126" max="126" width="13.33203125" bestFit="1" customWidth="1"/>
    <col min="127" max="127" width="16.33203125" bestFit="1" customWidth="1"/>
    <col min="128" max="129" width="12.5546875" bestFit="1" customWidth="1"/>
    <col min="130" max="131" width="13.33203125" bestFit="1" customWidth="1"/>
    <col min="132" max="132" width="16.44140625" bestFit="1" customWidth="1"/>
    <col min="133" max="134" width="13.5546875" bestFit="1" customWidth="1"/>
    <col min="135" max="136" width="18" bestFit="1" customWidth="1"/>
    <col min="137" max="137" width="17" bestFit="1" customWidth="1"/>
    <col min="138" max="138" width="17" customWidth="1"/>
    <col min="139" max="139" width="10.6640625" bestFit="1" customWidth="1"/>
    <col min="140" max="140" width="9.88671875" bestFit="1" customWidth="1"/>
    <col min="141" max="141" width="13.88671875" bestFit="1" customWidth="1"/>
    <col min="142" max="142" width="11.6640625" bestFit="1" customWidth="1"/>
    <col min="143" max="143" width="14.44140625" bestFit="1" customWidth="1"/>
    <col min="144" max="145" width="10.88671875" customWidth="1"/>
    <col min="146" max="147" width="13.44140625" bestFit="1" customWidth="1"/>
    <col min="148" max="149" width="18" bestFit="1" customWidth="1"/>
    <col min="150" max="151" width="17" bestFit="1" customWidth="1"/>
    <col min="152" max="152" width="12" bestFit="1" customWidth="1"/>
    <col min="153" max="153" width="13.6640625" bestFit="1" customWidth="1"/>
    <col min="154" max="154" width="10.88671875" bestFit="1" customWidth="1"/>
    <col min="155" max="156" width="13.44140625" bestFit="1" customWidth="1"/>
    <col min="157" max="158" width="18" bestFit="1" customWidth="1"/>
    <col min="159" max="160" width="17" bestFit="1" customWidth="1"/>
    <col min="161" max="161" width="8.44140625" bestFit="1" customWidth="1"/>
    <col min="162" max="163" width="14.109375" bestFit="1" customWidth="1"/>
  </cols>
  <sheetData>
    <row r="1" spans="1:58" x14ac:dyDescent="0.25">
      <c r="A1" t="s">
        <v>259</v>
      </c>
      <c r="B1" t="s">
        <v>626</v>
      </c>
      <c r="C1" t="s">
        <v>1282</v>
      </c>
      <c r="D1" t="s">
        <v>1283</v>
      </c>
      <c r="E1" t="s">
        <v>1284</v>
      </c>
      <c r="F1" t="s">
        <v>683</v>
      </c>
      <c r="G1" t="s">
        <v>684</v>
      </c>
      <c r="H1" t="s">
        <v>1285</v>
      </c>
      <c r="I1" t="s">
        <v>264</v>
      </c>
      <c r="J1" t="s">
        <v>1286</v>
      </c>
      <c r="K1" t="s">
        <v>1287</v>
      </c>
      <c r="L1" t="s">
        <v>4</v>
      </c>
      <c r="M1" t="s">
        <v>1288</v>
      </c>
      <c r="N1" t="s">
        <v>1</v>
      </c>
      <c r="O1" t="s">
        <v>2</v>
      </c>
      <c r="P1" t="s">
        <v>1289</v>
      </c>
      <c r="Q1" t="s">
        <v>1290</v>
      </c>
      <c r="R1" t="s">
        <v>418</v>
      </c>
      <c r="S1" t="s">
        <v>5</v>
      </c>
      <c r="T1" t="s">
        <v>256</v>
      </c>
      <c r="U1" t="s">
        <v>417</v>
      </c>
      <c r="V1" t="s">
        <v>682</v>
      </c>
      <c r="W1" t="s">
        <v>627</v>
      </c>
      <c r="X1" t="s">
        <v>628</v>
      </c>
      <c r="Y1" t="s">
        <v>629</v>
      </c>
      <c r="Z1" t="s">
        <v>1291</v>
      </c>
      <c r="AA1" t="s">
        <v>1292</v>
      </c>
      <c r="AB1" t="s">
        <v>1293</v>
      </c>
      <c r="AC1" t="s">
        <v>1294</v>
      </c>
      <c r="AD1" t="s">
        <v>262</v>
      </c>
      <c r="AE1" t="s">
        <v>261</v>
      </c>
      <c r="AF1" t="s">
        <v>329</v>
      </c>
      <c r="AG1" t="s">
        <v>330</v>
      </c>
      <c r="AH1" t="s">
        <v>331</v>
      </c>
      <c r="AI1" t="s">
        <v>260</v>
      </c>
      <c r="AJ1" t="s">
        <v>313</v>
      </c>
      <c r="AK1" t="s">
        <v>332</v>
      </c>
      <c r="AL1" t="s">
        <v>267</v>
      </c>
      <c r="AM1" t="s">
        <v>1295</v>
      </c>
      <c r="AN1" t="s">
        <v>333</v>
      </c>
      <c r="AO1" t="s">
        <v>263</v>
      </c>
      <c r="AP1" t="s">
        <v>334</v>
      </c>
      <c r="AQ1" t="s">
        <v>1296</v>
      </c>
      <c r="AR1" t="s">
        <v>701</v>
      </c>
      <c r="AS1" t="s">
        <v>314</v>
      </c>
      <c r="AT1" t="s">
        <v>315</v>
      </c>
      <c r="AU1" t="s">
        <v>1297</v>
      </c>
      <c r="AV1" t="s">
        <v>316</v>
      </c>
      <c r="AW1" t="s">
        <v>702</v>
      </c>
      <c r="AX1" t="s">
        <v>703</v>
      </c>
      <c r="AY1" t="s">
        <v>265</v>
      </c>
      <c r="AZ1" t="s">
        <v>266</v>
      </c>
      <c r="BA1" t="s">
        <v>268</v>
      </c>
      <c r="BB1" t="s">
        <v>269</v>
      </c>
      <c r="BC1" t="s">
        <v>270</v>
      </c>
      <c r="BD1" t="s">
        <v>271</v>
      </c>
      <c r="BE1" t="s">
        <v>272</v>
      </c>
      <c r="BF1" t="s">
        <v>273</v>
      </c>
    </row>
    <row r="2" spans="1:58" x14ac:dyDescent="0.25">
      <c r="A2" s="3"/>
      <c r="F2" s="4"/>
      <c r="G2" s="4"/>
      <c r="R2" s="3"/>
      <c r="S2" s="3"/>
      <c r="W2" s="3"/>
      <c r="AD2" s="4"/>
    </row>
  </sheetData>
  <phoneticPr fontId="1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63B3D-86B8-4CD7-92E9-85705EA9453E}">
  <sheetPr>
    <tabColor rgb="FF002060"/>
  </sheetPr>
  <dimension ref="A1:N1"/>
  <sheetViews>
    <sheetView workbookViewId="0"/>
  </sheetViews>
  <sheetFormatPr defaultRowHeight="13.2" x14ac:dyDescent="0.25"/>
  <cols>
    <col min="1" max="1" width="8" bestFit="1" customWidth="1"/>
    <col min="2" max="2" width="13.5546875" bestFit="1" customWidth="1"/>
    <col min="3" max="3" width="12.6640625" bestFit="1" customWidth="1"/>
    <col min="4" max="5" width="13.6640625" bestFit="1" customWidth="1"/>
    <col min="6" max="6" width="21.33203125" bestFit="1" customWidth="1"/>
    <col min="7" max="7" width="19.77734375" bestFit="1" customWidth="1"/>
    <col min="8" max="9" width="11" bestFit="1" customWidth="1"/>
    <col min="10" max="10" width="18.77734375" bestFit="1" customWidth="1"/>
    <col min="11" max="11" width="19.5546875" bestFit="1" customWidth="1"/>
    <col min="12" max="12" width="21.6640625" bestFit="1" customWidth="1"/>
    <col min="13" max="13" width="21" bestFit="1" customWidth="1"/>
    <col min="14" max="14" width="17.109375" customWidth="1"/>
  </cols>
  <sheetData>
    <row r="1" spans="1:14" x14ac:dyDescent="0.25">
      <c r="A1" t="s">
        <v>1</v>
      </c>
      <c r="B1" t="s">
        <v>617</v>
      </c>
      <c r="C1" t="s">
        <v>1277</v>
      </c>
      <c r="D1" t="s">
        <v>618</v>
      </c>
      <c r="E1" t="s">
        <v>619</v>
      </c>
      <c r="F1" t="s">
        <v>1278</v>
      </c>
      <c r="G1" t="s">
        <v>1279</v>
      </c>
      <c r="H1" t="s">
        <v>620</v>
      </c>
      <c r="I1" t="s">
        <v>621</v>
      </c>
      <c r="J1" t="s">
        <v>1280</v>
      </c>
      <c r="K1" t="s">
        <v>622</v>
      </c>
      <c r="L1" t="s">
        <v>1281</v>
      </c>
      <c r="M1" t="s">
        <v>623</v>
      </c>
      <c r="N1" t="s">
        <v>624</v>
      </c>
    </row>
  </sheetData>
  <phoneticPr fontId="13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6D2EA-A21F-40DE-98B8-5916CC0EF270}">
  <sheetPr>
    <tabColor rgb="FF002060"/>
  </sheetPr>
  <dimension ref="A1:AC2"/>
  <sheetViews>
    <sheetView workbookViewId="0"/>
  </sheetViews>
  <sheetFormatPr defaultColWidth="8.88671875" defaultRowHeight="13.2" x14ac:dyDescent="0.25"/>
  <cols>
    <col min="1" max="1" width="10.88671875" bestFit="1" customWidth="1"/>
    <col min="2" max="2" width="10.5546875" style="5" bestFit="1" customWidth="1"/>
    <col min="3" max="3" width="20.33203125" style="38" bestFit="1" customWidth="1"/>
    <col min="4" max="4" width="7.5546875" style="5" bestFit="1" customWidth="1"/>
    <col min="5" max="5" width="17.21875" style="38" bestFit="1" customWidth="1"/>
    <col min="6" max="6" width="3.44140625" style="38" customWidth="1"/>
    <col min="7" max="7" width="15.88671875" style="5" bestFit="1" customWidth="1"/>
    <col min="8" max="8" width="10.5546875" style="301" bestFit="1" customWidth="1"/>
    <col min="9" max="9" width="20.33203125" style="38" bestFit="1" customWidth="1"/>
    <col min="10" max="10" width="7.5546875" style="301" bestFit="1" customWidth="1"/>
    <col min="11" max="11" width="17.21875" style="38" bestFit="1" customWidth="1"/>
    <col min="12" max="12" width="2.88671875" customWidth="1"/>
    <col min="13" max="13" width="16.77734375" bestFit="1" customWidth="1"/>
    <col min="14" max="14" width="10.5546875" style="5" bestFit="1" customWidth="1"/>
    <col min="15" max="15" width="20.33203125" style="38" bestFit="1" customWidth="1"/>
    <col min="16" max="16" width="7.5546875" style="5" bestFit="1" customWidth="1"/>
    <col min="17" max="17" width="17.21875" style="38" bestFit="1" customWidth="1"/>
    <col min="18" max="18" width="2.88671875" customWidth="1"/>
    <col min="19" max="19" width="17.109375" bestFit="1" customWidth="1"/>
    <col min="20" max="20" width="10.5546875" style="5" bestFit="1" customWidth="1"/>
    <col min="21" max="21" width="20.33203125" style="38" bestFit="1" customWidth="1"/>
    <col min="22" max="22" width="7.5546875" style="5" bestFit="1" customWidth="1"/>
    <col min="23" max="23" width="17.21875" style="38" bestFit="1" customWidth="1"/>
    <col min="24" max="24" width="2.88671875" customWidth="1"/>
    <col min="25" max="25" width="19.88671875" bestFit="1" customWidth="1"/>
    <col min="26" max="26" width="10.5546875" style="5" bestFit="1" customWidth="1"/>
    <col min="27" max="27" width="20.33203125" style="38" bestFit="1" customWidth="1"/>
    <col min="28" max="28" width="7.5546875" style="5" bestFit="1" customWidth="1"/>
    <col min="29" max="29" width="17.21875" style="38" bestFit="1" customWidth="1"/>
  </cols>
  <sheetData>
    <row r="1" spans="1:29" x14ac:dyDescent="0.25">
      <c r="A1" t="s">
        <v>989</v>
      </c>
      <c r="B1" s="5" t="s">
        <v>335</v>
      </c>
      <c r="C1" s="38" t="s">
        <v>990</v>
      </c>
      <c r="D1" s="5" t="s">
        <v>251</v>
      </c>
      <c r="E1" s="38" t="s">
        <v>991</v>
      </c>
      <c r="F1"/>
      <c r="G1" t="s">
        <v>992</v>
      </c>
      <c r="H1" s="5" t="s">
        <v>335</v>
      </c>
      <c r="I1" s="38" t="s">
        <v>990</v>
      </c>
      <c r="J1" s="5" t="s">
        <v>251</v>
      </c>
      <c r="K1" s="38" t="s">
        <v>991</v>
      </c>
      <c r="M1" t="s">
        <v>994</v>
      </c>
      <c r="N1" s="5" t="s">
        <v>335</v>
      </c>
      <c r="O1" s="38" t="s">
        <v>990</v>
      </c>
      <c r="P1" s="5" t="s">
        <v>251</v>
      </c>
      <c r="Q1" s="38" t="s">
        <v>991</v>
      </c>
      <c r="S1" t="s">
        <v>993</v>
      </c>
      <c r="T1" s="5" t="s">
        <v>335</v>
      </c>
      <c r="U1" s="38" t="s">
        <v>990</v>
      </c>
      <c r="V1" s="5" t="s">
        <v>251</v>
      </c>
      <c r="W1" s="38" t="s">
        <v>991</v>
      </c>
      <c r="Y1" t="s">
        <v>995</v>
      </c>
      <c r="Z1" s="5" t="s">
        <v>335</v>
      </c>
      <c r="AA1" s="38" t="s">
        <v>990</v>
      </c>
      <c r="AB1" s="5" t="s">
        <v>251</v>
      </c>
      <c r="AC1" s="38" t="s">
        <v>991</v>
      </c>
    </row>
    <row r="2" spans="1:29" x14ac:dyDescent="0.25">
      <c r="F2"/>
      <c r="G2"/>
      <c r="H2" s="5"/>
      <c r="J2" s="5"/>
    </row>
  </sheetData>
  <phoneticPr fontId="13" type="noConversion"/>
  <pageMargins left="0.7" right="0.7" top="0.75" bottom="0.75" header="0.3" footer="0.3"/>
  <pageSetup orientation="portrait" r:id="rId1"/>
  <tableParts count="5">
    <tablePart r:id="rId2"/>
    <tablePart r:id="rId3"/>
    <tablePart r:id="rId4"/>
    <tablePart r:id="rId5"/>
    <tablePart r:id="rId6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9FAA5-EAB8-4ABB-A450-371D6C670CE1}">
  <sheetPr>
    <tabColor rgb="FF00B050"/>
  </sheetPr>
  <dimension ref="A1:HL2"/>
  <sheetViews>
    <sheetView workbookViewId="0"/>
  </sheetViews>
  <sheetFormatPr defaultColWidth="8.88671875" defaultRowHeight="13.2" x14ac:dyDescent="0.25"/>
  <cols>
    <col min="1" max="1" width="18.5546875" bestFit="1" customWidth="1"/>
    <col min="2" max="2" width="21.109375" bestFit="1" customWidth="1"/>
    <col min="3" max="3" width="26" bestFit="1" customWidth="1"/>
    <col min="4" max="4" width="20.5546875" bestFit="1" customWidth="1"/>
    <col min="5" max="5" width="22.6640625" bestFit="1" customWidth="1"/>
    <col min="6" max="6" width="22.44140625" bestFit="1" customWidth="1"/>
    <col min="7" max="7" width="15.5546875" bestFit="1" customWidth="1"/>
    <col min="8" max="8" width="26.44140625" bestFit="1" customWidth="1"/>
    <col min="9" max="9" width="11.77734375" bestFit="1" customWidth="1"/>
    <col min="10" max="10" width="11.44140625" bestFit="1" customWidth="1"/>
    <col min="11" max="11" width="12.77734375" bestFit="1" customWidth="1"/>
    <col min="12" max="12" width="14.21875" bestFit="1" customWidth="1"/>
    <col min="13" max="13" width="17.6640625" bestFit="1" customWidth="1"/>
    <col min="14" max="14" width="11.44140625" bestFit="1" customWidth="1"/>
    <col min="15" max="15" width="9.21875" bestFit="1" customWidth="1"/>
    <col min="16" max="16" width="20.77734375" bestFit="1" customWidth="1"/>
    <col min="17" max="18" width="17" bestFit="1" customWidth="1"/>
    <col min="19" max="19" width="26" bestFit="1" customWidth="1"/>
    <col min="20" max="20" width="29" bestFit="1" customWidth="1"/>
    <col min="21" max="21" width="20.77734375" bestFit="1" customWidth="1"/>
    <col min="22" max="22" width="22.5546875" bestFit="1" customWidth="1"/>
    <col min="23" max="23" width="16.88671875" bestFit="1" customWidth="1"/>
    <col min="24" max="24" width="23.109375" bestFit="1" customWidth="1"/>
    <col min="25" max="25" width="13.88671875" bestFit="1" customWidth="1"/>
    <col min="26" max="26" width="11.44140625" bestFit="1" customWidth="1"/>
    <col min="27" max="27" width="19.88671875" bestFit="1" customWidth="1"/>
    <col min="28" max="28" width="17.33203125" bestFit="1" customWidth="1"/>
    <col min="29" max="29" width="12.88671875" bestFit="1" customWidth="1"/>
    <col min="30" max="30" width="10.44140625" bestFit="1" customWidth="1"/>
    <col min="31" max="31" width="27" bestFit="1" customWidth="1"/>
    <col min="32" max="32" width="24.5546875" bestFit="1" customWidth="1"/>
    <col min="33" max="33" width="20.109375" bestFit="1" customWidth="1"/>
    <col min="34" max="34" width="17.5546875" bestFit="1" customWidth="1"/>
    <col min="35" max="35" width="9.6640625" bestFit="1" customWidth="1"/>
    <col min="36" max="36" width="9.44140625" bestFit="1" customWidth="1"/>
    <col min="37" max="37" width="12" bestFit="1" customWidth="1"/>
    <col min="38" max="38" width="15.6640625" bestFit="1" customWidth="1"/>
    <col min="39" max="39" width="15.5546875" bestFit="1" customWidth="1"/>
    <col min="40" max="40" width="16.5546875" bestFit="1" customWidth="1"/>
    <col min="41" max="41" width="16.6640625" bestFit="1" customWidth="1"/>
    <col min="42" max="42" width="17" bestFit="1" customWidth="1"/>
    <col min="43" max="43" width="17.109375" bestFit="1" customWidth="1"/>
    <col min="44" max="44" width="16" bestFit="1" customWidth="1"/>
    <col min="45" max="45" width="19.6640625" bestFit="1" customWidth="1"/>
    <col min="46" max="46" width="19.5546875" bestFit="1" customWidth="1"/>
    <col min="47" max="47" width="16.77734375" bestFit="1" customWidth="1"/>
    <col min="48" max="48" width="21.33203125" bestFit="1" customWidth="1"/>
    <col min="49" max="49" width="18.44140625" bestFit="1" customWidth="1"/>
    <col min="50" max="50" width="24.6640625" bestFit="1" customWidth="1"/>
    <col min="51" max="51" width="19.88671875" bestFit="1" customWidth="1"/>
    <col min="52" max="52" width="18.88671875" bestFit="1" customWidth="1"/>
    <col min="53" max="53" width="18.77734375" bestFit="1" customWidth="1"/>
    <col min="54" max="54" width="20" bestFit="1" customWidth="1"/>
    <col min="55" max="55" width="20.33203125" bestFit="1" customWidth="1"/>
    <col min="56" max="56" width="20.44140625" bestFit="1" customWidth="1"/>
    <col min="57" max="57" width="19.21875" bestFit="1" customWidth="1"/>
    <col min="58" max="58" width="22.88671875" bestFit="1" customWidth="1"/>
    <col min="59" max="59" width="22.77734375" bestFit="1" customWidth="1"/>
    <col min="60" max="60" width="20.109375" bestFit="1" customWidth="1"/>
    <col min="61" max="61" width="21.77734375" bestFit="1" customWidth="1"/>
    <col min="62" max="62" width="17.5546875" bestFit="1" customWidth="1"/>
    <col min="63" max="63" width="20.77734375" bestFit="1" customWidth="1"/>
    <col min="64" max="66" width="13.5546875" bestFit="1" customWidth="1"/>
    <col min="67" max="69" width="12.109375" bestFit="1" customWidth="1"/>
    <col min="70" max="70" width="11.5546875" bestFit="1" customWidth="1"/>
    <col min="71" max="71" width="13.5546875" bestFit="1" customWidth="1"/>
    <col min="72" max="72" width="16.21875" bestFit="1" customWidth="1"/>
    <col min="73" max="73" width="13.33203125" bestFit="1" customWidth="1"/>
    <col min="74" max="74" width="16.44140625" bestFit="1" customWidth="1"/>
    <col min="75" max="75" width="15.88671875" bestFit="1" customWidth="1"/>
    <col min="76" max="76" width="23" bestFit="1" customWidth="1"/>
    <col min="77" max="77" width="11.88671875" bestFit="1" customWidth="1"/>
    <col min="78" max="78" width="27.77734375" bestFit="1" customWidth="1"/>
    <col min="79" max="79" width="20" bestFit="1" customWidth="1"/>
    <col min="80" max="80" width="15.88671875" bestFit="1" customWidth="1"/>
    <col min="81" max="81" width="18.77734375" bestFit="1" customWidth="1"/>
    <col min="82" max="82" width="19.21875" bestFit="1" customWidth="1"/>
    <col min="83" max="83" width="14.5546875" bestFit="1" customWidth="1"/>
    <col min="84" max="84" width="14" bestFit="1" customWidth="1"/>
    <col min="85" max="85" width="13.109375" bestFit="1" customWidth="1"/>
    <col min="86" max="86" width="13" bestFit="1" customWidth="1"/>
    <col min="87" max="87" width="20.21875" bestFit="1" customWidth="1"/>
    <col min="88" max="88" width="20.33203125" bestFit="1" customWidth="1"/>
    <col min="89" max="89" width="14.21875" bestFit="1" customWidth="1"/>
    <col min="90" max="90" width="23.21875" bestFit="1" customWidth="1"/>
    <col min="91" max="91" width="14.33203125" bestFit="1" customWidth="1"/>
    <col min="92" max="92" width="13.44140625" bestFit="1" customWidth="1"/>
    <col min="93" max="93" width="13.33203125" bestFit="1" customWidth="1"/>
    <col min="94" max="94" width="14.77734375" bestFit="1" customWidth="1"/>
    <col min="95" max="95" width="14.88671875" bestFit="1" customWidth="1"/>
    <col min="96" max="96" width="14.5546875" bestFit="1" customWidth="1"/>
    <col min="97" max="97" width="20.6640625" bestFit="1" customWidth="1"/>
    <col min="98" max="98" width="14.109375" bestFit="1" customWidth="1"/>
    <col min="99" max="99" width="16" bestFit="1" customWidth="1"/>
    <col min="100" max="100" width="21.21875" bestFit="1" customWidth="1"/>
    <col min="101" max="101" width="24.21875" bestFit="1" customWidth="1"/>
    <col min="102" max="102" width="24.6640625" bestFit="1" customWidth="1"/>
    <col min="103" max="103" width="20" bestFit="1" customWidth="1"/>
    <col min="104" max="104" width="19.44140625" bestFit="1" customWidth="1"/>
    <col min="105" max="105" width="18.44140625" bestFit="1" customWidth="1"/>
    <col min="106" max="106" width="18.33203125" bestFit="1" customWidth="1"/>
    <col min="107" max="107" width="25.5546875" bestFit="1" customWidth="1"/>
    <col min="108" max="108" width="25.6640625" bestFit="1" customWidth="1"/>
    <col min="109" max="109" width="19.6640625" bestFit="1" customWidth="1"/>
    <col min="110" max="110" width="28.6640625" bestFit="1" customWidth="1"/>
    <col min="111" max="111" width="19.77734375" bestFit="1" customWidth="1"/>
    <col min="112" max="112" width="18.77734375" bestFit="1" customWidth="1"/>
    <col min="113" max="113" width="18.6640625" bestFit="1" customWidth="1"/>
    <col min="114" max="114" width="20.21875" bestFit="1" customWidth="1"/>
    <col min="115" max="115" width="20.33203125" bestFit="1" customWidth="1"/>
    <col min="116" max="116" width="20" bestFit="1" customWidth="1"/>
    <col min="117" max="117" width="26" bestFit="1" customWidth="1"/>
    <col min="118" max="118" width="19.5546875" bestFit="1" customWidth="1"/>
    <col min="119" max="119" width="21.33203125" bestFit="1" customWidth="1"/>
    <col min="120" max="120" width="16.21875" bestFit="1" customWidth="1"/>
    <col min="121" max="121" width="19.109375" bestFit="1" customWidth="1"/>
    <col min="122" max="122" width="19.6640625" bestFit="1" customWidth="1"/>
    <col min="123" max="123" width="14.88671875" bestFit="1" customWidth="1"/>
    <col min="124" max="124" width="14.33203125" bestFit="1" customWidth="1"/>
    <col min="125" max="125" width="13.44140625" bestFit="1" customWidth="1"/>
    <col min="126" max="126" width="13.33203125" bestFit="1" customWidth="1"/>
    <col min="127" max="127" width="20.5546875" bestFit="1" customWidth="1"/>
    <col min="128" max="128" width="20.6640625" bestFit="1" customWidth="1"/>
    <col min="129" max="129" width="14.5546875" bestFit="1" customWidth="1"/>
    <col min="130" max="130" width="23.6640625" bestFit="1" customWidth="1"/>
    <col min="131" max="131" width="14.6640625" bestFit="1" customWidth="1"/>
    <col min="132" max="132" width="13.77734375" bestFit="1" customWidth="1"/>
    <col min="133" max="133" width="13.6640625" bestFit="1" customWidth="1"/>
    <col min="134" max="134" width="15.109375" bestFit="1" customWidth="1"/>
    <col min="135" max="135" width="15.33203125" bestFit="1" customWidth="1"/>
    <col min="136" max="136" width="14.88671875" bestFit="1" customWidth="1"/>
    <col min="137" max="137" width="21" bestFit="1" customWidth="1"/>
    <col min="138" max="138" width="14.44140625" bestFit="1" customWidth="1"/>
    <col min="139" max="139" width="16.33203125" bestFit="1" customWidth="1"/>
    <col min="140" max="140" width="21.5546875" bestFit="1" customWidth="1"/>
    <col min="141" max="141" width="24.5546875" bestFit="1" customWidth="1"/>
    <col min="142" max="142" width="25" bestFit="1" customWidth="1"/>
    <col min="143" max="143" width="20.33203125" bestFit="1" customWidth="1"/>
    <col min="144" max="144" width="19.77734375" bestFit="1" customWidth="1"/>
    <col min="145" max="145" width="18.77734375" bestFit="1" customWidth="1"/>
    <col min="146" max="146" width="18.6640625" bestFit="1" customWidth="1"/>
    <col min="147" max="147" width="25.88671875" bestFit="1" customWidth="1"/>
    <col min="148" max="148" width="26" bestFit="1" customWidth="1"/>
    <col min="149" max="149" width="20" bestFit="1" customWidth="1"/>
    <col min="150" max="150" width="29" bestFit="1" customWidth="1"/>
    <col min="151" max="151" width="20.109375" bestFit="1" customWidth="1"/>
    <col min="152" max="152" width="19.109375" bestFit="1" customWidth="1"/>
    <col min="153" max="153" width="19" bestFit="1" customWidth="1"/>
    <col min="154" max="154" width="20.5546875" bestFit="1" customWidth="1"/>
    <col min="155" max="155" width="20.6640625" bestFit="1" customWidth="1"/>
    <col min="156" max="156" width="20.33203125" bestFit="1" customWidth="1"/>
    <col min="157" max="157" width="26.33203125" bestFit="1" customWidth="1"/>
    <col min="158" max="158" width="19.88671875" bestFit="1" customWidth="1"/>
    <col min="159" max="159" width="21.6640625" bestFit="1" customWidth="1"/>
    <col min="160" max="160" width="8.88671875" bestFit="1" customWidth="1"/>
    <col min="161" max="161" width="13.88671875" bestFit="1" customWidth="1"/>
    <col min="162" max="162" width="16.6640625" bestFit="1" customWidth="1"/>
    <col min="163" max="163" width="17" bestFit="1" customWidth="1"/>
    <col min="164" max="164" width="22.21875" bestFit="1" customWidth="1"/>
    <col min="165" max="165" width="19.5546875" bestFit="1" customWidth="1"/>
    <col min="166" max="166" width="24.6640625" bestFit="1" customWidth="1"/>
    <col min="167" max="167" width="27.33203125" bestFit="1" customWidth="1"/>
    <col min="168" max="168" width="27.77734375" bestFit="1" customWidth="1"/>
    <col min="169" max="169" width="33" bestFit="1" customWidth="1"/>
    <col min="170" max="170" width="28.88671875" bestFit="1" customWidth="1"/>
    <col min="171" max="171" width="28.77734375" bestFit="1" customWidth="1"/>
    <col min="172" max="172" width="30.21875" bestFit="1" customWidth="1"/>
    <col min="173" max="173" width="30.33203125" bestFit="1" customWidth="1"/>
    <col min="174" max="174" width="30" bestFit="1" customWidth="1"/>
    <col min="175" max="175" width="34" bestFit="1" customWidth="1"/>
    <col min="176" max="176" width="33.88671875" bestFit="1" customWidth="1"/>
    <col min="177" max="177" width="35.33203125" bestFit="1" customWidth="1"/>
    <col min="178" max="178" width="35.44140625" bestFit="1" customWidth="1"/>
    <col min="179" max="179" width="35.109375" bestFit="1" customWidth="1"/>
    <col min="180" max="180" width="36.77734375" bestFit="1" customWidth="1"/>
    <col min="181" max="181" width="36.6640625" bestFit="1" customWidth="1"/>
    <col min="182" max="182" width="38.109375" bestFit="1" customWidth="1"/>
    <col min="183" max="183" width="38.21875" bestFit="1" customWidth="1"/>
    <col min="184" max="184" width="37.88671875" bestFit="1" customWidth="1"/>
    <col min="185" max="185" width="37.109375" bestFit="1" customWidth="1"/>
    <col min="186" max="186" width="37" bestFit="1" customWidth="1"/>
    <col min="187" max="187" width="38.44140625" bestFit="1" customWidth="1"/>
    <col min="188" max="188" width="38.5546875" bestFit="1" customWidth="1"/>
    <col min="189" max="189" width="38.21875" bestFit="1" customWidth="1"/>
    <col min="190" max="190" width="42.33203125" bestFit="1" customWidth="1"/>
    <col min="191" max="191" width="42.21875" bestFit="1" customWidth="1"/>
    <col min="192" max="192" width="43.6640625" bestFit="1" customWidth="1"/>
    <col min="193" max="193" width="43.77734375" bestFit="1" customWidth="1"/>
    <col min="194" max="194" width="43.44140625" bestFit="1" customWidth="1"/>
    <col min="195" max="195" width="29.33203125" bestFit="1" customWidth="1"/>
    <col min="196" max="196" width="12" bestFit="1" customWidth="1"/>
    <col min="197" max="197" width="18" bestFit="1" customWidth="1"/>
    <col min="198" max="198" width="15.77734375" bestFit="1" customWidth="1"/>
    <col min="199" max="199" width="12.109375" bestFit="1" customWidth="1"/>
    <col min="200" max="200" width="13.109375" bestFit="1" customWidth="1"/>
    <col min="201" max="201" width="9.5546875" bestFit="1" customWidth="1"/>
    <col min="202" max="202" width="11" bestFit="1" customWidth="1"/>
    <col min="203" max="203" width="11.109375" bestFit="1" customWidth="1"/>
    <col min="204" max="204" width="10.77734375" bestFit="1" customWidth="1"/>
    <col min="205" max="205" width="19" bestFit="1" customWidth="1"/>
    <col min="206" max="206" width="18.5546875" bestFit="1" customWidth="1"/>
    <col min="207" max="207" width="18.44140625" bestFit="1" customWidth="1"/>
    <col min="208" max="208" width="20" bestFit="1" customWidth="1"/>
    <col min="209" max="209" width="20.109375" bestFit="1" customWidth="1"/>
    <col min="210" max="210" width="19.77734375" bestFit="1" customWidth="1"/>
    <col min="211" max="211" width="16.88671875" bestFit="1" customWidth="1"/>
    <col min="212" max="212" width="16.44140625" bestFit="1" customWidth="1"/>
    <col min="213" max="213" width="16.33203125" bestFit="1" customWidth="1"/>
    <col min="214" max="214" width="17.77734375" bestFit="1" customWidth="1"/>
    <col min="215" max="215" width="17.88671875" bestFit="1" customWidth="1"/>
    <col min="216" max="216" width="17.5546875" bestFit="1" customWidth="1"/>
    <col min="217" max="217" width="21.44140625" bestFit="1" customWidth="1"/>
    <col min="218" max="218" width="19.21875" bestFit="1" customWidth="1"/>
    <col min="219" max="219" width="25" bestFit="1" customWidth="1"/>
    <col min="220" max="220" width="24.6640625" bestFit="1" customWidth="1"/>
    <col min="221" max="221" width="14.44140625" bestFit="1" customWidth="1"/>
    <col min="222" max="222" width="16.33203125" bestFit="1" customWidth="1"/>
    <col min="223" max="223" width="26.5546875" bestFit="1" customWidth="1"/>
    <col min="224" max="224" width="24.5546875" bestFit="1" customWidth="1"/>
    <col min="225" max="225" width="25" bestFit="1" customWidth="1"/>
    <col min="226" max="226" width="20.33203125" bestFit="1" customWidth="1"/>
    <col min="227" max="227" width="19.6640625" bestFit="1" customWidth="1"/>
    <col min="228" max="229" width="18.6640625" bestFit="1" customWidth="1"/>
    <col min="230" max="230" width="25.88671875" bestFit="1" customWidth="1"/>
    <col min="231" max="231" width="26" bestFit="1" customWidth="1"/>
    <col min="232" max="232" width="20" bestFit="1" customWidth="1"/>
    <col min="233" max="233" width="29" bestFit="1" customWidth="1"/>
    <col min="234" max="234" width="19.109375" bestFit="1" customWidth="1"/>
    <col min="235" max="235" width="19" bestFit="1" customWidth="1"/>
    <col min="236" max="236" width="20.5546875" bestFit="1" customWidth="1"/>
    <col min="237" max="237" width="20.6640625" bestFit="1" customWidth="1"/>
    <col min="238" max="238" width="20.33203125" bestFit="1" customWidth="1"/>
    <col min="239" max="239" width="26.33203125" bestFit="1" customWidth="1"/>
    <col min="240" max="240" width="19.88671875" bestFit="1" customWidth="1"/>
    <col min="241" max="241" width="21.6640625" bestFit="1" customWidth="1"/>
    <col min="242" max="242" width="25.5546875" bestFit="1" customWidth="1"/>
    <col min="243" max="243" width="20.109375" bestFit="1" customWidth="1"/>
    <col min="244" max="244" width="14" bestFit="1" customWidth="1"/>
    <col min="245" max="245" width="30.5546875" bestFit="1" customWidth="1"/>
    <col min="246" max="246" width="23.88671875" bestFit="1" customWidth="1"/>
    <col min="247" max="247" width="19.88671875" bestFit="1" customWidth="1"/>
    <col min="248" max="248" width="36.33203125" bestFit="1" customWidth="1"/>
    <col min="249" max="249" width="30.6640625" bestFit="1" customWidth="1"/>
    <col min="250" max="250" width="24.6640625" bestFit="1" customWidth="1"/>
    <col min="251" max="251" width="41.33203125" bestFit="1" customWidth="1"/>
    <col min="252" max="252" width="34.5546875" bestFit="1" customWidth="1"/>
    <col min="253" max="253" width="30.5546875" bestFit="1" customWidth="1"/>
    <col min="254" max="254" width="45.6640625" bestFit="1" customWidth="1"/>
    <col min="255" max="255" width="45.5546875" bestFit="1" customWidth="1"/>
    <col min="256" max="256" width="47" bestFit="1" customWidth="1"/>
    <col min="257" max="257" width="47.109375" bestFit="1" customWidth="1"/>
    <col min="258" max="258" width="46.6640625" bestFit="1" customWidth="1"/>
    <col min="259" max="259" width="40.33203125" bestFit="1" customWidth="1"/>
    <col min="260" max="260" width="40.109375" bestFit="1" customWidth="1"/>
    <col min="261" max="261" width="41.5546875" bestFit="1" customWidth="1"/>
    <col min="262" max="262" width="41.6640625" bestFit="1" customWidth="1"/>
    <col min="263" max="263" width="41.33203125" bestFit="1" customWidth="1"/>
    <col min="264" max="264" width="34.109375" bestFit="1" customWidth="1"/>
    <col min="265" max="265" width="34" bestFit="1" customWidth="1"/>
    <col min="266" max="266" width="35.44140625" bestFit="1" customWidth="1"/>
    <col min="267" max="267" width="35.5546875" bestFit="1" customWidth="1"/>
    <col min="268" max="268" width="35.33203125" bestFit="1" customWidth="1"/>
    <col min="269" max="269" width="50.6640625" bestFit="1" customWidth="1"/>
    <col min="270" max="270" width="50.5546875" bestFit="1" customWidth="1"/>
    <col min="271" max="272" width="52.109375" bestFit="1" customWidth="1"/>
    <col min="273" max="273" width="51.6640625" bestFit="1" customWidth="1"/>
    <col min="274" max="274" width="43.88671875" bestFit="1" customWidth="1"/>
    <col min="275" max="275" width="43.6640625" bestFit="1" customWidth="1"/>
    <col min="276" max="276" width="45.33203125" bestFit="1" customWidth="1"/>
    <col min="277" max="277" width="45.44140625" bestFit="1" customWidth="1"/>
    <col min="278" max="278" width="45.109375" bestFit="1" customWidth="1"/>
    <col min="279" max="279" width="40" bestFit="1" customWidth="1"/>
    <col min="280" max="280" width="39.6640625" bestFit="1" customWidth="1"/>
    <col min="281" max="281" width="41.33203125" bestFit="1" customWidth="1"/>
    <col min="282" max="282" width="41.44140625" bestFit="1" customWidth="1"/>
    <col min="283" max="283" width="41.109375" bestFit="1" customWidth="1"/>
    <col min="284" max="284" width="29.33203125" bestFit="1" customWidth="1"/>
    <col min="285" max="285" width="12.109375" bestFit="1" customWidth="1"/>
    <col min="286" max="286" width="18" bestFit="1" customWidth="1"/>
    <col min="287" max="287" width="15.6640625" bestFit="1" customWidth="1"/>
    <col min="288" max="288" width="31.44140625" bestFit="1" customWidth="1"/>
    <col min="289" max="290" width="19.6640625" bestFit="1" customWidth="1"/>
    <col min="291" max="291" width="21.109375" bestFit="1" customWidth="1"/>
    <col min="292" max="292" width="21.33203125" bestFit="1" customWidth="1"/>
    <col min="293" max="293" width="20.88671875" bestFit="1" customWidth="1"/>
    <col min="294" max="294" width="22.33203125" bestFit="1" customWidth="1"/>
    <col min="295" max="295" width="8.5546875" bestFit="1" customWidth="1"/>
    <col min="296" max="296" width="9.6640625" bestFit="1" customWidth="1"/>
    <col min="297" max="297" width="34" bestFit="1" customWidth="1"/>
    <col min="298" max="298" width="20.5546875" bestFit="1" customWidth="1"/>
    <col min="299" max="299" width="22.5546875" bestFit="1" customWidth="1"/>
    <col min="300" max="300" width="19.109375" bestFit="1" customWidth="1"/>
    <col min="301" max="301" width="20.44140625" bestFit="1" customWidth="1"/>
    <col min="302" max="303" width="43.33203125" bestFit="1" customWidth="1"/>
    <col min="304" max="304" width="44.6640625" bestFit="1" customWidth="1"/>
    <col min="305" max="305" width="44.88671875" bestFit="1" customWidth="1"/>
    <col min="306" max="306" width="44.5546875" bestFit="1" customWidth="1"/>
    <col min="307" max="307" width="29.88671875" bestFit="1" customWidth="1"/>
    <col min="308" max="308" width="29.6640625" bestFit="1" customWidth="1"/>
    <col min="309" max="310" width="31.33203125" bestFit="1" customWidth="1"/>
    <col min="311" max="311" width="31" bestFit="1" customWidth="1"/>
    <col min="312" max="312" width="32" bestFit="1" customWidth="1"/>
    <col min="313" max="313" width="31.88671875" bestFit="1" customWidth="1"/>
    <col min="314" max="314" width="33.33203125" bestFit="1" customWidth="1"/>
    <col min="315" max="315" width="33.44140625" bestFit="1" customWidth="1"/>
    <col min="316" max="316" width="33.109375" bestFit="1" customWidth="1"/>
    <col min="317" max="317" width="28.5546875" bestFit="1" customWidth="1"/>
    <col min="318" max="318" width="28.44140625" bestFit="1" customWidth="1"/>
    <col min="319" max="319" width="29.88671875" bestFit="1" customWidth="1"/>
    <col min="320" max="320" width="30" bestFit="1" customWidth="1"/>
    <col min="321" max="323" width="29.6640625" bestFit="1" customWidth="1"/>
    <col min="324" max="324" width="31.109375" bestFit="1" customWidth="1"/>
    <col min="325" max="325" width="31.33203125" bestFit="1" customWidth="1"/>
    <col min="326" max="326" width="30.88671875" bestFit="1" customWidth="1"/>
    <col min="327" max="327" width="29.33203125" bestFit="1" customWidth="1"/>
    <col min="328" max="328" width="12" bestFit="1" customWidth="1"/>
    <col min="329" max="329" width="18" bestFit="1" customWidth="1"/>
    <col min="330" max="330" width="15.6640625" bestFit="1" customWidth="1"/>
    <col min="331" max="331" width="31.44140625" bestFit="1" customWidth="1"/>
    <col min="332" max="333" width="19.6640625" bestFit="1" customWidth="1"/>
    <col min="334" max="334" width="21.109375" bestFit="1" customWidth="1"/>
    <col min="335" max="335" width="21.33203125" bestFit="1" customWidth="1"/>
    <col min="336" max="336" width="20.88671875" bestFit="1" customWidth="1"/>
    <col min="337" max="337" width="22.33203125" bestFit="1" customWidth="1"/>
    <col min="338" max="338" width="33.109375" bestFit="1" customWidth="1"/>
    <col min="339" max="339" width="46.109375" bestFit="1" customWidth="1"/>
    <col min="340" max="340" width="46" bestFit="1" customWidth="1"/>
    <col min="341" max="341" width="48.109375" bestFit="1" customWidth="1"/>
    <col min="342" max="342" width="46.88671875" bestFit="1" customWidth="1"/>
    <col min="343" max="343" width="47" bestFit="1" customWidth="1"/>
    <col min="344" max="344" width="59.109375" bestFit="1" customWidth="1"/>
    <col min="345" max="345" width="59" bestFit="1" customWidth="1"/>
    <col min="346" max="346" width="61.33203125" bestFit="1" customWidth="1"/>
    <col min="347" max="347" width="59.88671875" bestFit="1" customWidth="1"/>
    <col min="348" max="348" width="60" bestFit="1" customWidth="1"/>
    <col min="349" max="349" width="49.6640625" bestFit="1" customWidth="1"/>
    <col min="350" max="350" width="49.5546875" bestFit="1" customWidth="1"/>
    <col min="351" max="351" width="51.6640625" bestFit="1" customWidth="1"/>
    <col min="352" max="352" width="50.44140625" bestFit="1" customWidth="1"/>
    <col min="353" max="353" width="50.5546875" bestFit="1" customWidth="1"/>
    <col min="354" max="354" width="43" bestFit="1" customWidth="1"/>
    <col min="355" max="355" width="42.88671875" bestFit="1" customWidth="1"/>
    <col min="356" max="356" width="45.109375" bestFit="1" customWidth="1"/>
    <col min="357" max="357" width="43.6640625" bestFit="1" customWidth="1"/>
    <col min="358" max="358" width="43.88671875" bestFit="1" customWidth="1"/>
    <col min="359" max="359" width="30.33203125" bestFit="1" customWidth="1"/>
    <col min="360" max="360" width="12" bestFit="1" customWidth="1"/>
    <col min="361" max="361" width="18.44140625" bestFit="1" customWidth="1"/>
    <col min="362" max="362" width="16.33203125" bestFit="1" customWidth="1"/>
    <col min="363" max="363" width="32.44140625" bestFit="1" customWidth="1"/>
    <col min="364" max="364" width="20.44140625" bestFit="1" customWidth="1"/>
    <col min="365" max="365" width="20.33203125" bestFit="1" customWidth="1"/>
    <col min="366" max="366" width="22.33203125" bestFit="1" customWidth="1"/>
    <col min="367" max="368" width="21.6640625" customWidth="1"/>
    <col min="369" max="369" width="13.88671875" bestFit="1" customWidth="1"/>
    <col min="370" max="372" width="12.88671875" bestFit="1" customWidth="1"/>
    <col min="373" max="373" width="12.33203125" bestFit="1" customWidth="1"/>
    <col min="374" max="374" width="14" bestFit="1" customWidth="1"/>
    <col min="375" max="375" width="16.33203125" bestFit="1" customWidth="1"/>
    <col min="376" max="376" width="10.6640625" bestFit="1" customWidth="1"/>
    <col min="377" max="377" width="9.44140625" bestFit="1" customWidth="1"/>
    <col min="378" max="378" width="9.33203125" bestFit="1" customWidth="1"/>
    <col min="379" max="379" width="10.88671875" bestFit="1" customWidth="1"/>
    <col min="380" max="380" width="13.33203125" bestFit="1" customWidth="1"/>
    <col min="381" max="381" width="12.33203125" bestFit="1" customWidth="1"/>
    <col min="382" max="382" width="11.33203125" bestFit="1" customWidth="1"/>
    <col min="383" max="383" width="13.33203125" bestFit="1" customWidth="1"/>
    <col min="384" max="384" width="12.33203125" bestFit="1" customWidth="1"/>
    <col min="385" max="385" width="11.33203125" bestFit="1" customWidth="1"/>
  </cols>
  <sheetData>
    <row r="1" spans="1:220" x14ac:dyDescent="0.25">
      <c r="A1" t="s">
        <v>422</v>
      </c>
      <c r="B1" t="s">
        <v>423</v>
      </c>
      <c r="C1" t="s">
        <v>424</v>
      </c>
      <c r="D1" t="s">
        <v>338</v>
      </c>
      <c r="E1" t="s">
        <v>301</v>
      </c>
      <c r="F1" t="s">
        <v>1235</v>
      </c>
      <c r="G1" t="s">
        <v>421</v>
      </c>
      <c r="H1" t="s">
        <v>582</v>
      </c>
      <c r="I1" t="s">
        <v>1236</v>
      </c>
      <c r="J1" t="s">
        <v>304</v>
      </c>
      <c r="K1" t="s">
        <v>302</v>
      </c>
      <c r="L1" t="s">
        <v>303</v>
      </c>
      <c r="M1" t="s">
        <v>337</v>
      </c>
      <c r="N1" t="s">
        <v>300</v>
      </c>
      <c r="O1" t="s">
        <v>336</v>
      </c>
      <c r="P1" t="s">
        <v>3</v>
      </c>
      <c r="Q1" t="s">
        <v>1237</v>
      </c>
      <c r="R1" t="s">
        <v>1238</v>
      </c>
      <c r="S1" t="s">
        <v>425</v>
      </c>
      <c r="T1" t="s">
        <v>426</v>
      </c>
      <c r="U1" t="s">
        <v>427</v>
      </c>
      <c r="V1" t="s">
        <v>630</v>
      </c>
      <c r="W1" t="s">
        <v>428</v>
      </c>
      <c r="X1" t="s">
        <v>429</v>
      </c>
      <c r="Y1" t="s">
        <v>430</v>
      </c>
      <c r="Z1" t="s">
        <v>431</v>
      </c>
      <c r="AA1" t="s">
        <v>432</v>
      </c>
      <c r="AB1" t="s">
        <v>433</v>
      </c>
      <c r="AC1" t="s">
        <v>434</v>
      </c>
      <c r="AD1" t="s">
        <v>435</v>
      </c>
      <c r="AE1" t="s">
        <v>436</v>
      </c>
      <c r="AF1" t="s">
        <v>437</v>
      </c>
      <c r="AG1" t="s">
        <v>438</v>
      </c>
      <c r="AH1" t="s">
        <v>439</v>
      </c>
      <c r="AI1" t="s">
        <v>440</v>
      </c>
      <c r="AJ1" t="s">
        <v>441</v>
      </c>
      <c r="AK1" t="s">
        <v>305</v>
      </c>
      <c r="AL1" t="s">
        <v>307</v>
      </c>
      <c r="AM1" t="s">
        <v>308</v>
      </c>
      <c r="AN1" t="s">
        <v>309</v>
      </c>
      <c r="AO1" t="s">
        <v>339</v>
      </c>
      <c r="AP1" t="s">
        <v>340</v>
      </c>
      <c r="AQ1" t="s">
        <v>442</v>
      </c>
      <c r="AR1" t="s">
        <v>341</v>
      </c>
      <c r="AS1" t="s">
        <v>443</v>
      </c>
      <c r="AT1" t="s">
        <v>444</v>
      </c>
      <c r="AU1" t="s">
        <v>342</v>
      </c>
      <c r="AV1" t="s">
        <v>306</v>
      </c>
      <c r="AW1" t="s">
        <v>445</v>
      </c>
      <c r="AX1" t="s">
        <v>532</v>
      </c>
      <c r="AY1" t="s">
        <v>533</v>
      </c>
      <c r="AZ1" t="s">
        <v>534</v>
      </c>
      <c r="BA1" t="s">
        <v>535</v>
      </c>
      <c r="BB1" t="s">
        <v>536</v>
      </c>
      <c r="BC1" t="s">
        <v>537</v>
      </c>
      <c r="BD1" t="s">
        <v>538</v>
      </c>
      <c r="BE1" t="s">
        <v>539</v>
      </c>
      <c r="BF1" t="s">
        <v>540</v>
      </c>
      <c r="BG1" t="s">
        <v>541</v>
      </c>
      <c r="BH1" t="s">
        <v>542</v>
      </c>
      <c r="BI1" t="s">
        <v>543</v>
      </c>
      <c r="BJ1" t="s">
        <v>343</v>
      </c>
      <c r="BK1" t="s">
        <v>446</v>
      </c>
      <c r="BL1" t="s">
        <v>310</v>
      </c>
      <c r="BM1" t="s">
        <v>344</v>
      </c>
      <c r="BN1" t="s">
        <v>345</v>
      </c>
      <c r="BO1" t="s">
        <v>346</v>
      </c>
      <c r="BP1" t="s">
        <v>347</v>
      </c>
      <c r="BQ1" t="s">
        <v>348</v>
      </c>
      <c r="BR1" t="s">
        <v>349</v>
      </c>
      <c r="BS1" t="s">
        <v>311</v>
      </c>
      <c r="BT1" t="s">
        <v>631</v>
      </c>
      <c r="BU1" t="s">
        <v>520</v>
      </c>
      <c r="BV1" t="s">
        <v>521</v>
      </c>
      <c r="BW1" t="s">
        <v>522</v>
      </c>
      <c r="BX1" t="s">
        <v>523</v>
      </c>
      <c r="BY1" t="s">
        <v>1239</v>
      </c>
      <c r="BZ1" t="s">
        <v>625</v>
      </c>
      <c r="CA1" t="s">
        <v>447</v>
      </c>
      <c r="CB1" t="s">
        <v>1240</v>
      </c>
      <c r="CC1" t="s">
        <v>448</v>
      </c>
      <c r="CD1" t="s">
        <v>449</v>
      </c>
      <c r="CE1" t="s">
        <v>450</v>
      </c>
      <c r="CF1" t="s">
        <v>451</v>
      </c>
      <c r="CG1" t="s">
        <v>452</v>
      </c>
      <c r="CH1" t="s">
        <v>453</v>
      </c>
      <c r="CI1" t="s">
        <v>454</v>
      </c>
      <c r="CJ1" t="s">
        <v>455</v>
      </c>
      <c r="CK1" t="s">
        <v>456</v>
      </c>
      <c r="CL1" t="s">
        <v>457</v>
      </c>
      <c r="CM1" t="s">
        <v>1019</v>
      </c>
      <c r="CN1" t="s">
        <v>458</v>
      </c>
      <c r="CO1" t="s">
        <v>459</v>
      </c>
      <c r="CP1" t="s">
        <v>460</v>
      </c>
      <c r="CQ1" t="s">
        <v>461</v>
      </c>
      <c r="CR1" t="s">
        <v>462</v>
      </c>
      <c r="CS1" t="s">
        <v>463</v>
      </c>
      <c r="CT1" t="s">
        <v>464</v>
      </c>
      <c r="CU1" t="s">
        <v>465</v>
      </c>
      <c r="CV1" t="s">
        <v>1241</v>
      </c>
      <c r="CW1" t="s">
        <v>466</v>
      </c>
      <c r="CX1" t="s">
        <v>467</v>
      </c>
      <c r="CY1" t="s">
        <v>468</v>
      </c>
      <c r="CZ1" t="s">
        <v>469</v>
      </c>
      <c r="DA1" t="s">
        <v>470</v>
      </c>
      <c r="DB1" t="s">
        <v>471</v>
      </c>
      <c r="DC1" t="s">
        <v>472</v>
      </c>
      <c r="DD1" t="s">
        <v>473</v>
      </c>
      <c r="DE1" t="s">
        <v>474</v>
      </c>
      <c r="DF1" t="s">
        <v>475</v>
      </c>
      <c r="DG1" t="s">
        <v>1242</v>
      </c>
      <c r="DH1" t="s">
        <v>476</v>
      </c>
      <c r="DI1" t="s">
        <v>477</v>
      </c>
      <c r="DJ1" t="s">
        <v>478</v>
      </c>
      <c r="DK1" t="s">
        <v>479</v>
      </c>
      <c r="DL1" t="s">
        <v>480</v>
      </c>
      <c r="DM1" t="s">
        <v>481</v>
      </c>
      <c r="DN1" t="s">
        <v>482</v>
      </c>
      <c r="DO1" t="s">
        <v>483</v>
      </c>
      <c r="DP1" t="s">
        <v>1243</v>
      </c>
      <c r="DQ1" t="s">
        <v>484</v>
      </c>
      <c r="DR1" t="s">
        <v>485</v>
      </c>
      <c r="DS1" t="s">
        <v>486</v>
      </c>
      <c r="DT1" t="s">
        <v>487</v>
      </c>
      <c r="DU1" t="s">
        <v>488</v>
      </c>
      <c r="DV1" t="s">
        <v>489</v>
      </c>
      <c r="DW1" t="s">
        <v>490</v>
      </c>
      <c r="DX1" t="s">
        <v>491</v>
      </c>
      <c r="DY1" t="s">
        <v>492</v>
      </c>
      <c r="DZ1" t="s">
        <v>493</v>
      </c>
      <c r="EA1" t="s">
        <v>1244</v>
      </c>
      <c r="EB1" t="s">
        <v>494</v>
      </c>
      <c r="EC1" t="s">
        <v>495</v>
      </c>
      <c r="ED1" t="s">
        <v>496</v>
      </c>
      <c r="EE1" t="s">
        <v>497</v>
      </c>
      <c r="EF1" t="s">
        <v>498</v>
      </c>
      <c r="EG1" t="s">
        <v>499</v>
      </c>
      <c r="EH1" t="s">
        <v>500</v>
      </c>
      <c r="EI1" t="s">
        <v>501</v>
      </c>
      <c r="EJ1" t="s">
        <v>1245</v>
      </c>
      <c r="EK1" t="s">
        <v>502</v>
      </c>
      <c r="EL1" t="s">
        <v>503</v>
      </c>
      <c r="EM1" t="s">
        <v>504</v>
      </c>
      <c r="EN1" t="s">
        <v>505</v>
      </c>
      <c r="EO1" t="s">
        <v>506</v>
      </c>
      <c r="EP1" t="s">
        <v>507</v>
      </c>
      <c r="EQ1" t="s">
        <v>508</v>
      </c>
      <c r="ER1" t="s">
        <v>509</v>
      </c>
      <c r="ES1" t="s">
        <v>510</v>
      </c>
      <c r="ET1" t="s">
        <v>511</v>
      </c>
      <c r="EU1" t="s">
        <v>1246</v>
      </c>
      <c r="EV1" t="s">
        <v>512</v>
      </c>
      <c r="EW1" t="s">
        <v>513</v>
      </c>
      <c r="EX1" t="s">
        <v>514</v>
      </c>
      <c r="EY1" t="s">
        <v>515</v>
      </c>
      <c r="EZ1" t="s">
        <v>516</v>
      </c>
      <c r="FA1" t="s">
        <v>517</v>
      </c>
      <c r="FB1" t="s">
        <v>518</v>
      </c>
      <c r="FC1" t="s">
        <v>519</v>
      </c>
      <c r="FD1" t="s">
        <v>1003</v>
      </c>
      <c r="FE1" t="s">
        <v>1005</v>
      </c>
      <c r="FF1" t="s">
        <v>1002</v>
      </c>
      <c r="FG1" t="s">
        <v>1001</v>
      </c>
      <c r="FH1" t="s">
        <v>1004</v>
      </c>
      <c r="FI1" t="s">
        <v>1247</v>
      </c>
      <c r="FJ1" t="s">
        <v>1248</v>
      </c>
      <c r="FK1" t="s">
        <v>1249</v>
      </c>
      <c r="FL1" t="s">
        <v>1250</v>
      </c>
      <c r="FM1" t="s">
        <v>1251</v>
      </c>
      <c r="FN1" t="s">
        <v>1252</v>
      </c>
      <c r="FO1" t="s">
        <v>1253</v>
      </c>
      <c r="FP1" t="s">
        <v>1254</v>
      </c>
      <c r="FQ1" t="s">
        <v>1255</v>
      </c>
      <c r="FR1" t="s">
        <v>1256</v>
      </c>
      <c r="FS1" t="s">
        <v>1257</v>
      </c>
      <c r="FT1" t="s">
        <v>1258</v>
      </c>
      <c r="FU1" t="s">
        <v>1259</v>
      </c>
      <c r="FV1" t="s">
        <v>1260</v>
      </c>
      <c r="FW1" t="s">
        <v>1261</v>
      </c>
      <c r="FX1" t="s">
        <v>1262</v>
      </c>
      <c r="FY1" t="s">
        <v>1263</v>
      </c>
      <c r="FZ1" t="s">
        <v>1264</v>
      </c>
      <c r="GA1" t="s">
        <v>1265</v>
      </c>
      <c r="GB1" t="s">
        <v>1266</v>
      </c>
      <c r="GC1" t="s">
        <v>1267</v>
      </c>
      <c r="GD1" t="s">
        <v>1268</v>
      </c>
      <c r="GE1" t="s">
        <v>1269</v>
      </c>
      <c r="GF1" t="s">
        <v>1270</v>
      </c>
      <c r="GG1" t="s">
        <v>1271</v>
      </c>
      <c r="GH1" t="s">
        <v>1272</v>
      </c>
      <c r="GI1" t="s">
        <v>1273</v>
      </c>
      <c r="GJ1" t="s">
        <v>1274</v>
      </c>
      <c r="GK1" t="s">
        <v>1275</v>
      </c>
      <c r="GL1" t="s">
        <v>1276</v>
      </c>
      <c r="GM1" t="s">
        <v>524</v>
      </c>
      <c r="GN1" t="s">
        <v>312</v>
      </c>
      <c r="GO1" t="s">
        <v>525</v>
      </c>
      <c r="GP1" t="s">
        <v>526</v>
      </c>
      <c r="GQ1" t="s">
        <v>685</v>
      </c>
      <c r="GR1" t="s">
        <v>714</v>
      </c>
      <c r="GS1" t="s">
        <v>715</v>
      </c>
      <c r="GT1" t="s">
        <v>716</v>
      </c>
      <c r="GU1" t="s">
        <v>717</v>
      </c>
      <c r="GV1" t="s">
        <v>718</v>
      </c>
      <c r="GW1" t="s">
        <v>731</v>
      </c>
      <c r="GX1" t="s">
        <v>719</v>
      </c>
      <c r="GY1" t="s">
        <v>720</v>
      </c>
      <c r="GZ1" t="s">
        <v>721</v>
      </c>
      <c r="HA1" t="s">
        <v>722</v>
      </c>
      <c r="HB1" t="s">
        <v>723</v>
      </c>
      <c r="HC1" t="s">
        <v>732</v>
      </c>
      <c r="HD1" t="s">
        <v>724</v>
      </c>
      <c r="HE1" t="s">
        <v>725</v>
      </c>
      <c r="HF1" t="s">
        <v>726</v>
      </c>
      <c r="HG1" t="s">
        <v>727</v>
      </c>
      <c r="HH1" t="s">
        <v>728</v>
      </c>
      <c r="HI1" t="s">
        <v>729</v>
      </c>
      <c r="HJ1" t="s">
        <v>730</v>
      </c>
      <c r="HK1" t="s">
        <v>733</v>
      </c>
      <c r="HL1" t="s">
        <v>734</v>
      </c>
    </row>
    <row r="2" spans="1:220" x14ac:dyDescent="0.25">
      <c r="M2" s="3"/>
      <c r="N2" s="3"/>
      <c r="Q2" s="4"/>
      <c r="R2" s="4"/>
      <c r="W2" s="3"/>
      <c r="X2" s="3"/>
      <c r="BV2" s="3"/>
      <c r="BW2" s="3"/>
      <c r="CC2" s="3"/>
      <c r="CD2" s="3"/>
      <c r="CW2" s="3"/>
      <c r="CX2" s="3"/>
      <c r="DQ2" s="3"/>
      <c r="DR2" s="3"/>
      <c r="EK2" s="3"/>
      <c r="EL2" s="3"/>
    </row>
  </sheetData>
  <phoneticPr fontId="1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FF020-C5A3-41F5-8111-873AF5A3C937}">
  <sheetPr>
    <tabColor rgb="FF00B050"/>
    <pageSetUpPr fitToPage="1"/>
  </sheetPr>
  <dimension ref="A1:I2"/>
  <sheetViews>
    <sheetView workbookViewId="0"/>
  </sheetViews>
  <sheetFormatPr defaultRowHeight="13.2" x14ac:dyDescent="0.25"/>
  <cols>
    <col min="1" max="1" width="12.6640625" bestFit="1" customWidth="1"/>
    <col min="2" max="2" width="22.6640625" bestFit="1" customWidth="1"/>
    <col min="3" max="3" width="16.5546875" bestFit="1" customWidth="1"/>
    <col min="4" max="4" width="17" bestFit="1" customWidth="1"/>
    <col min="5" max="5" width="12.6640625" bestFit="1" customWidth="1"/>
    <col min="6" max="6" width="13.77734375" bestFit="1" customWidth="1"/>
    <col min="7" max="7" width="10" bestFit="1" customWidth="1"/>
    <col min="8" max="8" width="13.77734375" style="300" bestFit="1" customWidth="1"/>
    <col min="9" max="9" width="13.88671875" style="300" bestFit="1" customWidth="1"/>
  </cols>
  <sheetData>
    <row r="1" spans="1:9" x14ac:dyDescent="0.25">
      <c r="A1" t="s">
        <v>1221</v>
      </c>
      <c r="B1" t="s">
        <v>365</v>
      </c>
      <c r="C1" t="s">
        <v>1222</v>
      </c>
      <c r="D1" t="s">
        <v>1223</v>
      </c>
      <c r="E1" t="s">
        <v>17</v>
      </c>
      <c r="F1" t="s">
        <v>1224</v>
      </c>
      <c r="G1" t="s">
        <v>264</v>
      </c>
      <c r="H1" s="300" t="s">
        <v>370</v>
      </c>
      <c r="I1" s="300" t="s">
        <v>1225</v>
      </c>
    </row>
    <row r="2" spans="1:9" x14ac:dyDescent="0.25">
      <c r="C2" s="3"/>
      <c r="D2" s="3"/>
      <c r="G2" s="286"/>
    </row>
  </sheetData>
  <printOptions horizontalCentered="1"/>
  <pageMargins left="0.25" right="0.25" top="1" bottom="0.5" header="0.25" footer="0.25"/>
  <pageSetup fitToHeight="100" pageOrder="overThenDown" orientation="landscape" r:id="rId1"/>
  <headerFooter>
    <oddHeader>&amp;L&amp;"-,Bold"CONFIDENTIAL -
FOR MEDIATION 
PURPOSES ONLY&amp;C&amp;"-,Bold"&amp;12&amp;F - &amp;A&amp;R&amp;"-,Bold"&amp;D</oddHeader>
    <oddFooter>&amp;CPage &amp;P of &amp;N</oddFooter>
  </headerFooter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D7278-890F-43A0-B181-081D9FE9769F}">
  <sheetPr>
    <tabColor rgb="FF00B050"/>
    <pageSetUpPr fitToPage="1"/>
  </sheetPr>
  <dimension ref="A1:J1"/>
  <sheetViews>
    <sheetView workbookViewId="0"/>
  </sheetViews>
  <sheetFormatPr defaultRowHeight="13.2" x14ac:dyDescent="0.25"/>
  <cols>
    <col min="1" max="1" width="22.6640625" bestFit="1" customWidth="1"/>
    <col min="2" max="2" width="10.5546875" style="5" bestFit="1" customWidth="1"/>
    <col min="3" max="3" width="12.6640625" style="5" bestFit="1" customWidth="1"/>
    <col min="4" max="4" width="9" style="5" bestFit="1" customWidth="1"/>
    <col min="5" max="5" width="12.6640625" style="300" bestFit="1" customWidth="1"/>
    <col min="6" max="6" width="11.109375" style="300" bestFit="1" customWidth="1"/>
    <col min="7" max="7" width="10.77734375" bestFit="1" customWidth="1"/>
    <col min="8" max="8" width="20.77734375" bestFit="1" customWidth="1"/>
    <col min="9" max="9" width="15.5546875" style="38" bestFit="1" customWidth="1"/>
    <col min="10" max="10" width="48.6640625" bestFit="1" customWidth="1"/>
    <col min="11" max="11" width="43.5546875" bestFit="1" customWidth="1"/>
    <col min="12" max="12" width="48.6640625" bestFit="1" customWidth="1"/>
  </cols>
  <sheetData>
    <row r="1" spans="1:10" x14ac:dyDescent="0.25">
      <c r="A1" t="s">
        <v>365</v>
      </c>
      <c r="B1" s="5" t="s">
        <v>335</v>
      </c>
      <c r="C1" s="5" t="s">
        <v>17</v>
      </c>
      <c r="D1" s="5" t="s">
        <v>264</v>
      </c>
      <c r="E1" s="300" t="s">
        <v>370</v>
      </c>
      <c r="F1" s="300" t="s">
        <v>996</v>
      </c>
      <c r="G1" t="s">
        <v>997</v>
      </c>
      <c r="H1" t="s">
        <v>998</v>
      </c>
      <c r="I1" s="38" t="s">
        <v>999</v>
      </c>
      <c r="J1" t="s">
        <v>1000</v>
      </c>
    </row>
  </sheetData>
  <printOptions horizontalCentered="1"/>
  <pageMargins left="0.25" right="0.25" top="1" bottom="0.5" header="0.25" footer="0.25"/>
  <pageSetup scale="78" fitToHeight="100" pageOrder="overThenDown" orientation="landscape" r:id="rId1"/>
  <headerFooter>
    <oddHeader>&amp;L&amp;"-,Bold"CONFIDENTIAL -
FOR MEDIATION 
PURPOSES ONLY&amp;C&amp;"-,Bold"&amp;12&amp;F - &amp;A&amp;R&amp;"-,Bold"&amp;D</oddHeader>
    <oddFooter>&amp;CPage &amp;P of &amp;N</oddFooter>
  </headerFooter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3D061-73C5-40B5-A975-286EBB38D7E1}">
  <sheetPr>
    <tabColor rgb="FF00B050"/>
    <pageSetUpPr fitToPage="1"/>
  </sheetPr>
  <dimension ref="A1:AB102"/>
  <sheetViews>
    <sheetView zoomScaleNormal="100" workbookViewId="0"/>
  </sheetViews>
  <sheetFormatPr defaultColWidth="8.88671875" defaultRowHeight="14.4" outlineLevelRow="1" outlineLevelCol="1" x14ac:dyDescent="0.3"/>
  <cols>
    <col min="1" max="1" width="33.33203125" style="39" bestFit="1" customWidth="1"/>
    <col min="2" max="8" width="14.33203125" style="39" customWidth="1"/>
    <col min="9" max="9" width="0.88671875" style="39" customWidth="1"/>
    <col min="10" max="10" width="33.33203125" style="39" customWidth="1" outlineLevel="1"/>
    <col min="11" max="18" width="14.6640625" style="39" customWidth="1" outlineLevel="1"/>
    <col min="19" max="20" width="15.6640625" style="39" customWidth="1" outlineLevel="1"/>
    <col min="21" max="21" width="14.33203125" style="39" customWidth="1" outlineLevel="1"/>
    <col min="22" max="22" width="4" style="39" customWidth="1"/>
    <col min="23" max="23" width="2" style="39" customWidth="1"/>
    <col min="24" max="24" width="33.6640625" style="149" customWidth="1" outlineLevel="1"/>
    <col min="25" max="25" width="32.44140625" style="149" customWidth="1" outlineLevel="1"/>
    <col min="26" max="26" width="35.44140625" style="149" customWidth="1" outlineLevel="1"/>
    <col min="27" max="27" width="36.109375" style="149" customWidth="1" outlineLevel="1"/>
    <col min="28" max="28" width="14.44140625" style="140" customWidth="1" outlineLevel="1"/>
    <col min="29" max="16384" width="8.88671875" style="39"/>
  </cols>
  <sheetData>
    <row r="1" spans="1:28" s="122" customFormat="1" x14ac:dyDescent="0.25">
      <c r="A1" s="117" t="s">
        <v>351</v>
      </c>
      <c r="B1" s="329" t="str">
        <f>_xlfn.XLOOKUP(V1,$X$1:$X$2,$X$3:$X$4)</f>
        <v>All</v>
      </c>
      <c r="C1" s="330"/>
      <c r="D1" s="330"/>
      <c r="E1" s="330"/>
      <c r="F1" s="330"/>
      <c r="G1" s="330"/>
      <c r="H1" s="331"/>
      <c r="I1" s="118"/>
      <c r="J1" s="119" t="str">
        <f t="shared" ref="J1:K6" si="0">A1</f>
        <v>Hours Worked Pay Periods:</v>
      </c>
      <c r="K1" s="332" t="str">
        <f t="shared" si="0"/>
        <v>All</v>
      </c>
      <c r="L1" s="333"/>
      <c r="M1" s="333"/>
      <c r="N1" s="333"/>
      <c r="O1" s="333"/>
      <c r="P1" s="333"/>
      <c r="Q1" s="333"/>
      <c r="R1" s="333"/>
      <c r="S1" s="333"/>
      <c r="T1" s="333"/>
      <c r="U1" s="333"/>
      <c r="V1" s="120">
        <v>0</v>
      </c>
      <c r="W1" s="121"/>
      <c r="X1" s="149">
        <v>0</v>
      </c>
      <c r="Y1" s="149" t="s">
        <v>352</v>
      </c>
      <c r="Z1" s="149" t="s">
        <v>352</v>
      </c>
      <c r="AA1" s="149" t="s">
        <v>352</v>
      </c>
    </row>
    <row r="2" spans="1:28" s="122" customFormat="1" x14ac:dyDescent="0.25">
      <c r="A2" s="117" t="s">
        <v>353</v>
      </c>
      <c r="B2" s="329" t="str">
        <f>_xlfn.XLOOKUP(V2,$X$1:$X$2,$Y$1:$Y$2)</f>
        <v>All</v>
      </c>
      <c r="C2" s="330"/>
      <c r="D2" s="330"/>
      <c r="E2" s="330"/>
      <c r="F2" s="330"/>
      <c r="G2" s="330"/>
      <c r="H2" s="331"/>
      <c r="I2" s="118"/>
      <c r="J2" s="119" t="str">
        <f t="shared" si="0"/>
        <v>Overtime Pay Periods:</v>
      </c>
      <c r="K2" s="332" t="str">
        <f t="shared" si="0"/>
        <v>All</v>
      </c>
      <c r="L2" s="333"/>
      <c r="M2" s="333"/>
      <c r="N2" s="333"/>
      <c r="O2" s="333"/>
      <c r="P2" s="333"/>
      <c r="Q2" s="333"/>
      <c r="R2" s="333"/>
      <c r="S2" s="333"/>
      <c r="T2" s="333"/>
      <c r="U2" s="333"/>
      <c r="V2" s="120">
        <v>0</v>
      </c>
      <c r="W2" s="121"/>
      <c r="X2" s="149">
        <v>1</v>
      </c>
      <c r="Y2" s="149" t="s">
        <v>354</v>
      </c>
      <c r="Z2" s="149" t="s">
        <v>355</v>
      </c>
      <c r="AA2" s="149" t="s">
        <v>356</v>
      </c>
    </row>
    <row r="3" spans="1:28" s="122" customFormat="1" x14ac:dyDescent="0.25">
      <c r="A3" s="117" t="s">
        <v>357</v>
      </c>
      <c r="B3" s="329" t="str">
        <f>_xlfn.XLOOKUP(V3,$X$1:$X$2,$Y$3:$Y$4)</f>
        <v>All</v>
      </c>
      <c r="C3" s="330"/>
      <c r="D3" s="330"/>
      <c r="E3" s="330"/>
      <c r="F3" s="330"/>
      <c r="G3" s="330"/>
      <c r="H3" s="331"/>
      <c r="I3" s="118"/>
      <c r="J3" s="119" t="str">
        <f t="shared" si="0"/>
        <v>Bonus Pay Periods:</v>
      </c>
      <c r="K3" s="332" t="str">
        <f t="shared" si="0"/>
        <v>All</v>
      </c>
      <c r="L3" s="333"/>
      <c r="M3" s="333"/>
      <c r="N3" s="333"/>
      <c r="O3" s="333"/>
      <c r="P3" s="333"/>
      <c r="Q3" s="333"/>
      <c r="R3" s="333"/>
      <c r="S3" s="333"/>
      <c r="T3" s="333"/>
      <c r="U3" s="333"/>
      <c r="V3" s="120">
        <v>0</v>
      </c>
      <c r="W3" s="121"/>
      <c r="X3" s="149" t="s">
        <v>352</v>
      </c>
      <c r="Y3" s="149" t="s">
        <v>352</v>
      </c>
      <c r="Z3" s="149" t="s">
        <v>352</v>
      </c>
      <c r="AA3" s="149"/>
    </row>
    <row r="4" spans="1:28" s="122" customFormat="1" x14ac:dyDescent="0.25">
      <c r="A4" s="117" t="s">
        <v>358</v>
      </c>
      <c r="B4" s="329" t="str">
        <f>_xlfn.XLOOKUP(V4,$X$1:$X$2,$Z$1:$Z$2)</f>
        <v>All</v>
      </c>
      <c r="C4" s="330"/>
      <c r="D4" s="330"/>
      <c r="E4" s="330"/>
      <c r="F4" s="330"/>
      <c r="G4" s="330"/>
      <c r="H4" s="331"/>
      <c r="I4" s="118"/>
      <c r="J4" s="119" t="str">
        <f t="shared" si="0"/>
        <v>Meal Premium Pay Periods:</v>
      </c>
      <c r="K4" s="332" t="str">
        <f t="shared" si="0"/>
        <v>All</v>
      </c>
      <c r="L4" s="333"/>
      <c r="M4" s="333"/>
      <c r="N4" s="333"/>
      <c r="O4" s="333"/>
      <c r="P4" s="333"/>
      <c r="Q4" s="333"/>
      <c r="R4" s="333"/>
      <c r="S4" s="333"/>
      <c r="T4" s="333"/>
      <c r="U4" s="333"/>
      <c r="V4" s="120">
        <v>0</v>
      </c>
      <c r="W4" s="121"/>
      <c r="X4" s="149" t="s">
        <v>359</v>
      </c>
      <c r="Y4" s="149" t="s">
        <v>360</v>
      </c>
      <c r="Z4" s="149" t="s">
        <v>361</v>
      </c>
      <c r="AA4" s="149"/>
    </row>
    <row r="5" spans="1:28" s="122" customFormat="1" x14ac:dyDescent="0.25">
      <c r="A5" s="117" t="s">
        <v>362</v>
      </c>
      <c r="B5" s="329" t="str">
        <f>_xlfn.XLOOKUP(V5,$X$1:$X$2,$Z$3:$Z$4)</f>
        <v>All</v>
      </c>
      <c r="C5" s="330"/>
      <c r="D5" s="330"/>
      <c r="E5" s="330"/>
      <c r="F5" s="330"/>
      <c r="G5" s="330"/>
      <c r="H5" s="331"/>
      <c r="I5" s="118"/>
      <c r="J5" s="119" t="str">
        <f t="shared" si="0"/>
        <v>Sick Pay Periods:</v>
      </c>
      <c r="K5" s="332" t="str">
        <f t="shared" si="0"/>
        <v>All</v>
      </c>
      <c r="L5" s="333"/>
      <c r="M5" s="333"/>
      <c r="N5" s="333"/>
      <c r="O5" s="333"/>
      <c r="P5" s="333"/>
      <c r="Q5" s="333"/>
      <c r="R5" s="333"/>
      <c r="S5" s="333"/>
      <c r="T5" s="333"/>
      <c r="U5" s="333"/>
      <c r="V5" s="120">
        <v>0</v>
      </c>
      <c r="X5" s="149"/>
      <c r="Y5" s="149"/>
      <c r="Z5" s="149"/>
      <c r="AA5" s="149"/>
    </row>
    <row r="6" spans="1:28" x14ac:dyDescent="0.3">
      <c r="A6" s="117" t="s">
        <v>363</v>
      </c>
      <c r="B6" s="329" t="str">
        <f>_xlfn.XLOOKUP(V6,$X$1:$X$2,$AA$1:$AA$2)</f>
        <v>All</v>
      </c>
      <c r="C6" s="330"/>
      <c r="D6" s="330"/>
      <c r="E6" s="330"/>
      <c r="F6" s="330"/>
      <c r="G6" s="330"/>
      <c r="H6" s="331"/>
      <c r="I6" s="118"/>
      <c r="J6" s="119" t="str">
        <f t="shared" si="0"/>
        <v>Shift Differential Pay Periods:</v>
      </c>
      <c r="K6" s="332" t="str">
        <f t="shared" si="0"/>
        <v>All</v>
      </c>
      <c r="L6" s="333"/>
      <c r="M6" s="333"/>
      <c r="N6" s="333"/>
      <c r="O6" s="333"/>
      <c r="P6" s="333"/>
      <c r="Q6" s="333"/>
      <c r="R6" s="333"/>
      <c r="S6" s="333"/>
      <c r="T6" s="333"/>
      <c r="U6" s="333"/>
      <c r="V6" s="120">
        <v>0</v>
      </c>
      <c r="AB6" s="39"/>
    </row>
    <row r="7" spans="1:28" s="123" customFormat="1" x14ac:dyDescent="0.25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1"/>
      <c r="X7" s="149"/>
      <c r="Y7" s="149"/>
      <c r="Z7" s="149"/>
      <c r="AA7" s="149"/>
    </row>
    <row r="8" spans="1:28" s="122" customFormat="1" ht="15" outlineLevel="1" thickBot="1" x14ac:dyDescent="0.35">
      <c r="A8" s="124" t="str">
        <f>'Class Analysis'!$E$1</f>
        <v>e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118"/>
      <c r="X8" s="149"/>
      <c r="Y8" s="149"/>
      <c r="Z8" s="149"/>
      <c r="AA8" s="149"/>
    </row>
    <row r="9" spans="1:28" s="123" customFormat="1" ht="15" thickBot="1" x14ac:dyDescent="0.3">
      <c r="A9" s="125" t="s">
        <v>364</v>
      </c>
      <c r="B9" s="126"/>
      <c r="C9" s="126"/>
      <c r="D9" s="127"/>
      <c r="E9" s="127"/>
      <c r="F9" s="128"/>
      <c r="G9" s="129"/>
      <c r="H9" s="129"/>
      <c r="I9" s="122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27"/>
      <c r="V9" s="121"/>
      <c r="W9" s="121"/>
      <c r="X9" s="149"/>
      <c r="Y9" s="149"/>
      <c r="Z9" s="149"/>
      <c r="AA9" s="149"/>
    </row>
    <row r="10" spans="1:28" s="122" customFormat="1" x14ac:dyDescent="0.25">
      <c r="A10" s="342" t="s">
        <v>365</v>
      </c>
      <c r="B10" s="334" t="s">
        <v>366</v>
      </c>
      <c r="C10" s="334" t="s">
        <v>367</v>
      </c>
      <c r="D10" s="334" t="s">
        <v>368</v>
      </c>
      <c r="E10" s="334" t="s">
        <v>369</v>
      </c>
      <c r="F10" s="335" t="s">
        <v>264</v>
      </c>
      <c r="G10" s="334" t="s">
        <v>370</v>
      </c>
      <c r="H10" s="334" t="s">
        <v>371</v>
      </c>
      <c r="J10" s="339" t="str">
        <f>A10</f>
        <v>Pay Code</v>
      </c>
      <c r="K10" s="334" t="s">
        <v>372</v>
      </c>
      <c r="L10" s="334"/>
      <c r="M10" s="334"/>
      <c r="N10" s="334"/>
      <c r="O10" s="334"/>
      <c r="P10" s="334"/>
      <c r="Q10" s="334"/>
      <c r="R10" s="334"/>
      <c r="S10" s="334"/>
      <c r="T10" s="334"/>
      <c r="U10" s="340"/>
      <c r="V10" s="118"/>
      <c r="W10" s="118"/>
      <c r="X10" s="149"/>
      <c r="Y10" s="149"/>
      <c r="Z10" s="149"/>
      <c r="AA10" s="149"/>
    </row>
    <row r="11" spans="1:28" s="122" customFormat="1" x14ac:dyDescent="0.25">
      <c r="A11" s="339"/>
      <c r="B11" s="334"/>
      <c r="C11" s="334"/>
      <c r="D11" s="334"/>
      <c r="E11" s="334"/>
      <c r="F11" s="335"/>
      <c r="G11" s="334"/>
      <c r="H11" s="334"/>
      <c r="J11" s="339"/>
      <c r="K11" s="131" t="s">
        <v>373</v>
      </c>
      <c r="L11" s="131" t="s">
        <v>374</v>
      </c>
      <c r="M11" s="131" t="s">
        <v>375</v>
      </c>
      <c r="N11" s="131" t="s">
        <v>350</v>
      </c>
      <c r="O11" s="131" t="s">
        <v>376</v>
      </c>
      <c r="P11" s="131" t="s">
        <v>377</v>
      </c>
      <c r="Q11" s="131" t="s">
        <v>378</v>
      </c>
      <c r="R11" s="131" t="s">
        <v>379</v>
      </c>
      <c r="S11" s="131" t="s">
        <v>380</v>
      </c>
      <c r="T11" s="131" t="s">
        <v>381</v>
      </c>
      <c r="U11" s="132" t="s">
        <v>45</v>
      </c>
      <c r="V11" s="121"/>
      <c r="W11" s="118"/>
      <c r="X11" s="149"/>
      <c r="Y11" s="149"/>
      <c r="Z11" s="149"/>
      <c r="AA11" s="149"/>
    </row>
    <row r="12" spans="1:28" s="122" customFormat="1" x14ac:dyDescent="0.25">
      <c r="A12" s="133" t="e" cm="1">
        <f t="array" ref="A12">_xlfn.LET(_xlpm.unique_codes, _xlfn.UNIQUE(_xlfn._xlws.FILTER(Pay_Code, ISNUMBER(SEARCH("*" &amp; $A$8 &amp; "*", Pay_Key_Gps)))),  _xlpm.sorted_sums, _xlfn.SORTBY(_xlpm.unique_codes, -SUMIFS(Pay_Amount, Pay_Code, _xlpm.unique_codes)),  _xlpm.sorted_sums)</f>
        <v>#NAME?</v>
      </c>
      <c r="B12" s="134" t="e" cm="1">
        <f t="array" ref="B12">_xlfn.LET(_xlpm.calc,_xlfn.MINIFS(Pay_Period_End,Pay_Key_Gps,"*"&amp;$A$8&amp;"*",Pay_Code,$A12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12" s="134" t="e" cm="1">
        <f t="array" ref="C12">_xlfn.LET(_xlpm.calc,_xlfn.MAXIFS(Pay_Period_End,Pay_Key_Gps,"*"&amp;$A$8&amp;"*",Pay_Code,$A12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12" s="135" t="str" cm="1">
        <f t="array" ref="D12">_xlfn.LET(_xlpm.calc,IFERROR(ROWS(_xlfn.UNIQUE(_xlfn._xlws.FILTER(Pay_ID,(IFERROR(SEARCH($A$8,Pay_Key_Gps),0)&gt;0) * (Pay_Code=$A12) * (pp_Hrs_Wkd_Pay_Code &gt;= $V$1) * (pp_OT_Pay_Code &gt;= $V$2) * (pp_Bon_Pay_Code &gt;= $V$3) * (pp_Meal_Pay_Code &gt;= $V$4) * (pp_Sick_Pay_Code &gt;= $V$5) * (pp_Diff_Pay_Code &gt;= $V$6)))),0),_xlpm.perc,_xlpm.calc/D$69,IFERROR(IF(_xlpm.calc&gt;1000,_xlfn.CONCAT(TEXT(_xlpm.calc,"0,000")," (",TEXT(_xlpm.perc,"0.0%"),")"),_xlfn.CONCAT(_xlpm.calc," (",TEXT(_xlpm.perc,"0.0%"),")")),"-"))</f>
        <v>-</v>
      </c>
      <c r="E12" s="135" t="str" cm="1">
        <f t="array" ref="E12">_xlfn.LET(_xlpm.calc,IFERROR(ROWS(_xlfn.UNIQUE(_xlfn._xlws.FILTER(Pay_ID_Period_End,(IFERROR(SEARCH($A$8,Pay_Key_Gps),0)&gt;0) * (Pay_Code=$A12) * (pp_Hrs_Wkd_Pay_Code &gt;= $V$1) * (pp_OT_Pay_Code &gt;= $V$2) * (pp_Bon_Pay_Code &gt;= $V$3) * (pp_Meal_Pay_Code &gt;= $V$4) * (pp_Sick_Pay_Code &gt;= $V$5) * (pp_Diff_Pay_Code &gt;= $V$6)))),0),_xlpm.perc,_xlpm.calc/E$69,IFERROR(IF(_xlpm.calc&gt;1000,_xlfn.CONCAT(TEXT(_xlpm.calc,"0,000")," (",TEXT(_xlpm.perc,"0.0%"),")"),_xlfn.CONCAT(_xlpm.calc," (",TEXT(_xlpm.perc,"0.0%"),")")),"-"))</f>
        <v>-</v>
      </c>
      <c r="F12" s="136" t="e">
        <f t="shared" ref="F12:F68" si="1">SUMIFS(Pay_Hours,Pay_Key_Gps,"*"&amp;$A$8&amp;"*",Pay_Code,$A12,pp_Hrs_Wkd_Pay_Code,"&gt;="&amp;$V$1,pp_OT_Pay_Code,"&gt;="&amp;$V$2,pp_Bon_Pay_Code,"&gt;="&amp;$V$3,pp_Meal_Pay_Code,"&gt;="&amp;$V$4,pp_Sick_Pay_Code,"&gt;="&amp;$V$5,pp_Diff_Pay_Code,"&gt;="&amp;$V$6)</f>
        <v>#NAME?</v>
      </c>
      <c r="G12" s="137" t="e">
        <f t="shared" ref="G12:G68" si="2">SUMIFS(Pay_Amount,Pay_Key_Gps,"*"&amp;$A$8&amp;"*",Pay_Code,$A12,pp_Hrs_Wkd_Pay_Code,"&gt;="&amp;$V$1,pp_OT_Pay_Code,"&gt;="&amp;$V$2,pp_Bon_Pay_Code,"&gt;="&amp;$V$3,pp_Meal_Pay_Code,"&gt;="&amp;$V$4,pp_Sick_Pay_Code,"&gt;="&amp;$V$5,pp_Diff_Pay_Code,"&gt;="&amp;$V$6)</f>
        <v>#NAME?</v>
      </c>
      <c r="H12" s="137" t="str" cm="1">
        <f t="array" ref="H12">IFERROR(AVERAGEIFS(Pay_Amount,Pay_Key_Gps,"*"&amp;$A$8&amp;"*",Pay_Code,$A12,pp_Hrs_Wkd_Pay_Code,"&gt;="&amp;$V$1,pp_OT_Pay_Code,"&gt;="&amp;$V$2,pp_Bon_Pay_Code,"&gt;="&amp;$V$3,pp_Meal_Pay_Code,"&gt;="&amp;$V$4,pp_Sick_Pay_Code,"&gt;="&amp;$V$5,pp_Diff_Pay_Code,"&gt;="&amp;$V$6),"-")</f>
        <v>-</v>
      </c>
      <c r="J12" s="133" t="e">
        <f>A12</f>
        <v>#NAME?</v>
      </c>
      <c r="K12" s="138" t="e" cm="1">
        <f t="array" ref="K12">_xlfn.LET(_xlpm.calc,COUNTIFS(Rate_Gp,K$11,Pay_Key_Gps,"*"&amp;$A$8&amp;"*",Pay_Code,$A12,pp_Hrs_Wkd_Pay_Code,"&gt;="&amp;$V$1,pp_OT_Pay_Code,"&gt;="&amp;$V$2,pp_Bon_Pay_Code,"&gt;="&amp;$V$3,pp_Meal_Pay_Code,"&gt;="&amp;$V$4,pp_Sick_Pay_Code,"&gt;="&amp;$V$5,pp_Diff_Pay_Code,"&gt;="&amp;$V$6),_xlpm.calc2,COUNTIFS(Pay_Key_Gps,"*"&amp;$A$8&amp;"*",Pay_Code,$A12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12" s="138" t="e" cm="1">
        <f t="array" ref="L12">_xlfn.LET(_xlpm.calc,COUNTIFS(Rate_Gp,L$11,Pay_Key_Gps,"*"&amp;$A$8&amp;"*",Pay_Code,$A12,pp_Hrs_Wkd_Pay_Code,"&gt;="&amp;$V$1,pp_OT_Pay_Code,"&gt;="&amp;$V$2,pp_Bon_Pay_Code,"&gt;="&amp;$V$3,pp_Meal_Pay_Code,"&gt;="&amp;$V$4,pp_Sick_Pay_Code,"&gt;="&amp;$V$5,pp_Diff_Pay_Code,"&gt;="&amp;$V$6),_xlpm.calc2,COUNTIFS(Pay_Key_Gps,"*"&amp;$A$8&amp;"*",Pay_Code,$A12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12" s="138" t="e" cm="1">
        <f t="array" ref="M12">_xlfn.LET(_xlpm.calc,COUNTIFS(Rate_Gp,M$11,Pay_Key_Gps,"*"&amp;$A$8&amp;"*",Pay_Code,$A12,pp_Hrs_Wkd_Pay_Code,"&gt;="&amp;$V$1,pp_OT_Pay_Code,"&gt;="&amp;$V$2,pp_Bon_Pay_Code,"&gt;="&amp;$V$3,pp_Meal_Pay_Code,"&gt;="&amp;$V$4,pp_Sick_Pay_Code,"&gt;="&amp;$V$5,pp_Diff_Pay_Code,"&gt;="&amp;$V$6),_xlpm.calc2,COUNTIFS(Pay_Key_Gps,"*"&amp;$A$8&amp;"*",Pay_Code,$A12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12" s="138" t="e" cm="1">
        <f t="array" ref="N12">_xlfn.LET(_xlpm.calc,COUNTIFS(Rate_Gp,N$11,Pay_Key_Gps,"*"&amp;$A$8&amp;"*",Pay_Code,$A12,pp_Hrs_Wkd_Pay_Code,"&gt;="&amp;$V$1,pp_OT_Pay_Code,"&gt;="&amp;$V$2,pp_Bon_Pay_Code,"&gt;="&amp;$V$3,pp_Meal_Pay_Code,"&gt;="&amp;$V$4,pp_Sick_Pay_Code,"&gt;="&amp;$V$5,pp_Diff_Pay_Code,"&gt;="&amp;$V$6),_xlpm.calc2,COUNTIFS(Pay_Key_Gps,"*"&amp;$A$8&amp;"*",Pay_Code,$A12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12" s="138" t="e" cm="1">
        <f t="array" ref="O12">_xlfn.LET(_xlpm.calc,COUNTIFS(Rate_Gp,O$11,Pay_Key_Gps,"*"&amp;$A$8&amp;"*",Pay_Code,$A12,pp_Hrs_Wkd_Pay_Code,"&gt;="&amp;$V$1,pp_OT_Pay_Code,"&gt;="&amp;$V$2,pp_Bon_Pay_Code,"&gt;="&amp;$V$3,pp_Meal_Pay_Code,"&gt;="&amp;$V$4,pp_Sick_Pay_Code,"&gt;="&amp;$V$5,pp_Diff_Pay_Code,"&gt;="&amp;$V$6),_xlpm.calc2,COUNTIFS(Pay_Key_Gps,"*"&amp;$A$8&amp;"*",Pay_Code,$A12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12" s="138" t="e" cm="1">
        <f t="array" ref="P12">_xlfn.LET(_xlpm.calc,COUNTIFS(Rate_Gp,P$11,Pay_Key_Gps,"*"&amp;$A$8&amp;"*",Pay_Code,$A12,pp_Hrs_Wkd_Pay_Code,"&gt;="&amp;$V$1,pp_OT_Pay_Code,"&gt;="&amp;$V$2,pp_Bon_Pay_Code,"&gt;="&amp;$V$3,pp_Meal_Pay_Code,"&gt;="&amp;$V$4,pp_Sick_Pay_Code,"&gt;="&amp;$V$5,pp_Diff_Pay_Code,"&gt;="&amp;$V$6),_xlpm.calc2,COUNTIFS(Pay_Key_Gps,"*"&amp;$A$8&amp;"*",Pay_Code,$A12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12" s="138" t="e" cm="1">
        <f t="array" ref="Q12">_xlfn.LET(_xlpm.calc,COUNTIFS(Rate_Gp,Q$11,Pay_Key_Gps,"*"&amp;$A$8&amp;"*",Pay_Code,$A12,pp_Hrs_Wkd_Pay_Code,"&gt;="&amp;$V$1,pp_OT_Pay_Code,"&gt;="&amp;$V$2,pp_Bon_Pay_Code,"&gt;="&amp;$V$3,pp_Meal_Pay_Code,"&gt;="&amp;$V$4,pp_Sick_Pay_Code,"&gt;="&amp;$V$5,pp_Diff_Pay_Code,"&gt;="&amp;$V$6),_xlpm.calc2,COUNTIFS(Pay_Key_Gps,"*"&amp;$A$8&amp;"*",Pay_Code,$A12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12" s="138" t="e" cm="1">
        <f t="array" ref="R12">_xlfn.LET(_xlpm.calc,COUNTIFS(Rate_Gp,R$11,Pay_Key_Gps,"*"&amp;$A$8&amp;"*",Pay_Code,$A12,pp_Hrs_Wkd_Pay_Code,"&gt;="&amp;$V$1,pp_OT_Pay_Code,"&gt;="&amp;$V$2,pp_Bon_Pay_Code,"&gt;="&amp;$V$3,pp_Meal_Pay_Code,"&gt;="&amp;$V$4,pp_Sick_Pay_Code,"&gt;="&amp;$V$5,pp_Diff_Pay_Code,"&gt;="&amp;$V$6),_xlpm.calc2,COUNTIFS(Pay_Key_Gps,"*"&amp;$A$8&amp;"*",Pay_Code,$A12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12" s="138" t="e" cm="1">
        <f t="array" ref="S12">_xlfn.LET(_xlpm.calc,COUNTIFS(Rate_Gp,S$11,Pay_Key_Gps,"*"&amp;$A$8&amp;"*",Pay_Code,$A12,pp_Hrs_Wkd_Pay_Code,"&gt;="&amp;$V$1,pp_OT_Pay_Code,"&gt;="&amp;$V$2,pp_Bon_Pay_Code,"&gt;="&amp;$V$3,pp_Meal_Pay_Code,"&gt;="&amp;$V$4,pp_Sick_Pay_Code,"&gt;="&amp;$V$5,pp_Diff_Pay_Code,"&gt;="&amp;$V$6),_xlpm.calc2,COUNTIFS(Pay_Key_Gps,"*"&amp;$A$8&amp;"*",Pay_Code,$A12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12" s="138" t="e" cm="1">
        <f t="array" ref="T12">_xlfn.LET(_xlpm.calc,COUNTIFS(Rate_Gp,T$11,Pay_Key_Gps,"*"&amp;$A$8&amp;"*",Pay_Code,$A12,pp_Hrs_Wkd_Pay_Code,"&gt;="&amp;$V$1,pp_OT_Pay_Code,"&gt;="&amp;$V$2,pp_Bon_Pay_Code,"&gt;="&amp;$V$3,pp_Meal_Pay_Code,"&gt;="&amp;$V$4,pp_Sick_Pay_Code,"&gt;="&amp;$V$5,pp_Diff_Pay_Code,"&gt;="&amp;$V$6),_xlpm.calc2,COUNTIFS(Pay_Key_Gps,"*"&amp;$A$8&amp;"*",Pay_Code,$A12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12" s="139" t="e" cm="1">
        <f t="array" ref="U12">_xlfn.LET(_xlpm.calc,COUNTIFS(Pay_Key_Gps,"*"&amp;$A$8&amp;"*",Pay_Code,$A12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12" s="118"/>
      <c r="W12" s="118"/>
      <c r="X12" s="149"/>
      <c r="Y12" s="149"/>
      <c r="Z12" s="149"/>
      <c r="AA12" s="149"/>
      <c r="AB12" s="140" t="e">
        <f t="shared" ref="AB12:AB68" si="3">SUMIFS(Pay_Amount,Pay_Code,$AA12)</f>
        <v>#NAME?</v>
      </c>
    </row>
    <row r="13" spans="1:28" s="123" customFormat="1" x14ac:dyDescent="0.25">
      <c r="A13" s="133"/>
      <c r="B13" s="134" t="e" cm="1">
        <f t="array" ref="B13">_xlfn.LET(_xlpm.calc,_xlfn.MINIFS(Pay_Period_End,Pay_Key_Gps,"*"&amp;$A$8&amp;"*",Pay_Code,$A13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13" s="134" t="e" cm="1">
        <f t="array" ref="C13">_xlfn.LET(_xlpm.calc,_xlfn.MAXIFS(Pay_Period_End,Pay_Key_Gps,"*"&amp;$A$8&amp;"*",Pay_Code,$A13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13" s="135" t="str" cm="1">
        <f t="array" ref="D13">_xlfn.LET(_xlpm.calc,IFERROR(ROWS(_xlfn.UNIQUE(_xlfn._xlws.FILTER(Pay_ID,(IFERROR(SEARCH($A$8,Pay_Key_Gps),0)&gt;0) * (Pay_Code=$A13) * (pp_Hrs_Wkd_Pay_Code &gt;= $V$1) * (pp_OT_Pay_Code &gt;= $V$2) * (pp_Bon_Pay_Code &gt;= $V$3) * (pp_Meal_Pay_Code &gt;= $V$4) * (pp_Sick_Pay_Code &gt;= $V$5) * (pp_Diff_Pay_Code &gt;= $V$6)))),0),_xlpm.perc,_xlpm.calc/D$69,IFERROR(IF(_xlpm.calc&gt;1000,_xlfn.CONCAT(TEXT(_xlpm.calc,"0,000")," (",TEXT(_xlpm.perc,"0.0%"),")"),_xlfn.CONCAT(_xlpm.calc," (",TEXT(_xlpm.perc,"0.0%"),")")),"-"))</f>
        <v>-</v>
      </c>
      <c r="E13" s="135" t="str" cm="1">
        <f t="array" ref="E13">_xlfn.LET(_xlpm.calc,IFERROR(ROWS(_xlfn.UNIQUE(_xlfn._xlws.FILTER(Pay_ID_Period_End,(IFERROR(SEARCH($A$8,Pay_Key_Gps),0)&gt;0) * (Pay_Code=$A13) * (pp_Hrs_Wkd_Pay_Code &gt;= $V$1) * (pp_OT_Pay_Code &gt;= $V$2) * (pp_Bon_Pay_Code &gt;= $V$3) * (pp_Meal_Pay_Code &gt;= $V$4) * (pp_Sick_Pay_Code &gt;= $V$5) * (pp_Diff_Pay_Code &gt;= $V$6)))),0),_xlpm.perc,_xlpm.calc/E$69,IFERROR(IF(_xlpm.calc&gt;1000,_xlfn.CONCAT(TEXT(_xlpm.calc,"0,000")," (",TEXT(_xlpm.perc,"0.0%"),")"),_xlfn.CONCAT(_xlpm.calc," (",TEXT(_xlpm.perc,"0.0%"),")")),"-"))</f>
        <v>-</v>
      </c>
      <c r="F13" s="136" t="e">
        <f t="shared" si="1"/>
        <v>#NAME?</v>
      </c>
      <c r="G13" s="137" t="e">
        <f t="shared" si="2"/>
        <v>#NAME?</v>
      </c>
      <c r="H13" s="137" t="str" cm="1">
        <f t="array" ref="H13">IFERROR(AVERAGEIFS(Pay_Amount,Pay_Key_Gps,"*"&amp;$A$8&amp;"*",Pay_Code,$A13,pp_Hrs_Wkd_Pay_Code,"&gt;="&amp;$V$1,pp_OT_Pay_Code,"&gt;="&amp;$V$2,pp_Bon_Pay_Code,"&gt;="&amp;$V$3,pp_Meal_Pay_Code,"&gt;="&amp;$V$4,pp_Sick_Pay_Code,"&gt;="&amp;$V$5,pp_Diff_Pay_Code,"&gt;="&amp;$V$6),"-")</f>
        <v>-</v>
      </c>
      <c r="I13" s="122"/>
      <c r="J13" s="133">
        <f t="shared" ref="J13:J40" si="4">A13</f>
        <v>0</v>
      </c>
      <c r="K13" s="138" t="e" cm="1">
        <f t="array" ref="K13">_xlfn.LET(_xlpm.calc,COUNTIFS(Rate_Gp,K$11,Pay_Key_Gps,"*"&amp;$A$8&amp;"*",Pay_Code,$A13,pp_Hrs_Wkd_Pay_Code,"&gt;="&amp;$V$1,pp_OT_Pay_Code,"&gt;="&amp;$V$2,pp_Bon_Pay_Code,"&gt;="&amp;$V$3,pp_Meal_Pay_Code,"&gt;="&amp;$V$4,pp_Sick_Pay_Code,"&gt;="&amp;$V$5,pp_Diff_Pay_Code,"&gt;="&amp;$V$6),_xlpm.calc2,COUNTIFS(Pay_Key_Gps,"*"&amp;$A$8&amp;"*",Pay_Code,$A13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13" s="138" t="e" cm="1">
        <f t="array" ref="L13">_xlfn.LET(_xlpm.calc,COUNTIFS(Rate_Gp,L$11,Pay_Key_Gps,"*"&amp;$A$8&amp;"*",Pay_Code,$A13,pp_Hrs_Wkd_Pay_Code,"&gt;="&amp;$V$1,pp_OT_Pay_Code,"&gt;="&amp;$V$2,pp_Bon_Pay_Code,"&gt;="&amp;$V$3,pp_Meal_Pay_Code,"&gt;="&amp;$V$4,pp_Sick_Pay_Code,"&gt;="&amp;$V$5,pp_Diff_Pay_Code,"&gt;="&amp;$V$6),_xlpm.calc2,COUNTIFS(Pay_Key_Gps,"*"&amp;$A$8&amp;"*",Pay_Code,$A13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13" s="138" t="e" cm="1">
        <f t="array" ref="M13">_xlfn.LET(_xlpm.calc,COUNTIFS(Rate_Gp,M$11,Pay_Key_Gps,"*"&amp;$A$8&amp;"*",Pay_Code,$A13,pp_Hrs_Wkd_Pay_Code,"&gt;="&amp;$V$1,pp_OT_Pay_Code,"&gt;="&amp;$V$2,pp_Bon_Pay_Code,"&gt;="&amp;$V$3,pp_Meal_Pay_Code,"&gt;="&amp;$V$4,pp_Sick_Pay_Code,"&gt;="&amp;$V$5,pp_Diff_Pay_Code,"&gt;="&amp;$V$6),_xlpm.calc2,COUNTIFS(Pay_Key_Gps,"*"&amp;$A$8&amp;"*",Pay_Code,$A13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13" s="138" t="e" cm="1">
        <f t="array" ref="N13">_xlfn.LET(_xlpm.calc,COUNTIFS(Rate_Gp,N$11,Pay_Key_Gps,"*"&amp;$A$8&amp;"*",Pay_Code,$A13,pp_Hrs_Wkd_Pay_Code,"&gt;="&amp;$V$1,pp_OT_Pay_Code,"&gt;="&amp;$V$2,pp_Bon_Pay_Code,"&gt;="&amp;$V$3,pp_Meal_Pay_Code,"&gt;="&amp;$V$4,pp_Sick_Pay_Code,"&gt;="&amp;$V$5,pp_Diff_Pay_Code,"&gt;="&amp;$V$6),_xlpm.calc2,COUNTIFS(Pay_Key_Gps,"*"&amp;$A$8&amp;"*",Pay_Code,$A13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13" s="138" t="e" cm="1">
        <f t="array" ref="O13">_xlfn.LET(_xlpm.calc,COUNTIFS(Rate_Gp,O$11,Pay_Key_Gps,"*"&amp;$A$8&amp;"*",Pay_Code,$A13,pp_Hrs_Wkd_Pay_Code,"&gt;="&amp;$V$1,pp_OT_Pay_Code,"&gt;="&amp;$V$2,pp_Bon_Pay_Code,"&gt;="&amp;$V$3,pp_Meal_Pay_Code,"&gt;="&amp;$V$4,pp_Sick_Pay_Code,"&gt;="&amp;$V$5,pp_Diff_Pay_Code,"&gt;="&amp;$V$6),_xlpm.calc2,COUNTIFS(Pay_Key_Gps,"*"&amp;$A$8&amp;"*",Pay_Code,$A13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13" s="138" t="e" cm="1">
        <f t="array" ref="P13">_xlfn.LET(_xlpm.calc,COUNTIFS(Rate_Gp,P$11,Pay_Key_Gps,"*"&amp;$A$8&amp;"*",Pay_Code,$A13,pp_Hrs_Wkd_Pay_Code,"&gt;="&amp;$V$1,pp_OT_Pay_Code,"&gt;="&amp;$V$2,pp_Bon_Pay_Code,"&gt;="&amp;$V$3,pp_Meal_Pay_Code,"&gt;="&amp;$V$4,pp_Sick_Pay_Code,"&gt;="&amp;$V$5,pp_Diff_Pay_Code,"&gt;="&amp;$V$6),_xlpm.calc2,COUNTIFS(Pay_Key_Gps,"*"&amp;$A$8&amp;"*",Pay_Code,$A13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13" s="138" t="e" cm="1">
        <f t="array" ref="Q13">_xlfn.LET(_xlpm.calc,COUNTIFS(Rate_Gp,Q$11,Pay_Key_Gps,"*"&amp;$A$8&amp;"*",Pay_Code,$A13,pp_Hrs_Wkd_Pay_Code,"&gt;="&amp;$V$1,pp_OT_Pay_Code,"&gt;="&amp;$V$2,pp_Bon_Pay_Code,"&gt;="&amp;$V$3,pp_Meal_Pay_Code,"&gt;="&amp;$V$4,pp_Sick_Pay_Code,"&gt;="&amp;$V$5,pp_Diff_Pay_Code,"&gt;="&amp;$V$6),_xlpm.calc2,COUNTIFS(Pay_Key_Gps,"*"&amp;$A$8&amp;"*",Pay_Code,$A13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13" s="138" t="e" cm="1">
        <f t="array" ref="R13">_xlfn.LET(_xlpm.calc,COUNTIFS(Rate_Gp,R$11,Pay_Key_Gps,"*"&amp;$A$8&amp;"*",Pay_Code,$A13,pp_Hrs_Wkd_Pay_Code,"&gt;="&amp;$V$1,pp_OT_Pay_Code,"&gt;="&amp;$V$2,pp_Bon_Pay_Code,"&gt;="&amp;$V$3,pp_Meal_Pay_Code,"&gt;="&amp;$V$4,pp_Sick_Pay_Code,"&gt;="&amp;$V$5,pp_Diff_Pay_Code,"&gt;="&amp;$V$6),_xlpm.calc2,COUNTIFS(Pay_Key_Gps,"*"&amp;$A$8&amp;"*",Pay_Code,$A13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13" s="138" t="e" cm="1">
        <f t="array" ref="S13">_xlfn.LET(_xlpm.calc,COUNTIFS(Rate_Gp,S$11,Pay_Key_Gps,"*"&amp;$A$8&amp;"*",Pay_Code,$A13,pp_Hrs_Wkd_Pay_Code,"&gt;="&amp;$V$1,pp_OT_Pay_Code,"&gt;="&amp;$V$2,pp_Bon_Pay_Code,"&gt;="&amp;$V$3,pp_Meal_Pay_Code,"&gt;="&amp;$V$4,pp_Sick_Pay_Code,"&gt;="&amp;$V$5,pp_Diff_Pay_Code,"&gt;="&amp;$V$6),_xlpm.calc2,COUNTIFS(Pay_Key_Gps,"*"&amp;$A$8&amp;"*",Pay_Code,$A13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13" s="138" t="e" cm="1">
        <f t="array" ref="T13">_xlfn.LET(_xlpm.calc,COUNTIFS(Rate_Gp,T$11,Pay_Key_Gps,"*"&amp;$A$8&amp;"*",Pay_Code,$A13,pp_Hrs_Wkd_Pay_Code,"&gt;="&amp;$V$1,pp_OT_Pay_Code,"&gt;="&amp;$V$2,pp_Bon_Pay_Code,"&gt;="&amp;$V$3,pp_Meal_Pay_Code,"&gt;="&amp;$V$4,pp_Sick_Pay_Code,"&gt;="&amp;$V$5,pp_Diff_Pay_Code,"&gt;="&amp;$V$6),_xlpm.calc2,COUNTIFS(Pay_Key_Gps,"*"&amp;$A$8&amp;"*",Pay_Code,$A13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13" s="139" t="e" cm="1">
        <f t="array" ref="U13">_xlfn.LET(_xlpm.calc,COUNTIFS(Pay_Key_Gps,"*"&amp;$A$8&amp;"*",Pay_Code,$A13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13" s="118"/>
      <c r="W13" s="121"/>
      <c r="X13" s="149"/>
      <c r="Y13" s="149"/>
      <c r="Z13" s="149"/>
      <c r="AA13" s="149"/>
      <c r="AB13" s="140" t="e">
        <f t="shared" si="3"/>
        <v>#NAME?</v>
      </c>
    </row>
    <row r="14" spans="1:28" s="122" customFormat="1" x14ac:dyDescent="0.25">
      <c r="A14" s="133"/>
      <c r="B14" s="134" t="e" cm="1">
        <f t="array" ref="B14">_xlfn.LET(_xlpm.calc,_xlfn.MINIFS(Pay_Period_End,Pay_Key_Gps,"*"&amp;$A$8&amp;"*",Pay_Code,$A14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14" s="134" t="e" cm="1">
        <f t="array" ref="C14">_xlfn.LET(_xlpm.calc,_xlfn.MAXIFS(Pay_Period_End,Pay_Key_Gps,"*"&amp;$A$8&amp;"*",Pay_Code,$A14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14" s="135" t="str" cm="1">
        <f t="array" ref="D14">_xlfn.LET(_xlpm.calc,IFERROR(ROWS(_xlfn.UNIQUE(_xlfn._xlws.FILTER(Pay_ID,(IFERROR(SEARCH($A$8,Pay_Key_Gps),0)&gt;0) * (Pay_Code=$A14) * (pp_Hrs_Wkd_Pay_Code &gt;= $V$1) * (pp_OT_Pay_Code &gt;= $V$2) * (pp_Bon_Pay_Code &gt;= $V$3) * (pp_Meal_Pay_Code &gt;= $V$4) * (pp_Sick_Pay_Code &gt;= $V$5) * (pp_Diff_Pay_Code &gt;= $V$6)))),0),_xlpm.perc,_xlpm.calc/D$69,IFERROR(IF(_xlpm.calc&gt;1000,_xlfn.CONCAT(TEXT(_xlpm.calc,"0,000")," (",TEXT(_xlpm.perc,"0.0%"),")"),_xlfn.CONCAT(_xlpm.calc," (",TEXT(_xlpm.perc,"0.0%"),")")),"-"))</f>
        <v>-</v>
      </c>
      <c r="E14" s="135" t="str" cm="1">
        <f t="array" ref="E14">_xlfn.LET(_xlpm.calc,IFERROR(ROWS(_xlfn.UNIQUE(_xlfn._xlws.FILTER(Pay_ID_Period_End,(IFERROR(SEARCH($A$8,Pay_Key_Gps),0)&gt;0) * (Pay_Code=$A14) * (pp_Hrs_Wkd_Pay_Code &gt;= $V$1) * (pp_OT_Pay_Code &gt;= $V$2) * (pp_Bon_Pay_Code &gt;= $V$3) * (pp_Meal_Pay_Code &gt;= $V$4) * (pp_Sick_Pay_Code &gt;= $V$5) * (pp_Diff_Pay_Code &gt;= $V$6)))),0),_xlpm.perc,_xlpm.calc/E$69,IFERROR(IF(_xlpm.calc&gt;1000,_xlfn.CONCAT(TEXT(_xlpm.calc,"0,000")," (",TEXT(_xlpm.perc,"0.0%"),")"),_xlfn.CONCAT(_xlpm.calc," (",TEXT(_xlpm.perc,"0.0%"),")")),"-"))</f>
        <v>-</v>
      </c>
      <c r="F14" s="136" t="e">
        <f t="shared" si="1"/>
        <v>#NAME?</v>
      </c>
      <c r="G14" s="137" t="e">
        <f t="shared" si="2"/>
        <v>#NAME?</v>
      </c>
      <c r="H14" s="137" t="str" cm="1">
        <f t="array" ref="H14">IFERROR(AVERAGEIFS(Pay_Amount,Pay_Key_Gps,"*"&amp;$A$8&amp;"*",Pay_Code,$A14,pp_Hrs_Wkd_Pay_Code,"&gt;="&amp;$V$1,pp_OT_Pay_Code,"&gt;="&amp;$V$2,pp_Bon_Pay_Code,"&gt;="&amp;$V$3,pp_Meal_Pay_Code,"&gt;="&amp;$V$4,pp_Sick_Pay_Code,"&gt;="&amp;$V$5,pp_Diff_Pay_Code,"&gt;="&amp;$V$6),"-")</f>
        <v>-</v>
      </c>
      <c r="J14" s="133">
        <f t="shared" si="4"/>
        <v>0</v>
      </c>
      <c r="K14" s="138" t="e" cm="1">
        <f t="array" ref="K14">_xlfn.LET(_xlpm.calc,COUNTIFS(Rate_Gp,K$11,Pay_Key_Gps,"*"&amp;$A$8&amp;"*",Pay_Code,$A14,pp_Hrs_Wkd_Pay_Code,"&gt;="&amp;$V$1,pp_OT_Pay_Code,"&gt;="&amp;$V$2,pp_Bon_Pay_Code,"&gt;="&amp;$V$3,pp_Meal_Pay_Code,"&gt;="&amp;$V$4,pp_Sick_Pay_Code,"&gt;="&amp;$V$5,pp_Diff_Pay_Code,"&gt;="&amp;$V$6),_xlpm.calc2,COUNTIFS(Pay_Key_Gps,"*"&amp;$A$8&amp;"*",Pay_Code,$A14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14" s="138" t="e" cm="1">
        <f t="array" ref="L14">_xlfn.LET(_xlpm.calc,COUNTIFS(Rate_Gp,L$11,Pay_Key_Gps,"*"&amp;$A$8&amp;"*",Pay_Code,$A14,pp_Hrs_Wkd_Pay_Code,"&gt;="&amp;$V$1,pp_OT_Pay_Code,"&gt;="&amp;$V$2,pp_Bon_Pay_Code,"&gt;="&amp;$V$3,pp_Meal_Pay_Code,"&gt;="&amp;$V$4,pp_Sick_Pay_Code,"&gt;="&amp;$V$5,pp_Diff_Pay_Code,"&gt;="&amp;$V$6),_xlpm.calc2,COUNTIFS(Pay_Key_Gps,"*"&amp;$A$8&amp;"*",Pay_Code,$A14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14" s="138" t="e" cm="1">
        <f t="array" ref="M14">_xlfn.LET(_xlpm.calc,COUNTIFS(Rate_Gp,M$11,Pay_Key_Gps,"*"&amp;$A$8&amp;"*",Pay_Code,$A14,pp_Hrs_Wkd_Pay_Code,"&gt;="&amp;$V$1,pp_OT_Pay_Code,"&gt;="&amp;$V$2,pp_Bon_Pay_Code,"&gt;="&amp;$V$3,pp_Meal_Pay_Code,"&gt;="&amp;$V$4,pp_Sick_Pay_Code,"&gt;="&amp;$V$5,pp_Diff_Pay_Code,"&gt;="&amp;$V$6),_xlpm.calc2,COUNTIFS(Pay_Key_Gps,"*"&amp;$A$8&amp;"*",Pay_Code,$A14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14" s="138" t="e" cm="1">
        <f t="array" ref="N14">_xlfn.LET(_xlpm.calc,COUNTIFS(Rate_Gp,N$11,Pay_Key_Gps,"*"&amp;$A$8&amp;"*",Pay_Code,$A14,pp_Hrs_Wkd_Pay_Code,"&gt;="&amp;$V$1,pp_OT_Pay_Code,"&gt;="&amp;$V$2,pp_Bon_Pay_Code,"&gt;="&amp;$V$3,pp_Meal_Pay_Code,"&gt;="&amp;$V$4,pp_Sick_Pay_Code,"&gt;="&amp;$V$5,pp_Diff_Pay_Code,"&gt;="&amp;$V$6),_xlpm.calc2,COUNTIFS(Pay_Key_Gps,"*"&amp;$A$8&amp;"*",Pay_Code,$A14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14" s="138" t="e" cm="1">
        <f t="array" ref="O14">_xlfn.LET(_xlpm.calc,COUNTIFS(Rate_Gp,O$11,Pay_Key_Gps,"*"&amp;$A$8&amp;"*",Pay_Code,$A14,pp_Hrs_Wkd_Pay_Code,"&gt;="&amp;$V$1,pp_OT_Pay_Code,"&gt;="&amp;$V$2,pp_Bon_Pay_Code,"&gt;="&amp;$V$3,pp_Meal_Pay_Code,"&gt;="&amp;$V$4,pp_Sick_Pay_Code,"&gt;="&amp;$V$5,pp_Diff_Pay_Code,"&gt;="&amp;$V$6),_xlpm.calc2,COUNTIFS(Pay_Key_Gps,"*"&amp;$A$8&amp;"*",Pay_Code,$A14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14" s="138" t="e" cm="1">
        <f t="array" ref="P14">_xlfn.LET(_xlpm.calc,COUNTIFS(Rate_Gp,P$11,Pay_Key_Gps,"*"&amp;$A$8&amp;"*",Pay_Code,$A14,pp_Hrs_Wkd_Pay_Code,"&gt;="&amp;$V$1,pp_OT_Pay_Code,"&gt;="&amp;$V$2,pp_Bon_Pay_Code,"&gt;="&amp;$V$3,pp_Meal_Pay_Code,"&gt;="&amp;$V$4,pp_Sick_Pay_Code,"&gt;="&amp;$V$5,pp_Diff_Pay_Code,"&gt;="&amp;$V$6),_xlpm.calc2,COUNTIFS(Pay_Key_Gps,"*"&amp;$A$8&amp;"*",Pay_Code,$A14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14" s="138" t="e" cm="1">
        <f t="array" ref="Q14">_xlfn.LET(_xlpm.calc,COUNTIFS(Rate_Gp,Q$11,Pay_Key_Gps,"*"&amp;$A$8&amp;"*",Pay_Code,$A14,pp_Hrs_Wkd_Pay_Code,"&gt;="&amp;$V$1,pp_OT_Pay_Code,"&gt;="&amp;$V$2,pp_Bon_Pay_Code,"&gt;="&amp;$V$3,pp_Meal_Pay_Code,"&gt;="&amp;$V$4,pp_Sick_Pay_Code,"&gt;="&amp;$V$5,pp_Diff_Pay_Code,"&gt;="&amp;$V$6),_xlpm.calc2,COUNTIFS(Pay_Key_Gps,"*"&amp;$A$8&amp;"*",Pay_Code,$A14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14" s="138" t="e" cm="1">
        <f t="array" ref="R14">_xlfn.LET(_xlpm.calc,COUNTIFS(Rate_Gp,R$11,Pay_Key_Gps,"*"&amp;$A$8&amp;"*",Pay_Code,$A14,pp_Hrs_Wkd_Pay_Code,"&gt;="&amp;$V$1,pp_OT_Pay_Code,"&gt;="&amp;$V$2,pp_Bon_Pay_Code,"&gt;="&amp;$V$3,pp_Meal_Pay_Code,"&gt;="&amp;$V$4,pp_Sick_Pay_Code,"&gt;="&amp;$V$5,pp_Diff_Pay_Code,"&gt;="&amp;$V$6),_xlpm.calc2,COUNTIFS(Pay_Key_Gps,"*"&amp;$A$8&amp;"*",Pay_Code,$A14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14" s="138" t="e" cm="1">
        <f t="array" ref="S14">_xlfn.LET(_xlpm.calc,COUNTIFS(Rate_Gp,S$11,Pay_Key_Gps,"*"&amp;$A$8&amp;"*",Pay_Code,$A14,pp_Hrs_Wkd_Pay_Code,"&gt;="&amp;$V$1,pp_OT_Pay_Code,"&gt;="&amp;$V$2,pp_Bon_Pay_Code,"&gt;="&amp;$V$3,pp_Meal_Pay_Code,"&gt;="&amp;$V$4,pp_Sick_Pay_Code,"&gt;="&amp;$V$5,pp_Diff_Pay_Code,"&gt;="&amp;$V$6),_xlpm.calc2,COUNTIFS(Pay_Key_Gps,"*"&amp;$A$8&amp;"*",Pay_Code,$A14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14" s="138" t="e" cm="1">
        <f t="array" ref="T14">_xlfn.LET(_xlpm.calc,COUNTIFS(Rate_Gp,T$11,Pay_Key_Gps,"*"&amp;$A$8&amp;"*",Pay_Code,$A14,pp_Hrs_Wkd_Pay_Code,"&gt;="&amp;$V$1,pp_OT_Pay_Code,"&gt;="&amp;$V$2,pp_Bon_Pay_Code,"&gt;="&amp;$V$3,pp_Meal_Pay_Code,"&gt;="&amp;$V$4,pp_Sick_Pay_Code,"&gt;="&amp;$V$5,pp_Diff_Pay_Code,"&gt;="&amp;$V$6),_xlpm.calc2,COUNTIFS(Pay_Key_Gps,"*"&amp;$A$8&amp;"*",Pay_Code,$A14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14" s="139" t="e" cm="1">
        <f t="array" ref="U14">_xlfn.LET(_xlpm.calc,COUNTIFS(Pay_Key_Gps,"*"&amp;$A$8&amp;"*",Pay_Code,$A14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14" s="118"/>
      <c r="W14" s="118"/>
      <c r="X14" s="149"/>
      <c r="Y14" s="149"/>
      <c r="Z14" s="149"/>
      <c r="AA14" s="149"/>
      <c r="AB14" s="140" t="e">
        <f t="shared" si="3"/>
        <v>#NAME?</v>
      </c>
    </row>
    <row r="15" spans="1:28" s="122" customFormat="1" x14ac:dyDescent="0.25">
      <c r="A15" s="133"/>
      <c r="B15" s="134" t="e" cm="1">
        <f t="array" ref="B15">_xlfn.LET(_xlpm.calc,_xlfn.MINIFS(Pay_Period_End,Pay_Key_Gps,"*"&amp;$A$8&amp;"*",Pay_Code,$A15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15" s="134" t="e" cm="1">
        <f t="array" ref="C15">_xlfn.LET(_xlpm.calc,_xlfn.MAXIFS(Pay_Period_End,Pay_Key_Gps,"*"&amp;$A$8&amp;"*",Pay_Code,$A15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15" s="135" t="str" cm="1">
        <f t="array" ref="D15">_xlfn.LET(_xlpm.calc,IFERROR(ROWS(_xlfn.UNIQUE(_xlfn._xlws.FILTER(Pay_ID,(IFERROR(SEARCH($A$8,Pay_Key_Gps),0)&gt;0) * (Pay_Code=$A15) * (pp_Hrs_Wkd_Pay_Code &gt;= $V$1) * (pp_OT_Pay_Code &gt;= $V$2) * (pp_Bon_Pay_Code &gt;= $V$3) * (pp_Meal_Pay_Code &gt;= $V$4) * (pp_Sick_Pay_Code &gt;= $V$5) * (pp_Diff_Pay_Code &gt;= $V$6)))),0),_xlpm.perc,_xlpm.calc/D$69,IFERROR(IF(_xlpm.calc&gt;1000,_xlfn.CONCAT(TEXT(_xlpm.calc,"0,000")," (",TEXT(_xlpm.perc,"0.0%"),")"),_xlfn.CONCAT(_xlpm.calc," (",TEXT(_xlpm.perc,"0.0%"),")")),"-"))</f>
        <v>-</v>
      </c>
      <c r="E15" s="135" t="str" cm="1">
        <f t="array" ref="E15">_xlfn.LET(_xlpm.calc,IFERROR(ROWS(_xlfn.UNIQUE(_xlfn._xlws.FILTER(Pay_ID_Period_End,(IFERROR(SEARCH($A$8,Pay_Key_Gps),0)&gt;0) * (Pay_Code=$A15) * (pp_Hrs_Wkd_Pay_Code &gt;= $V$1) * (pp_OT_Pay_Code &gt;= $V$2) * (pp_Bon_Pay_Code &gt;= $V$3) * (pp_Meal_Pay_Code &gt;= $V$4) * (pp_Sick_Pay_Code &gt;= $V$5) * (pp_Diff_Pay_Code &gt;= $V$6)))),0),_xlpm.perc,_xlpm.calc/E$69,IFERROR(IF(_xlpm.calc&gt;1000,_xlfn.CONCAT(TEXT(_xlpm.calc,"0,000")," (",TEXT(_xlpm.perc,"0.0%"),")"),_xlfn.CONCAT(_xlpm.calc," (",TEXT(_xlpm.perc,"0.0%"),")")),"-"))</f>
        <v>-</v>
      </c>
      <c r="F15" s="136" t="e">
        <f t="shared" si="1"/>
        <v>#NAME?</v>
      </c>
      <c r="G15" s="137" t="e">
        <f t="shared" si="2"/>
        <v>#NAME?</v>
      </c>
      <c r="H15" s="137" t="str" cm="1">
        <f t="array" ref="H15">IFERROR(AVERAGEIFS(Pay_Amount,Pay_Key_Gps,"*"&amp;$A$8&amp;"*",Pay_Code,$A15,pp_Hrs_Wkd_Pay_Code,"&gt;="&amp;$V$1,pp_OT_Pay_Code,"&gt;="&amp;$V$2,pp_Bon_Pay_Code,"&gt;="&amp;$V$3,pp_Meal_Pay_Code,"&gt;="&amp;$V$4,pp_Sick_Pay_Code,"&gt;="&amp;$V$5,pp_Diff_Pay_Code,"&gt;="&amp;$V$6),"-")</f>
        <v>-</v>
      </c>
      <c r="J15" s="133">
        <f t="shared" si="4"/>
        <v>0</v>
      </c>
      <c r="K15" s="138" t="e" cm="1">
        <f t="array" ref="K15">_xlfn.LET(_xlpm.calc,COUNTIFS(Rate_Gp,K$11,Pay_Key_Gps,"*"&amp;$A$8&amp;"*",Pay_Code,$A15,pp_Hrs_Wkd_Pay_Code,"&gt;="&amp;$V$1,pp_OT_Pay_Code,"&gt;="&amp;$V$2,pp_Bon_Pay_Code,"&gt;="&amp;$V$3,pp_Meal_Pay_Code,"&gt;="&amp;$V$4,pp_Sick_Pay_Code,"&gt;="&amp;$V$5,pp_Diff_Pay_Code,"&gt;="&amp;$V$6),_xlpm.calc2,COUNTIFS(Pay_Key_Gps,"*"&amp;$A$8&amp;"*",Pay_Code,$A15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15" s="138" t="e" cm="1">
        <f t="array" ref="L15">_xlfn.LET(_xlpm.calc,COUNTIFS(Rate_Gp,L$11,Pay_Key_Gps,"*"&amp;$A$8&amp;"*",Pay_Code,$A15,pp_Hrs_Wkd_Pay_Code,"&gt;="&amp;$V$1,pp_OT_Pay_Code,"&gt;="&amp;$V$2,pp_Bon_Pay_Code,"&gt;="&amp;$V$3,pp_Meal_Pay_Code,"&gt;="&amp;$V$4,pp_Sick_Pay_Code,"&gt;="&amp;$V$5,pp_Diff_Pay_Code,"&gt;="&amp;$V$6),_xlpm.calc2,COUNTIFS(Pay_Key_Gps,"*"&amp;$A$8&amp;"*",Pay_Code,$A15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15" s="138" t="e" cm="1">
        <f t="array" ref="M15">_xlfn.LET(_xlpm.calc,COUNTIFS(Rate_Gp,M$11,Pay_Key_Gps,"*"&amp;$A$8&amp;"*",Pay_Code,$A15,pp_Hrs_Wkd_Pay_Code,"&gt;="&amp;$V$1,pp_OT_Pay_Code,"&gt;="&amp;$V$2,pp_Bon_Pay_Code,"&gt;="&amp;$V$3,pp_Meal_Pay_Code,"&gt;="&amp;$V$4,pp_Sick_Pay_Code,"&gt;="&amp;$V$5,pp_Diff_Pay_Code,"&gt;="&amp;$V$6),_xlpm.calc2,COUNTIFS(Pay_Key_Gps,"*"&amp;$A$8&amp;"*",Pay_Code,$A15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15" s="138" t="e" cm="1">
        <f t="array" ref="N15">_xlfn.LET(_xlpm.calc,COUNTIFS(Rate_Gp,N$11,Pay_Key_Gps,"*"&amp;$A$8&amp;"*",Pay_Code,$A15,pp_Hrs_Wkd_Pay_Code,"&gt;="&amp;$V$1,pp_OT_Pay_Code,"&gt;="&amp;$V$2,pp_Bon_Pay_Code,"&gt;="&amp;$V$3,pp_Meal_Pay_Code,"&gt;="&amp;$V$4,pp_Sick_Pay_Code,"&gt;="&amp;$V$5,pp_Diff_Pay_Code,"&gt;="&amp;$V$6),_xlpm.calc2,COUNTIFS(Pay_Key_Gps,"*"&amp;$A$8&amp;"*",Pay_Code,$A15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15" s="138" t="e" cm="1">
        <f t="array" ref="O15">_xlfn.LET(_xlpm.calc,COUNTIFS(Rate_Gp,O$11,Pay_Key_Gps,"*"&amp;$A$8&amp;"*",Pay_Code,$A15,pp_Hrs_Wkd_Pay_Code,"&gt;="&amp;$V$1,pp_OT_Pay_Code,"&gt;="&amp;$V$2,pp_Bon_Pay_Code,"&gt;="&amp;$V$3,pp_Meal_Pay_Code,"&gt;="&amp;$V$4,pp_Sick_Pay_Code,"&gt;="&amp;$V$5,pp_Diff_Pay_Code,"&gt;="&amp;$V$6),_xlpm.calc2,COUNTIFS(Pay_Key_Gps,"*"&amp;$A$8&amp;"*",Pay_Code,$A15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15" s="138" t="e" cm="1">
        <f t="array" ref="P15">_xlfn.LET(_xlpm.calc,COUNTIFS(Rate_Gp,P$11,Pay_Key_Gps,"*"&amp;$A$8&amp;"*",Pay_Code,$A15,pp_Hrs_Wkd_Pay_Code,"&gt;="&amp;$V$1,pp_OT_Pay_Code,"&gt;="&amp;$V$2,pp_Bon_Pay_Code,"&gt;="&amp;$V$3,pp_Meal_Pay_Code,"&gt;="&amp;$V$4,pp_Sick_Pay_Code,"&gt;="&amp;$V$5,pp_Diff_Pay_Code,"&gt;="&amp;$V$6),_xlpm.calc2,COUNTIFS(Pay_Key_Gps,"*"&amp;$A$8&amp;"*",Pay_Code,$A15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15" s="138" t="e" cm="1">
        <f t="array" ref="Q15">_xlfn.LET(_xlpm.calc,COUNTIFS(Rate_Gp,Q$11,Pay_Key_Gps,"*"&amp;$A$8&amp;"*",Pay_Code,$A15,pp_Hrs_Wkd_Pay_Code,"&gt;="&amp;$V$1,pp_OT_Pay_Code,"&gt;="&amp;$V$2,pp_Bon_Pay_Code,"&gt;="&amp;$V$3,pp_Meal_Pay_Code,"&gt;="&amp;$V$4,pp_Sick_Pay_Code,"&gt;="&amp;$V$5,pp_Diff_Pay_Code,"&gt;="&amp;$V$6),_xlpm.calc2,COUNTIFS(Pay_Key_Gps,"*"&amp;$A$8&amp;"*",Pay_Code,$A15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15" s="138" t="e" cm="1">
        <f t="array" ref="R15">_xlfn.LET(_xlpm.calc,COUNTIFS(Rate_Gp,R$11,Pay_Key_Gps,"*"&amp;$A$8&amp;"*",Pay_Code,$A15,pp_Hrs_Wkd_Pay_Code,"&gt;="&amp;$V$1,pp_OT_Pay_Code,"&gt;="&amp;$V$2,pp_Bon_Pay_Code,"&gt;="&amp;$V$3,pp_Meal_Pay_Code,"&gt;="&amp;$V$4,pp_Sick_Pay_Code,"&gt;="&amp;$V$5,pp_Diff_Pay_Code,"&gt;="&amp;$V$6),_xlpm.calc2,COUNTIFS(Pay_Key_Gps,"*"&amp;$A$8&amp;"*",Pay_Code,$A15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15" s="138" t="e" cm="1">
        <f t="array" ref="S15">_xlfn.LET(_xlpm.calc,COUNTIFS(Rate_Gp,S$11,Pay_Key_Gps,"*"&amp;$A$8&amp;"*",Pay_Code,$A15,pp_Hrs_Wkd_Pay_Code,"&gt;="&amp;$V$1,pp_OT_Pay_Code,"&gt;="&amp;$V$2,pp_Bon_Pay_Code,"&gt;="&amp;$V$3,pp_Meal_Pay_Code,"&gt;="&amp;$V$4,pp_Sick_Pay_Code,"&gt;="&amp;$V$5,pp_Diff_Pay_Code,"&gt;="&amp;$V$6),_xlpm.calc2,COUNTIFS(Pay_Key_Gps,"*"&amp;$A$8&amp;"*",Pay_Code,$A15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15" s="138" t="e" cm="1">
        <f t="array" ref="T15">_xlfn.LET(_xlpm.calc,COUNTIFS(Rate_Gp,T$11,Pay_Key_Gps,"*"&amp;$A$8&amp;"*",Pay_Code,$A15,pp_Hrs_Wkd_Pay_Code,"&gt;="&amp;$V$1,pp_OT_Pay_Code,"&gt;="&amp;$V$2,pp_Bon_Pay_Code,"&gt;="&amp;$V$3,pp_Meal_Pay_Code,"&gt;="&amp;$V$4,pp_Sick_Pay_Code,"&gt;="&amp;$V$5,pp_Diff_Pay_Code,"&gt;="&amp;$V$6),_xlpm.calc2,COUNTIFS(Pay_Key_Gps,"*"&amp;$A$8&amp;"*",Pay_Code,$A15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15" s="139" t="e" cm="1">
        <f t="array" ref="U15">_xlfn.LET(_xlpm.calc,COUNTIFS(Pay_Key_Gps,"*"&amp;$A$8&amp;"*",Pay_Code,$A15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15" s="118"/>
      <c r="W15" s="118"/>
      <c r="X15" s="149"/>
      <c r="Y15" s="149"/>
      <c r="Z15" s="149"/>
      <c r="AA15" s="149"/>
      <c r="AB15" s="140" t="e">
        <f t="shared" si="3"/>
        <v>#NAME?</v>
      </c>
    </row>
    <row r="16" spans="1:28" s="122" customFormat="1" x14ac:dyDescent="0.25">
      <c r="A16" s="133"/>
      <c r="B16" s="134" t="e" cm="1">
        <f t="array" ref="B16">_xlfn.LET(_xlpm.calc,_xlfn.MINIFS(Pay_Period_End,Pay_Key_Gps,"*"&amp;$A$8&amp;"*",Pay_Code,$A16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16" s="134" t="e" cm="1">
        <f t="array" ref="C16">_xlfn.LET(_xlpm.calc,_xlfn.MAXIFS(Pay_Period_End,Pay_Key_Gps,"*"&amp;$A$8&amp;"*",Pay_Code,$A16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16" s="135" t="str" cm="1">
        <f t="array" ref="D16">_xlfn.LET(_xlpm.calc,IFERROR(ROWS(_xlfn.UNIQUE(_xlfn._xlws.FILTER(Pay_ID,(IFERROR(SEARCH($A$8,Pay_Key_Gps),0)&gt;0) * (Pay_Code=$A16) * (pp_Hrs_Wkd_Pay_Code &gt;= $V$1) * (pp_OT_Pay_Code &gt;= $V$2) * (pp_Bon_Pay_Code &gt;= $V$3) * (pp_Meal_Pay_Code &gt;= $V$4) * (pp_Sick_Pay_Code &gt;= $V$5) * (pp_Diff_Pay_Code &gt;= $V$6)))),0),_xlpm.perc,_xlpm.calc/D$69,IFERROR(IF(_xlpm.calc&gt;1000,_xlfn.CONCAT(TEXT(_xlpm.calc,"0,000")," (",TEXT(_xlpm.perc,"0.0%"),")"),_xlfn.CONCAT(_xlpm.calc," (",TEXT(_xlpm.perc,"0.0%"),")")),"-"))</f>
        <v>-</v>
      </c>
      <c r="E16" s="135" t="str" cm="1">
        <f t="array" ref="E16">_xlfn.LET(_xlpm.calc,IFERROR(ROWS(_xlfn.UNIQUE(_xlfn._xlws.FILTER(Pay_ID_Period_End,(IFERROR(SEARCH($A$8,Pay_Key_Gps),0)&gt;0) * (Pay_Code=$A16) * (pp_Hrs_Wkd_Pay_Code &gt;= $V$1) * (pp_OT_Pay_Code &gt;= $V$2) * (pp_Bon_Pay_Code &gt;= $V$3) * (pp_Meal_Pay_Code &gt;= $V$4) * (pp_Sick_Pay_Code &gt;= $V$5) * (pp_Diff_Pay_Code &gt;= $V$6)))),0),_xlpm.perc,_xlpm.calc/E$69,IFERROR(IF(_xlpm.calc&gt;1000,_xlfn.CONCAT(TEXT(_xlpm.calc,"0,000")," (",TEXT(_xlpm.perc,"0.0%"),")"),_xlfn.CONCAT(_xlpm.calc," (",TEXT(_xlpm.perc,"0.0%"),")")),"-"))</f>
        <v>-</v>
      </c>
      <c r="F16" s="136" t="e">
        <f t="shared" si="1"/>
        <v>#NAME?</v>
      </c>
      <c r="G16" s="137" t="e">
        <f t="shared" si="2"/>
        <v>#NAME?</v>
      </c>
      <c r="H16" s="137" t="str" cm="1">
        <f t="array" ref="H16">IFERROR(AVERAGEIFS(Pay_Amount,Pay_Key_Gps,"*"&amp;$A$8&amp;"*",Pay_Code,$A16,pp_Hrs_Wkd_Pay_Code,"&gt;="&amp;$V$1,pp_OT_Pay_Code,"&gt;="&amp;$V$2,pp_Bon_Pay_Code,"&gt;="&amp;$V$3,pp_Meal_Pay_Code,"&gt;="&amp;$V$4,pp_Sick_Pay_Code,"&gt;="&amp;$V$5,pp_Diff_Pay_Code,"&gt;="&amp;$V$6),"-")</f>
        <v>-</v>
      </c>
      <c r="J16" s="133">
        <f t="shared" si="4"/>
        <v>0</v>
      </c>
      <c r="K16" s="138" t="e" cm="1">
        <f t="array" ref="K16">_xlfn.LET(_xlpm.calc,COUNTIFS(Rate_Gp,K$11,Pay_Key_Gps,"*"&amp;$A$8&amp;"*",Pay_Code,$A16,pp_Hrs_Wkd_Pay_Code,"&gt;="&amp;$V$1,pp_OT_Pay_Code,"&gt;="&amp;$V$2,pp_Bon_Pay_Code,"&gt;="&amp;$V$3,pp_Meal_Pay_Code,"&gt;="&amp;$V$4,pp_Sick_Pay_Code,"&gt;="&amp;$V$5,pp_Diff_Pay_Code,"&gt;="&amp;$V$6),_xlpm.calc2,COUNTIFS(Pay_Key_Gps,"*"&amp;$A$8&amp;"*",Pay_Code,$A16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16" s="138" t="e" cm="1">
        <f t="array" ref="L16">_xlfn.LET(_xlpm.calc,COUNTIFS(Rate_Gp,L$11,Pay_Key_Gps,"*"&amp;$A$8&amp;"*",Pay_Code,$A16,pp_Hrs_Wkd_Pay_Code,"&gt;="&amp;$V$1,pp_OT_Pay_Code,"&gt;="&amp;$V$2,pp_Bon_Pay_Code,"&gt;="&amp;$V$3,pp_Meal_Pay_Code,"&gt;="&amp;$V$4,pp_Sick_Pay_Code,"&gt;="&amp;$V$5,pp_Diff_Pay_Code,"&gt;="&amp;$V$6),_xlpm.calc2,COUNTIFS(Pay_Key_Gps,"*"&amp;$A$8&amp;"*",Pay_Code,$A16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16" s="138" t="e" cm="1">
        <f t="array" ref="M16">_xlfn.LET(_xlpm.calc,COUNTIFS(Rate_Gp,M$11,Pay_Key_Gps,"*"&amp;$A$8&amp;"*",Pay_Code,$A16,pp_Hrs_Wkd_Pay_Code,"&gt;="&amp;$V$1,pp_OT_Pay_Code,"&gt;="&amp;$V$2,pp_Bon_Pay_Code,"&gt;="&amp;$V$3,pp_Meal_Pay_Code,"&gt;="&amp;$V$4,pp_Sick_Pay_Code,"&gt;="&amp;$V$5,pp_Diff_Pay_Code,"&gt;="&amp;$V$6),_xlpm.calc2,COUNTIFS(Pay_Key_Gps,"*"&amp;$A$8&amp;"*",Pay_Code,$A16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16" s="138" t="e" cm="1">
        <f t="array" ref="N16">_xlfn.LET(_xlpm.calc,COUNTIFS(Rate_Gp,N$11,Pay_Key_Gps,"*"&amp;$A$8&amp;"*",Pay_Code,$A16,pp_Hrs_Wkd_Pay_Code,"&gt;="&amp;$V$1,pp_OT_Pay_Code,"&gt;="&amp;$V$2,pp_Bon_Pay_Code,"&gt;="&amp;$V$3,pp_Meal_Pay_Code,"&gt;="&amp;$V$4,pp_Sick_Pay_Code,"&gt;="&amp;$V$5,pp_Diff_Pay_Code,"&gt;="&amp;$V$6),_xlpm.calc2,COUNTIFS(Pay_Key_Gps,"*"&amp;$A$8&amp;"*",Pay_Code,$A16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16" s="138" t="e" cm="1">
        <f t="array" ref="O16">_xlfn.LET(_xlpm.calc,COUNTIFS(Rate_Gp,O$11,Pay_Key_Gps,"*"&amp;$A$8&amp;"*",Pay_Code,$A16,pp_Hrs_Wkd_Pay_Code,"&gt;="&amp;$V$1,pp_OT_Pay_Code,"&gt;="&amp;$V$2,pp_Bon_Pay_Code,"&gt;="&amp;$V$3,pp_Meal_Pay_Code,"&gt;="&amp;$V$4,pp_Sick_Pay_Code,"&gt;="&amp;$V$5,pp_Diff_Pay_Code,"&gt;="&amp;$V$6),_xlpm.calc2,COUNTIFS(Pay_Key_Gps,"*"&amp;$A$8&amp;"*",Pay_Code,$A16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16" s="138" t="e" cm="1">
        <f t="array" ref="P16">_xlfn.LET(_xlpm.calc,COUNTIFS(Rate_Gp,P$11,Pay_Key_Gps,"*"&amp;$A$8&amp;"*",Pay_Code,$A16,pp_Hrs_Wkd_Pay_Code,"&gt;="&amp;$V$1,pp_OT_Pay_Code,"&gt;="&amp;$V$2,pp_Bon_Pay_Code,"&gt;="&amp;$V$3,pp_Meal_Pay_Code,"&gt;="&amp;$V$4,pp_Sick_Pay_Code,"&gt;="&amp;$V$5,pp_Diff_Pay_Code,"&gt;="&amp;$V$6),_xlpm.calc2,COUNTIFS(Pay_Key_Gps,"*"&amp;$A$8&amp;"*",Pay_Code,$A16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16" s="138" t="e" cm="1">
        <f t="array" ref="Q16">_xlfn.LET(_xlpm.calc,COUNTIFS(Rate_Gp,Q$11,Pay_Key_Gps,"*"&amp;$A$8&amp;"*",Pay_Code,$A16,pp_Hrs_Wkd_Pay_Code,"&gt;="&amp;$V$1,pp_OT_Pay_Code,"&gt;="&amp;$V$2,pp_Bon_Pay_Code,"&gt;="&amp;$V$3,pp_Meal_Pay_Code,"&gt;="&amp;$V$4,pp_Sick_Pay_Code,"&gt;="&amp;$V$5,pp_Diff_Pay_Code,"&gt;="&amp;$V$6),_xlpm.calc2,COUNTIFS(Pay_Key_Gps,"*"&amp;$A$8&amp;"*",Pay_Code,$A16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16" s="138" t="e" cm="1">
        <f t="array" ref="R16">_xlfn.LET(_xlpm.calc,COUNTIFS(Rate_Gp,R$11,Pay_Key_Gps,"*"&amp;$A$8&amp;"*",Pay_Code,$A16,pp_Hrs_Wkd_Pay_Code,"&gt;="&amp;$V$1,pp_OT_Pay_Code,"&gt;="&amp;$V$2,pp_Bon_Pay_Code,"&gt;="&amp;$V$3,pp_Meal_Pay_Code,"&gt;="&amp;$V$4,pp_Sick_Pay_Code,"&gt;="&amp;$V$5,pp_Diff_Pay_Code,"&gt;="&amp;$V$6),_xlpm.calc2,COUNTIFS(Pay_Key_Gps,"*"&amp;$A$8&amp;"*",Pay_Code,$A16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16" s="138" t="e" cm="1">
        <f t="array" ref="S16">_xlfn.LET(_xlpm.calc,COUNTIFS(Rate_Gp,S$11,Pay_Key_Gps,"*"&amp;$A$8&amp;"*",Pay_Code,$A16,pp_Hrs_Wkd_Pay_Code,"&gt;="&amp;$V$1,pp_OT_Pay_Code,"&gt;="&amp;$V$2,pp_Bon_Pay_Code,"&gt;="&amp;$V$3,pp_Meal_Pay_Code,"&gt;="&amp;$V$4,pp_Sick_Pay_Code,"&gt;="&amp;$V$5,pp_Diff_Pay_Code,"&gt;="&amp;$V$6),_xlpm.calc2,COUNTIFS(Pay_Key_Gps,"*"&amp;$A$8&amp;"*",Pay_Code,$A16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16" s="138" t="e" cm="1">
        <f t="array" ref="T16">_xlfn.LET(_xlpm.calc,COUNTIFS(Rate_Gp,T$11,Pay_Key_Gps,"*"&amp;$A$8&amp;"*",Pay_Code,$A16,pp_Hrs_Wkd_Pay_Code,"&gt;="&amp;$V$1,pp_OT_Pay_Code,"&gt;="&amp;$V$2,pp_Bon_Pay_Code,"&gt;="&amp;$V$3,pp_Meal_Pay_Code,"&gt;="&amp;$V$4,pp_Sick_Pay_Code,"&gt;="&amp;$V$5,pp_Diff_Pay_Code,"&gt;="&amp;$V$6),_xlpm.calc2,COUNTIFS(Pay_Key_Gps,"*"&amp;$A$8&amp;"*",Pay_Code,$A16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16" s="139" t="e" cm="1">
        <f t="array" ref="U16">_xlfn.LET(_xlpm.calc,COUNTIFS(Pay_Key_Gps,"*"&amp;$A$8&amp;"*",Pay_Code,$A16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16" s="118"/>
      <c r="W16" s="118"/>
      <c r="X16" s="149"/>
      <c r="Y16" s="149"/>
      <c r="Z16" s="149"/>
      <c r="AA16" s="149"/>
      <c r="AB16" s="140" t="e">
        <f t="shared" si="3"/>
        <v>#NAME?</v>
      </c>
    </row>
    <row r="17" spans="1:28" s="122" customFormat="1" x14ac:dyDescent="0.25">
      <c r="A17" s="133"/>
      <c r="B17" s="134" t="e" cm="1">
        <f t="array" ref="B17">_xlfn.LET(_xlpm.calc,_xlfn.MINIFS(Pay_Period_End,Pay_Key_Gps,"*"&amp;$A$8&amp;"*",Pay_Code,$A17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17" s="134" t="e" cm="1">
        <f t="array" ref="C17">_xlfn.LET(_xlpm.calc,_xlfn.MAXIFS(Pay_Period_End,Pay_Key_Gps,"*"&amp;$A$8&amp;"*",Pay_Code,$A17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17" s="135" t="str" cm="1">
        <f t="array" ref="D17">_xlfn.LET(_xlpm.calc,IFERROR(ROWS(_xlfn.UNIQUE(_xlfn._xlws.FILTER(Pay_ID,(IFERROR(SEARCH($A$8,Pay_Key_Gps),0)&gt;0) * (Pay_Code=$A17) * (pp_Hrs_Wkd_Pay_Code &gt;= $V$1) * (pp_OT_Pay_Code &gt;= $V$2) * (pp_Bon_Pay_Code &gt;= $V$3) * (pp_Meal_Pay_Code &gt;= $V$4) * (pp_Sick_Pay_Code &gt;= $V$5) * (pp_Diff_Pay_Code &gt;= $V$6)))),0),_xlpm.perc,_xlpm.calc/D$69,IFERROR(IF(_xlpm.calc&gt;1000,_xlfn.CONCAT(TEXT(_xlpm.calc,"0,000")," (",TEXT(_xlpm.perc,"0.0%"),")"),_xlfn.CONCAT(_xlpm.calc," (",TEXT(_xlpm.perc,"0.0%"),")")),"-"))</f>
        <v>-</v>
      </c>
      <c r="E17" s="135" t="str" cm="1">
        <f t="array" ref="E17">_xlfn.LET(_xlpm.calc,IFERROR(ROWS(_xlfn.UNIQUE(_xlfn._xlws.FILTER(Pay_ID_Period_End,(IFERROR(SEARCH($A$8,Pay_Key_Gps),0)&gt;0) * (Pay_Code=$A17) * (pp_Hrs_Wkd_Pay_Code &gt;= $V$1) * (pp_OT_Pay_Code &gt;= $V$2) * (pp_Bon_Pay_Code &gt;= $V$3) * (pp_Meal_Pay_Code &gt;= $V$4) * (pp_Sick_Pay_Code &gt;= $V$5) * (pp_Diff_Pay_Code &gt;= $V$6)))),0),_xlpm.perc,_xlpm.calc/E$69,IFERROR(IF(_xlpm.calc&gt;1000,_xlfn.CONCAT(TEXT(_xlpm.calc,"0,000")," (",TEXT(_xlpm.perc,"0.0%"),")"),_xlfn.CONCAT(_xlpm.calc," (",TEXT(_xlpm.perc,"0.0%"),")")),"-"))</f>
        <v>-</v>
      </c>
      <c r="F17" s="136" t="e">
        <f t="shared" si="1"/>
        <v>#NAME?</v>
      </c>
      <c r="G17" s="137" t="e">
        <f t="shared" si="2"/>
        <v>#NAME?</v>
      </c>
      <c r="H17" s="137" t="str" cm="1">
        <f t="array" ref="H17">IFERROR(AVERAGEIFS(Pay_Amount,Pay_Key_Gps,"*"&amp;$A$8&amp;"*",Pay_Code,$A17,pp_Hrs_Wkd_Pay_Code,"&gt;="&amp;$V$1,pp_OT_Pay_Code,"&gt;="&amp;$V$2,pp_Bon_Pay_Code,"&gt;="&amp;$V$3,pp_Meal_Pay_Code,"&gt;="&amp;$V$4,pp_Sick_Pay_Code,"&gt;="&amp;$V$5,pp_Diff_Pay_Code,"&gt;="&amp;$V$6),"-")</f>
        <v>-</v>
      </c>
      <c r="J17" s="133">
        <f t="shared" si="4"/>
        <v>0</v>
      </c>
      <c r="K17" s="138" t="e" cm="1">
        <f t="array" ref="K17">_xlfn.LET(_xlpm.calc,COUNTIFS(Rate_Gp,K$11,Pay_Key_Gps,"*"&amp;$A$8&amp;"*",Pay_Code,$A17,pp_Hrs_Wkd_Pay_Code,"&gt;="&amp;$V$1,pp_OT_Pay_Code,"&gt;="&amp;$V$2,pp_Bon_Pay_Code,"&gt;="&amp;$V$3,pp_Meal_Pay_Code,"&gt;="&amp;$V$4,pp_Sick_Pay_Code,"&gt;="&amp;$V$5,pp_Diff_Pay_Code,"&gt;="&amp;$V$6),_xlpm.calc2,COUNTIFS(Pay_Key_Gps,"*"&amp;$A$8&amp;"*",Pay_Code,$A17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17" s="138" t="e" cm="1">
        <f t="array" ref="L17">_xlfn.LET(_xlpm.calc,COUNTIFS(Rate_Gp,L$11,Pay_Key_Gps,"*"&amp;$A$8&amp;"*",Pay_Code,$A17,pp_Hrs_Wkd_Pay_Code,"&gt;="&amp;$V$1,pp_OT_Pay_Code,"&gt;="&amp;$V$2,pp_Bon_Pay_Code,"&gt;="&amp;$V$3,pp_Meal_Pay_Code,"&gt;="&amp;$V$4,pp_Sick_Pay_Code,"&gt;="&amp;$V$5,pp_Diff_Pay_Code,"&gt;="&amp;$V$6),_xlpm.calc2,COUNTIFS(Pay_Key_Gps,"*"&amp;$A$8&amp;"*",Pay_Code,$A17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17" s="138" t="e" cm="1">
        <f t="array" ref="M17">_xlfn.LET(_xlpm.calc,COUNTIFS(Rate_Gp,M$11,Pay_Key_Gps,"*"&amp;$A$8&amp;"*",Pay_Code,$A17,pp_Hrs_Wkd_Pay_Code,"&gt;="&amp;$V$1,pp_OT_Pay_Code,"&gt;="&amp;$V$2,pp_Bon_Pay_Code,"&gt;="&amp;$V$3,pp_Meal_Pay_Code,"&gt;="&amp;$V$4,pp_Sick_Pay_Code,"&gt;="&amp;$V$5,pp_Diff_Pay_Code,"&gt;="&amp;$V$6),_xlpm.calc2,COUNTIFS(Pay_Key_Gps,"*"&amp;$A$8&amp;"*",Pay_Code,$A17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17" s="138" t="e" cm="1">
        <f t="array" ref="N17">_xlfn.LET(_xlpm.calc,COUNTIFS(Rate_Gp,N$11,Pay_Key_Gps,"*"&amp;$A$8&amp;"*",Pay_Code,$A17,pp_Hrs_Wkd_Pay_Code,"&gt;="&amp;$V$1,pp_OT_Pay_Code,"&gt;="&amp;$V$2,pp_Bon_Pay_Code,"&gt;="&amp;$V$3,pp_Meal_Pay_Code,"&gt;="&amp;$V$4,pp_Sick_Pay_Code,"&gt;="&amp;$V$5,pp_Diff_Pay_Code,"&gt;="&amp;$V$6),_xlpm.calc2,COUNTIFS(Pay_Key_Gps,"*"&amp;$A$8&amp;"*",Pay_Code,$A17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17" s="138" t="e" cm="1">
        <f t="array" ref="O17">_xlfn.LET(_xlpm.calc,COUNTIFS(Rate_Gp,O$11,Pay_Key_Gps,"*"&amp;$A$8&amp;"*",Pay_Code,$A17,pp_Hrs_Wkd_Pay_Code,"&gt;="&amp;$V$1,pp_OT_Pay_Code,"&gt;="&amp;$V$2,pp_Bon_Pay_Code,"&gt;="&amp;$V$3,pp_Meal_Pay_Code,"&gt;="&amp;$V$4,pp_Sick_Pay_Code,"&gt;="&amp;$V$5,pp_Diff_Pay_Code,"&gt;="&amp;$V$6),_xlpm.calc2,COUNTIFS(Pay_Key_Gps,"*"&amp;$A$8&amp;"*",Pay_Code,$A17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17" s="138" t="e" cm="1">
        <f t="array" ref="P17">_xlfn.LET(_xlpm.calc,COUNTIFS(Rate_Gp,P$11,Pay_Key_Gps,"*"&amp;$A$8&amp;"*",Pay_Code,$A17,pp_Hrs_Wkd_Pay_Code,"&gt;="&amp;$V$1,pp_OT_Pay_Code,"&gt;="&amp;$V$2,pp_Bon_Pay_Code,"&gt;="&amp;$V$3,pp_Meal_Pay_Code,"&gt;="&amp;$V$4,pp_Sick_Pay_Code,"&gt;="&amp;$V$5,pp_Diff_Pay_Code,"&gt;="&amp;$V$6),_xlpm.calc2,COUNTIFS(Pay_Key_Gps,"*"&amp;$A$8&amp;"*",Pay_Code,$A17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17" s="138" t="e" cm="1">
        <f t="array" ref="Q17">_xlfn.LET(_xlpm.calc,COUNTIFS(Rate_Gp,Q$11,Pay_Key_Gps,"*"&amp;$A$8&amp;"*",Pay_Code,$A17,pp_Hrs_Wkd_Pay_Code,"&gt;="&amp;$V$1,pp_OT_Pay_Code,"&gt;="&amp;$V$2,pp_Bon_Pay_Code,"&gt;="&amp;$V$3,pp_Meal_Pay_Code,"&gt;="&amp;$V$4,pp_Sick_Pay_Code,"&gt;="&amp;$V$5,pp_Diff_Pay_Code,"&gt;="&amp;$V$6),_xlpm.calc2,COUNTIFS(Pay_Key_Gps,"*"&amp;$A$8&amp;"*",Pay_Code,$A17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17" s="138" t="e" cm="1">
        <f t="array" ref="R17">_xlfn.LET(_xlpm.calc,COUNTIFS(Rate_Gp,R$11,Pay_Key_Gps,"*"&amp;$A$8&amp;"*",Pay_Code,$A17,pp_Hrs_Wkd_Pay_Code,"&gt;="&amp;$V$1,pp_OT_Pay_Code,"&gt;="&amp;$V$2,pp_Bon_Pay_Code,"&gt;="&amp;$V$3,pp_Meal_Pay_Code,"&gt;="&amp;$V$4,pp_Sick_Pay_Code,"&gt;="&amp;$V$5,pp_Diff_Pay_Code,"&gt;="&amp;$V$6),_xlpm.calc2,COUNTIFS(Pay_Key_Gps,"*"&amp;$A$8&amp;"*",Pay_Code,$A17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17" s="138" t="e" cm="1">
        <f t="array" ref="S17">_xlfn.LET(_xlpm.calc,COUNTIFS(Rate_Gp,S$11,Pay_Key_Gps,"*"&amp;$A$8&amp;"*",Pay_Code,$A17,pp_Hrs_Wkd_Pay_Code,"&gt;="&amp;$V$1,pp_OT_Pay_Code,"&gt;="&amp;$V$2,pp_Bon_Pay_Code,"&gt;="&amp;$V$3,pp_Meal_Pay_Code,"&gt;="&amp;$V$4,pp_Sick_Pay_Code,"&gt;="&amp;$V$5,pp_Diff_Pay_Code,"&gt;="&amp;$V$6),_xlpm.calc2,COUNTIFS(Pay_Key_Gps,"*"&amp;$A$8&amp;"*",Pay_Code,$A17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17" s="138" t="e" cm="1">
        <f t="array" ref="T17">_xlfn.LET(_xlpm.calc,COUNTIFS(Rate_Gp,T$11,Pay_Key_Gps,"*"&amp;$A$8&amp;"*",Pay_Code,$A17,pp_Hrs_Wkd_Pay_Code,"&gt;="&amp;$V$1,pp_OT_Pay_Code,"&gt;="&amp;$V$2,pp_Bon_Pay_Code,"&gt;="&amp;$V$3,pp_Meal_Pay_Code,"&gt;="&amp;$V$4,pp_Sick_Pay_Code,"&gt;="&amp;$V$5,pp_Diff_Pay_Code,"&gt;="&amp;$V$6),_xlpm.calc2,COUNTIFS(Pay_Key_Gps,"*"&amp;$A$8&amp;"*",Pay_Code,$A17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17" s="139" t="e" cm="1">
        <f t="array" ref="U17">_xlfn.LET(_xlpm.calc,COUNTIFS(Pay_Key_Gps,"*"&amp;$A$8&amp;"*",Pay_Code,$A17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17" s="118"/>
      <c r="W17" s="118"/>
      <c r="X17" s="149"/>
      <c r="Y17" s="149"/>
      <c r="Z17" s="149"/>
      <c r="AA17" s="149"/>
      <c r="AB17" s="140" t="e">
        <f t="shared" si="3"/>
        <v>#NAME?</v>
      </c>
    </row>
    <row r="18" spans="1:28" s="122" customFormat="1" x14ac:dyDescent="0.25">
      <c r="A18" s="133"/>
      <c r="B18" s="134" t="e" cm="1">
        <f t="array" ref="B18">_xlfn.LET(_xlpm.calc,_xlfn.MINIFS(Pay_Period_End,Pay_Key_Gps,"*"&amp;$A$8&amp;"*",Pay_Code,$A18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18" s="134" t="e" cm="1">
        <f t="array" ref="C18">_xlfn.LET(_xlpm.calc,_xlfn.MAXIFS(Pay_Period_End,Pay_Key_Gps,"*"&amp;$A$8&amp;"*",Pay_Code,$A18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18" s="135" t="str" cm="1">
        <f t="array" ref="D18">_xlfn.LET(_xlpm.calc,IFERROR(ROWS(_xlfn.UNIQUE(_xlfn._xlws.FILTER(Pay_ID,(IFERROR(SEARCH($A$8,Pay_Key_Gps),0)&gt;0) * (Pay_Code=$A18) * (pp_Hrs_Wkd_Pay_Code &gt;= $V$1) * (pp_OT_Pay_Code &gt;= $V$2) * (pp_Bon_Pay_Code &gt;= $V$3) * (pp_Meal_Pay_Code &gt;= $V$4) * (pp_Sick_Pay_Code &gt;= $V$5) * (pp_Diff_Pay_Code &gt;= $V$6)))),0),_xlpm.perc,_xlpm.calc/D$69,IFERROR(IF(_xlpm.calc&gt;1000,_xlfn.CONCAT(TEXT(_xlpm.calc,"0,000")," (",TEXT(_xlpm.perc,"0.0%"),")"),_xlfn.CONCAT(_xlpm.calc," (",TEXT(_xlpm.perc,"0.0%"),")")),"-"))</f>
        <v>-</v>
      </c>
      <c r="E18" s="135" t="str" cm="1">
        <f t="array" ref="E18">_xlfn.LET(_xlpm.calc,IFERROR(ROWS(_xlfn.UNIQUE(_xlfn._xlws.FILTER(Pay_ID_Period_End,(IFERROR(SEARCH($A$8,Pay_Key_Gps),0)&gt;0) * (Pay_Code=$A18) * (pp_Hrs_Wkd_Pay_Code &gt;= $V$1) * (pp_OT_Pay_Code &gt;= $V$2) * (pp_Bon_Pay_Code &gt;= $V$3) * (pp_Meal_Pay_Code &gt;= $V$4) * (pp_Sick_Pay_Code &gt;= $V$5) * (pp_Diff_Pay_Code &gt;= $V$6)))),0),_xlpm.perc,_xlpm.calc/E$69,IFERROR(IF(_xlpm.calc&gt;1000,_xlfn.CONCAT(TEXT(_xlpm.calc,"0,000")," (",TEXT(_xlpm.perc,"0.0%"),")"),_xlfn.CONCAT(_xlpm.calc," (",TEXT(_xlpm.perc,"0.0%"),")")),"-"))</f>
        <v>-</v>
      </c>
      <c r="F18" s="136" t="e">
        <f t="shared" si="1"/>
        <v>#NAME?</v>
      </c>
      <c r="G18" s="137" t="e">
        <f t="shared" si="2"/>
        <v>#NAME?</v>
      </c>
      <c r="H18" s="137" t="str" cm="1">
        <f t="array" ref="H18">IFERROR(AVERAGEIFS(Pay_Amount,Pay_Key_Gps,"*"&amp;$A$8&amp;"*",Pay_Code,$A18,pp_Hrs_Wkd_Pay_Code,"&gt;="&amp;$V$1,pp_OT_Pay_Code,"&gt;="&amp;$V$2,pp_Bon_Pay_Code,"&gt;="&amp;$V$3,pp_Meal_Pay_Code,"&gt;="&amp;$V$4,pp_Sick_Pay_Code,"&gt;="&amp;$V$5,pp_Diff_Pay_Code,"&gt;="&amp;$V$6),"-")</f>
        <v>-</v>
      </c>
      <c r="J18" s="133">
        <f t="shared" si="4"/>
        <v>0</v>
      </c>
      <c r="K18" s="138" t="e" cm="1">
        <f t="array" ref="K18">_xlfn.LET(_xlpm.calc,COUNTIFS(Rate_Gp,K$11,Pay_Key_Gps,"*"&amp;$A$8&amp;"*",Pay_Code,$A18,pp_Hrs_Wkd_Pay_Code,"&gt;="&amp;$V$1,pp_OT_Pay_Code,"&gt;="&amp;$V$2,pp_Bon_Pay_Code,"&gt;="&amp;$V$3,pp_Meal_Pay_Code,"&gt;="&amp;$V$4,pp_Sick_Pay_Code,"&gt;="&amp;$V$5,pp_Diff_Pay_Code,"&gt;="&amp;$V$6),_xlpm.calc2,COUNTIFS(Pay_Key_Gps,"*"&amp;$A$8&amp;"*",Pay_Code,$A18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18" s="138" t="e" cm="1">
        <f t="array" ref="L18">_xlfn.LET(_xlpm.calc,COUNTIFS(Rate_Gp,L$11,Pay_Key_Gps,"*"&amp;$A$8&amp;"*",Pay_Code,$A18,pp_Hrs_Wkd_Pay_Code,"&gt;="&amp;$V$1,pp_OT_Pay_Code,"&gt;="&amp;$V$2,pp_Bon_Pay_Code,"&gt;="&amp;$V$3,pp_Meal_Pay_Code,"&gt;="&amp;$V$4,pp_Sick_Pay_Code,"&gt;="&amp;$V$5,pp_Diff_Pay_Code,"&gt;="&amp;$V$6),_xlpm.calc2,COUNTIFS(Pay_Key_Gps,"*"&amp;$A$8&amp;"*",Pay_Code,$A18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18" s="138" t="e" cm="1">
        <f t="array" ref="M18">_xlfn.LET(_xlpm.calc,COUNTIFS(Rate_Gp,M$11,Pay_Key_Gps,"*"&amp;$A$8&amp;"*",Pay_Code,$A18,pp_Hrs_Wkd_Pay_Code,"&gt;="&amp;$V$1,pp_OT_Pay_Code,"&gt;="&amp;$V$2,pp_Bon_Pay_Code,"&gt;="&amp;$V$3,pp_Meal_Pay_Code,"&gt;="&amp;$V$4,pp_Sick_Pay_Code,"&gt;="&amp;$V$5,pp_Diff_Pay_Code,"&gt;="&amp;$V$6),_xlpm.calc2,COUNTIFS(Pay_Key_Gps,"*"&amp;$A$8&amp;"*",Pay_Code,$A18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18" s="138" t="e" cm="1">
        <f t="array" ref="N18">_xlfn.LET(_xlpm.calc,COUNTIFS(Rate_Gp,N$11,Pay_Key_Gps,"*"&amp;$A$8&amp;"*",Pay_Code,$A18,pp_Hrs_Wkd_Pay_Code,"&gt;="&amp;$V$1,pp_OT_Pay_Code,"&gt;="&amp;$V$2,pp_Bon_Pay_Code,"&gt;="&amp;$V$3,pp_Meal_Pay_Code,"&gt;="&amp;$V$4,pp_Sick_Pay_Code,"&gt;="&amp;$V$5,pp_Diff_Pay_Code,"&gt;="&amp;$V$6),_xlpm.calc2,COUNTIFS(Pay_Key_Gps,"*"&amp;$A$8&amp;"*",Pay_Code,$A18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18" s="138" t="e" cm="1">
        <f t="array" ref="O18">_xlfn.LET(_xlpm.calc,COUNTIFS(Rate_Gp,O$11,Pay_Key_Gps,"*"&amp;$A$8&amp;"*",Pay_Code,$A18,pp_Hrs_Wkd_Pay_Code,"&gt;="&amp;$V$1,pp_OT_Pay_Code,"&gt;="&amp;$V$2,pp_Bon_Pay_Code,"&gt;="&amp;$V$3,pp_Meal_Pay_Code,"&gt;="&amp;$V$4,pp_Sick_Pay_Code,"&gt;="&amp;$V$5,pp_Diff_Pay_Code,"&gt;="&amp;$V$6),_xlpm.calc2,COUNTIFS(Pay_Key_Gps,"*"&amp;$A$8&amp;"*",Pay_Code,$A18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18" s="138" t="e" cm="1">
        <f t="array" ref="P18">_xlfn.LET(_xlpm.calc,COUNTIFS(Rate_Gp,P$11,Pay_Key_Gps,"*"&amp;$A$8&amp;"*",Pay_Code,$A18,pp_Hrs_Wkd_Pay_Code,"&gt;="&amp;$V$1,pp_OT_Pay_Code,"&gt;="&amp;$V$2,pp_Bon_Pay_Code,"&gt;="&amp;$V$3,pp_Meal_Pay_Code,"&gt;="&amp;$V$4,pp_Sick_Pay_Code,"&gt;="&amp;$V$5,pp_Diff_Pay_Code,"&gt;="&amp;$V$6),_xlpm.calc2,COUNTIFS(Pay_Key_Gps,"*"&amp;$A$8&amp;"*",Pay_Code,$A18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18" s="138" t="e" cm="1">
        <f t="array" ref="Q18">_xlfn.LET(_xlpm.calc,COUNTIFS(Rate_Gp,Q$11,Pay_Key_Gps,"*"&amp;$A$8&amp;"*",Pay_Code,$A18,pp_Hrs_Wkd_Pay_Code,"&gt;="&amp;$V$1,pp_OT_Pay_Code,"&gt;="&amp;$V$2,pp_Bon_Pay_Code,"&gt;="&amp;$V$3,pp_Meal_Pay_Code,"&gt;="&amp;$V$4,pp_Sick_Pay_Code,"&gt;="&amp;$V$5,pp_Diff_Pay_Code,"&gt;="&amp;$V$6),_xlpm.calc2,COUNTIFS(Pay_Key_Gps,"*"&amp;$A$8&amp;"*",Pay_Code,$A18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18" s="138" t="e" cm="1">
        <f t="array" ref="R18">_xlfn.LET(_xlpm.calc,COUNTIFS(Rate_Gp,R$11,Pay_Key_Gps,"*"&amp;$A$8&amp;"*",Pay_Code,$A18,pp_Hrs_Wkd_Pay_Code,"&gt;="&amp;$V$1,pp_OT_Pay_Code,"&gt;="&amp;$V$2,pp_Bon_Pay_Code,"&gt;="&amp;$V$3,pp_Meal_Pay_Code,"&gt;="&amp;$V$4,pp_Sick_Pay_Code,"&gt;="&amp;$V$5,pp_Diff_Pay_Code,"&gt;="&amp;$V$6),_xlpm.calc2,COUNTIFS(Pay_Key_Gps,"*"&amp;$A$8&amp;"*",Pay_Code,$A18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18" s="138" t="e" cm="1">
        <f t="array" ref="S18">_xlfn.LET(_xlpm.calc,COUNTIFS(Rate_Gp,S$11,Pay_Key_Gps,"*"&amp;$A$8&amp;"*",Pay_Code,$A18,pp_Hrs_Wkd_Pay_Code,"&gt;="&amp;$V$1,pp_OT_Pay_Code,"&gt;="&amp;$V$2,pp_Bon_Pay_Code,"&gt;="&amp;$V$3,pp_Meal_Pay_Code,"&gt;="&amp;$V$4,pp_Sick_Pay_Code,"&gt;="&amp;$V$5,pp_Diff_Pay_Code,"&gt;="&amp;$V$6),_xlpm.calc2,COUNTIFS(Pay_Key_Gps,"*"&amp;$A$8&amp;"*",Pay_Code,$A18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18" s="138" t="e" cm="1">
        <f t="array" ref="T18">_xlfn.LET(_xlpm.calc,COUNTIFS(Rate_Gp,T$11,Pay_Key_Gps,"*"&amp;$A$8&amp;"*",Pay_Code,$A18,pp_Hrs_Wkd_Pay_Code,"&gt;="&amp;$V$1,pp_OT_Pay_Code,"&gt;="&amp;$V$2,pp_Bon_Pay_Code,"&gt;="&amp;$V$3,pp_Meal_Pay_Code,"&gt;="&amp;$V$4,pp_Sick_Pay_Code,"&gt;="&amp;$V$5,pp_Diff_Pay_Code,"&gt;="&amp;$V$6),_xlpm.calc2,COUNTIFS(Pay_Key_Gps,"*"&amp;$A$8&amp;"*",Pay_Code,$A18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18" s="139" t="e" cm="1">
        <f t="array" ref="U18">_xlfn.LET(_xlpm.calc,COUNTIFS(Pay_Key_Gps,"*"&amp;$A$8&amp;"*",Pay_Code,$A18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18" s="118"/>
      <c r="W18" s="118"/>
      <c r="X18" s="149"/>
      <c r="Y18" s="149"/>
      <c r="Z18" s="149"/>
      <c r="AA18" s="149"/>
      <c r="AB18" s="140" t="e">
        <f t="shared" si="3"/>
        <v>#NAME?</v>
      </c>
    </row>
    <row r="19" spans="1:28" s="122" customFormat="1" x14ac:dyDescent="0.25">
      <c r="A19" s="133"/>
      <c r="B19" s="134" t="e" cm="1">
        <f t="array" ref="B19">_xlfn.LET(_xlpm.calc,_xlfn.MINIFS(Pay_Period_End,Pay_Key_Gps,"*"&amp;$A$8&amp;"*",Pay_Code,$A19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19" s="134" t="e" cm="1">
        <f t="array" ref="C19">_xlfn.LET(_xlpm.calc,_xlfn.MAXIFS(Pay_Period_End,Pay_Key_Gps,"*"&amp;$A$8&amp;"*",Pay_Code,$A19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19" s="135" t="str" cm="1">
        <f t="array" ref="D19">_xlfn.LET(_xlpm.calc,IFERROR(ROWS(_xlfn.UNIQUE(_xlfn._xlws.FILTER(Pay_ID,(IFERROR(SEARCH($A$8,Pay_Key_Gps),0)&gt;0) * (Pay_Code=$A19) * (pp_Hrs_Wkd_Pay_Code &gt;= $V$1) * (pp_OT_Pay_Code &gt;= $V$2) * (pp_Bon_Pay_Code &gt;= $V$3) * (pp_Meal_Pay_Code &gt;= $V$4) * (pp_Sick_Pay_Code &gt;= $V$5) * (pp_Diff_Pay_Code &gt;= $V$6)))),0),_xlpm.perc,_xlpm.calc/D$69,IFERROR(IF(_xlpm.calc&gt;1000,_xlfn.CONCAT(TEXT(_xlpm.calc,"0,000")," (",TEXT(_xlpm.perc,"0.0%"),")"),_xlfn.CONCAT(_xlpm.calc," (",TEXT(_xlpm.perc,"0.0%"),")")),"-"))</f>
        <v>-</v>
      </c>
      <c r="E19" s="135" t="str" cm="1">
        <f t="array" ref="E19">_xlfn.LET(_xlpm.calc,IFERROR(ROWS(_xlfn.UNIQUE(_xlfn._xlws.FILTER(Pay_ID_Period_End,(IFERROR(SEARCH($A$8,Pay_Key_Gps),0)&gt;0) * (Pay_Code=$A19) * (pp_Hrs_Wkd_Pay_Code &gt;= $V$1) * (pp_OT_Pay_Code &gt;= $V$2) * (pp_Bon_Pay_Code &gt;= $V$3) * (pp_Meal_Pay_Code &gt;= $V$4) * (pp_Sick_Pay_Code &gt;= $V$5) * (pp_Diff_Pay_Code &gt;= $V$6)))),0),_xlpm.perc,_xlpm.calc/E$69,IFERROR(IF(_xlpm.calc&gt;1000,_xlfn.CONCAT(TEXT(_xlpm.calc,"0,000")," (",TEXT(_xlpm.perc,"0.0%"),")"),_xlfn.CONCAT(_xlpm.calc," (",TEXT(_xlpm.perc,"0.0%"),")")),"-"))</f>
        <v>-</v>
      </c>
      <c r="F19" s="136" t="e">
        <f t="shared" si="1"/>
        <v>#NAME?</v>
      </c>
      <c r="G19" s="137" t="e">
        <f t="shared" si="2"/>
        <v>#NAME?</v>
      </c>
      <c r="H19" s="137" t="str" cm="1">
        <f t="array" ref="H19">IFERROR(AVERAGEIFS(Pay_Amount,Pay_Key_Gps,"*"&amp;$A$8&amp;"*",Pay_Code,$A19,pp_Hrs_Wkd_Pay_Code,"&gt;="&amp;$V$1,pp_OT_Pay_Code,"&gt;="&amp;$V$2,pp_Bon_Pay_Code,"&gt;="&amp;$V$3,pp_Meal_Pay_Code,"&gt;="&amp;$V$4,pp_Sick_Pay_Code,"&gt;="&amp;$V$5,pp_Diff_Pay_Code,"&gt;="&amp;$V$6),"-")</f>
        <v>-</v>
      </c>
      <c r="J19" s="133">
        <f t="shared" si="4"/>
        <v>0</v>
      </c>
      <c r="K19" s="138" t="e" cm="1">
        <f t="array" ref="K19">_xlfn.LET(_xlpm.calc,COUNTIFS(Rate_Gp,K$11,Pay_Key_Gps,"*"&amp;$A$8&amp;"*",Pay_Code,$A19,pp_Hrs_Wkd_Pay_Code,"&gt;="&amp;$V$1,pp_OT_Pay_Code,"&gt;="&amp;$V$2,pp_Bon_Pay_Code,"&gt;="&amp;$V$3,pp_Meal_Pay_Code,"&gt;="&amp;$V$4,pp_Sick_Pay_Code,"&gt;="&amp;$V$5,pp_Diff_Pay_Code,"&gt;="&amp;$V$6),_xlpm.calc2,COUNTIFS(Pay_Key_Gps,"*"&amp;$A$8&amp;"*",Pay_Code,$A19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19" s="138" t="e" cm="1">
        <f t="array" ref="L19">_xlfn.LET(_xlpm.calc,COUNTIFS(Rate_Gp,L$11,Pay_Key_Gps,"*"&amp;$A$8&amp;"*",Pay_Code,$A19,pp_Hrs_Wkd_Pay_Code,"&gt;="&amp;$V$1,pp_OT_Pay_Code,"&gt;="&amp;$V$2,pp_Bon_Pay_Code,"&gt;="&amp;$V$3,pp_Meal_Pay_Code,"&gt;="&amp;$V$4,pp_Sick_Pay_Code,"&gt;="&amp;$V$5,pp_Diff_Pay_Code,"&gt;="&amp;$V$6),_xlpm.calc2,COUNTIFS(Pay_Key_Gps,"*"&amp;$A$8&amp;"*",Pay_Code,$A19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19" s="138" t="e" cm="1">
        <f t="array" ref="M19">_xlfn.LET(_xlpm.calc,COUNTIFS(Rate_Gp,M$11,Pay_Key_Gps,"*"&amp;$A$8&amp;"*",Pay_Code,$A19,pp_Hrs_Wkd_Pay_Code,"&gt;="&amp;$V$1,pp_OT_Pay_Code,"&gt;="&amp;$V$2,pp_Bon_Pay_Code,"&gt;="&amp;$V$3,pp_Meal_Pay_Code,"&gt;="&amp;$V$4,pp_Sick_Pay_Code,"&gt;="&amp;$V$5,pp_Diff_Pay_Code,"&gt;="&amp;$V$6),_xlpm.calc2,COUNTIFS(Pay_Key_Gps,"*"&amp;$A$8&amp;"*",Pay_Code,$A19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19" s="138" t="e" cm="1">
        <f t="array" ref="N19">_xlfn.LET(_xlpm.calc,COUNTIFS(Rate_Gp,N$11,Pay_Key_Gps,"*"&amp;$A$8&amp;"*",Pay_Code,$A19,pp_Hrs_Wkd_Pay_Code,"&gt;="&amp;$V$1,pp_OT_Pay_Code,"&gt;="&amp;$V$2,pp_Bon_Pay_Code,"&gt;="&amp;$V$3,pp_Meal_Pay_Code,"&gt;="&amp;$V$4,pp_Sick_Pay_Code,"&gt;="&amp;$V$5,pp_Diff_Pay_Code,"&gt;="&amp;$V$6),_xlpm.calc2,COUNTIFS(Pay_Key_Gps,"*"&amp;$A$8&amp;"*",Pay_Code,$A19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19" s="138" t="e" cm="1">
        <f t="array" ref="O19">_xlfn.LET(_xlpm.calc,COUNTIFS(Rate_Gp,O$11,Pay_Key_Gps,"*"&amp;$A$8&amp;"*",Pay_Code,$A19,pp_Hrs_Wkd_Pay_Code,"&gt;="&amp;$V$1,pp_OT_Pay_Code,"&gt;="&amp;$V$2,pp_Bon_Pay_Code,"&gt;="&amp;$V$3,pp_Meal_Pay_Code,"&gt;="&amp;$V$4,pp_Sick_Pay_Code,"&gt;="&amp;$V$5,pp_Diff_Pay_Code,"&gt;="&amp;$V$6),_xlpm.calc2,COUNTIFS(Pay_Key_Gps,"*"&amp;$A$8&amp;"*",Pay_Code,$A19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19" s="138" t="e" cm="1">
        <f t="array" ref="P19">_xlfn.LET(_xlpm.calc,COUNTIFS(Rate_Gp,P$11,Pay_Key_Gps,"*"&amp;$A$8&amp;"*",Pay_Code,$A19,pp_Hrs_Wkd_Pay_Code,"&gt;="&amp;$V$1,pp_OT_Pay_Code,"&gt;="&amp;$V$2,pp_Bon_Pay_Code,"&gt;="&amp;$V$3,pp_Meal_Pay_Code,"&gt;="&amp;$V$4,pp_Sick_Pay_Code,"&gt;="&amp;$V$5,pp_Diff_Pay_Code,"&gt;="&amp;$V$6),_xlpm.calc2,COUNTIFS(Pay_Key_Gps,"*"&amp;$A$8&amp;"*",Pay_Code,$A19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19" s="138" t="e" cm="1">
        <f t="array" ref="Q19">_xlfn.LET(_xlpm.calc,COUNTIFS(Rate_Gp,Q$11,Pay_Key_Gps,"*"&amp;$A$8&amp;"*",Pay_Code,$A19,pp_Hrs_Wkd_Pay_Code,"&gt;="&amp;$V$1,pp_OT_Pay_Code,"&gt;="&amp;$V$2,pp_Bon_Pay_Code,"&gt;="&amp;$V$3,pp_Meal_Pay_Code,"&gt;="&amp;$V$4,pp_Sick_Pay_Code,"&gt;="&amp;$V$5,pp_Diff_Pay_Code,"&gt;="&amp;$V$6),_xlpm.calc2,COUNTIFS(Pay_Key_Gps,"*"&amp;$A$8&amp;"*",Pay_Code,$A19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19" s="138" t="e" cm="1">
        <f t="array" ref="R19">_xlfn.LET(_xlpm.calc,COUNTIFS(Rate_Gp,R$11,Pay_Key_Gps,"*"&amp;$A$8&amp;"*",Pay_Code,$A19,pp_Hrs_Wkd_Pay_Code,"&gt;="&amp;$V$1,pp_OT_Pay_Code,"&gt;="&amp;$V$2,pp_Bon_Pay_Code,"&gt;="&amp;$V$3,pp_Meal_Pay_Code,"&gt;="&amp;$V$4,pp_Sick_Pay_Code,"&gt;="&amp;$V$5,pp_Diff_Pay_Code,"&gt;="&amp;$V$6),_xlpm.calc2,COUNTIFS(Pay_Key_Gps,"*"&amp;$A$8&amp;"*",Pay_Code,$A19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19" s="138" t="e" cm="1">
        <f t="array" ref="S19">_xlfn.LET(_xlpm.calc,COUNTIFS(Rate_Gp,S$11,Pay_Key_Gps,"*"&amp;$A$8&amp;"*",Pay_Code,$A19,pp_Hrs_Wkd_Pay_Code,"&gt;="&amp;$V$1,pp_OT_Pay_Code,"&gt;="&amp;$V$2,pp_Bon_Pay_Code,"&gt;="&amp;$V$3,pp_Meal_Pay_Code,"&gt;="&amp;$V$4,pp_Sick_Pay_Code,"&gt;="&amp;$V$5,pp_Diff_Pay_Code,"&gt;="&amp;$V$6),_xlpm.calc2,COUNTIFS(Pay_Key_Gps,"*"&amp;$A$8&amp;"*",Pay_Code,$A19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19" s="138" t="e" cm="1">
        <f t="array" ref="T19">_xlfn.LET(_xlpm.calc,COUNTIFS(Rate_Gp,T$11,Pay_Key_Gps,"*"&amp;$A$8&amp;"*",Pay_Code,$A19,pp_Hrs_Wkd_Pay_Code,"&gt;="&amp;$V$1,pp_OT_Pay_Code,"&gt;="&amp;$V$2,pp_Bon_Pay_Code,"&gt;="&amp;$V$3,pp_Meal_Pay_Code,"&gt;="&amp;$V$4,pp_Sick_Pay_Code,"&gt;="&amp;$V$5,pp_Diff_Pay_Code,"&gt;="&amp;$V$6),_xlpm.calc2,COUNTIFS(Pay_Key_Gps,"*"&amp;$A$8&amp;"*",Pay_Code,$A19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19" s="139" t="e" cm="1">
        <f t="array" ref="U19">_xlfn.LET(_xlpm.calc,COUNTIFS(Pay_Key_Gps,"*"&amp;$A$8&amp;"*",Pay_Code,$A19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19" s="118"/>
      <c r="W19" s="118"/>
      <c r="X19" s="149"/>
      <c r="Y19" s="149"/>
      <c r="Z19" s="149"/>
      <c r="AA19" s="149"/>
      <c r="AB19" s="140" t="e">
        <f t="shared" si="3"/>
        <v>#NAME?</v>
      </c>
    </row>
    <row r="20" spans="1:28" s="122" customFormat="1" x14ac:dyDescent="0.25">
      <c r="A20" s="133"/>
      <c r="B20" s="134" t="e" cm="1">
        <f t="array" ref="B20">_xlfn.LET(_xlpm.calc,_xlfn.MINIFS(Pay_Period_End,Pay_Key_Gps,"*"&amp;$A$8&amp;"*",Pay_Code,$A20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20" s="134" t="e" cm="1">
        <f t="array" ref="C20">_xlfn.LET(_xlpm.calc,_xlfn.MAXIFS(Pay_Period_End,Pay_Key_Gps,"*"&amp;$A$8&amp;"*",Pay_Code,$A20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20" s="135" t="str" cm="1">
        <f t="array" ref="D20">_xlfn.LET(_xlpm.calc,IFERROR(ROWS(_xlfn.UNIQUE(_xlfn._xlws.FILTER(Pay_ID,(IFERROR(SEARCH($A$8,Pay_Key_Gps),0)&gt;0) * (Pay_Code=$A20) * (pp_Hrs_Wkd_Pay_Code &gt;= $V$1) * (pp_OT_Pay_Code &gt;= $V$2) * (pp_Bon_Pay_Code &gt;= $V$3) * (pp_Meal_Pay_Code &gt;= $V$4) * (pp_Sick_Pay_Code &gt;= $V$5) * (pp_Diff_Pay_Code &gt;= $V$6)))),0),_xlpm.perc,_xlpm.calc/D$69,IFERROR(IF(_xlpm.calc&gt;1000,_xlfn.CONCAT(TEXT(_xlpm.calc,"0,000")," (",TEXT(_xlpm.perc,"0.0%"),")"),_xlfn.CONCAT(_xlpm.calc," (",TEXT(_xlpm.perc,"0.0%"),")")),"-"))</f>
        <v>-</v>
      </c>
      <c r="E20" s="135" t="str" cm="1">
        <f t="array" ref="E20">_xlfn.LET(_xlpm.calc,IFERROR(ROWS(_xlfn.UNIQUE(_xlfn._xlws.FILTER(Pay_ID_Period_End,(IFERROR(SEARCH($A$8,Pay_Key_Gps),0)&gt;0) * (Pay_Code=$A20) * (pp_Hrs_Wkd_Pay_Code &gt;= $V$1) * (pp_OT_Pay_Code &gt;= $V$2) * (pp_Bon_Pay_Code &gt;= $V$3) * (pp_Meal_Pay_Code &gt;= $V$4) * (pp_Sick_Pay_Code &gt;= $V$5) * (pp_Diff_Pay_Code &gt;= $V$6)))),0),_xlpm.perc,_xlpm.calc/E$69,IFERROR(IF(_xlpm.calc&gt;1000,_xlfn.CONCAT(TEXT(_xlpm.calc,"0,000")," (",TEXT(_xlpm.perc,"0.0%"),")"),_xlfn.CONCAT(_xlpm.calc," (",TEXT(_xlpm.perc,"0.0%"),")")),"-"))</f>
        <v>-</v>
      </c>
      <c r="F20" s="136" t="e">
        <f t="shared" si="1"/>
        <v>#NAME?</v>
      </c>
      <c r="G20" s="137" t="e">
        <f t="shared" si="2"/>
        <v>#NAME?</v>
      </c>
      <c r="H20" s="137" t="str" cm="1">
        <f t="array" ref="H20">IFERROR(AVERAGEIFS(Pay_Amount,Pay_Key_Gps,"*"&amp;$A$8&amp;"*",Pay_Code,$A20,pp_Hrs_Wkd_Pay_Code,"&gt;="&amp;$V$1,pp_OT_Pay_Code,"&gt;="&amp;$V$2,pp_Bon_Pay_Code,"&gt;="&amp;$V$3,pp_Meal_Pay_Code,"&gt;="&amp;$V$4,pp_Sick_Pay_Code,"&gt;="&amp;$V$5,pp_Diff_Pay_Code,"&gt;="&amp;$V$6),"-")</f>
        <v>-</v>
      </c>
      <c r="J20" s="133">
        <f t="shared" si="4"/>
        <v>0</v>
      </c>
      <c r="K20" s="138" t="e" cm="1">
        <f t="array" ref="K20">_xlfn.LET(_xlpm.calc,COUNTIFS(Rate_Gp,K$11,Pay_Key_Gps,"*"&amp;$A$8&amp;"*",Pay_Code,$A20,pp_Hrs_Wkd_Pay_Code,"&gt;="&amp;$V$1,pp_OT_Pay_Code,"&gt;="&amp;$V$2,pp_Bon_Pay_Code,"&gt;="&amp;$V$3,pp_Meal_Pay_Code,"&gt;="&amp;$V$4,pp_Sick_Pay_Code,"&gt;="&amp;$V$5,pp_Diff_Pay_Code,"&gt;="&amp;$V$6),_xlpm.calc2,COUNTIFS(Pay_Key_Gps,"*"&amp;$A$8&amp;"*",Pay_Code,$A20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20" s="138" t="e" cm="1">
        <f t="array" ref="L20">_xlfn.LET(_xlpm.calc,COUNTIFS(Rate_Gp,L$11,Pay_Key_Gps,"*"&amp;$A$8&amp;"*",Pay_Code,$A20,pp_Hrs_Wkd_Pay_Code,"&gt;="&amp;$V$1,pp_OT_Pay_Code,"&gt;="&amp;$V$2,pp_Bon_Pay_Code,"&gt;="&amp;$V$3,pp_Meal_Pay_Code,"&gt;="&amp;$V$4,pp_Sick_Pay_Code,"&gt;="&amp;$V$5,pp_Diff_Pay_Code,"&gt;="&amp;$V$6),_xlpm.calc2,COUNTIFS(Pay_Key_Gps,"*"&amp;$A$8&amp;"*",Pay_Code,$A20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20" s="138" t="e" cm="1">
        <f t="array" ref="M20">_xlfn.LET(_xlpm.calc,COUNTIFS(Rate_Gp,M$11,Pay_Key_Gps,"*"&amp;$A$8&amp;"*",Pay_Code,$A20,pp_Hrs_Wkd_Pay_Code,"&gt;="&amp;$V$1,pp_OT_Pay_Code,"&gt;="&amp;$V$2,pp_Bon_Pay_Code,"&gt;="&amp;$V$3,pp_Meal_Pay_Code,"&gt;="&amp;$V$4,pp_Sick_Pay_Code,"&gt;="&amp;$V$5,pp_Diff_Pay_Code,"&gt;="&amp;$V$6),_xlpm.calc2,COUNTIFS(Pay_Key_Gps,"*"&amp;$A$8&amp;"*",Pay_Code,$A20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20" s="138" t="e" cm="1">
        <f t="array" ref="N20">_xlfn.LET(_xlpm.calc,COUNTIFS(Rate_Gp,N$11,Pay_Key_Gps,"*"&amp;$A$8&amp;"*",Pay_Code,$A20,pp_Hrs_Wkd_Pay_Code,"&gt;="&amp;$V$1,pp_OT_Pay_Code,"&gt;="&amp;$V$2,pp_Bon_Pay_Code,"&gt;="&amp;$V$3,pp_Meal_Pay_Code,"&gt;="&amp;$V$4,pp_Sick_Pay_Code,"&gt;="&amp;$V$5,pp_Diff_Pay_Code,"&gt;="&amp;$V$6),_xlpm.calc2,COUNTIFS(Pay_Key_Gps,"*"&amp;$A$8&amp;"*",Pay_Code,$A20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20" s="138" t="e" cm="1">
        <f t="array" ref="O20">_xlfn.LET(_xlpm.calc,COUNTIFS(Rate_Gp,O$11,Pay_Key_Gps,"*"&amp;$A$8&amp;"*",Pay_Code,$A20,pp_Hrs_Wkd_Pay_Code,"&gt;="&amp;$V$1,pp_OT_Pay_Code,"&gt;="&amp;$V$2,pp_Bon_Pay_Code,"&gt;="&amp;$V$3,pp_Meal_Pay_Code,"&gt;="&amp;$V$4,pp_Sick_Pay_Code,"&gt;="&amp;$V$5,pp_Diff_Pay_Code,"&gt;="&amp;$V$6),_xlpm.calc2,COUNTIFS(Pay_Key_Gps,"*"&amp;$A$8&amp;"*",Pay_Code,$A20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20" s="138" t="e" cm="1">
        <f t="array" ref="P20">_xlfn.LET(_xlpm.calc,COUNTIFS(Rate_Gp,P$11,Pay_Key_Gps,"*"&amp;$A$8&amp;"*",Pay_Code,$A20,pp_Hrs_Wkd_Pay_Code,"&gt;="&amp;$V$1,pp_OT_Pay_Code,"&gt;="&amp;$V$2,pp_Bon_Pay_Code,"&gt;="&amp;$V$3,pp_Meal_Pay_Code,"&gt;="&amp;$V$4,pp_Sick_Pay_Code,"&gt;="&amp;$V$5,pp_Diff_Pay_Code,"&gt;="&amp;$V$6),_xlpm.calc2,COUNTIFS(Pay_Key_Gps,"*"&amp;$A$8&amp;"*",Pay_Code,$A20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20" s="138" t="e" cm="1">
        <f t="array" ref="Q20">_xlfn.LET(_xlpm.calc,COUNTIFS(Rate_Gp,Q$11,Pay_Key_Gps,"*"&amp;$A$8&amp;"*",Pay_Code,$A20,pp_Hrs_Wkd_Pay_Code,"&gt;="&amp;$V$1,pp_OT_Pay_Code,"&gt;="&amp;$V$2,pp_Bon_Pay_Code,"&gt;="&amp;$V$3,pp_Meal_Pay_Code,"&gt;="&amp;$V$4,pp_Sick_Pay_Code,"&gt;="&amp;$V$5,pp_Diff_Pay_Code,"&gt;="&amp;$V$6),_xlpm.calc2,COUNTIFS(Pay_Key_Gps,"*"&amp;$A$8&amp;"*",Pay_Code,$A20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20" s="138" t="e" cm="1">
        <f t="array" ref="R20">_xlfn.LET(_xlpm.calc,COUNTIFS(Rate_Gp,R$11,Pay_Key_Gps,"*"&amp;$A$8&amp;"*",Pay_Code,$A20,pp_Hrs_Wkd_Pay_Code,"&gt;="&amp;$V$1,pp_OT_Pay_Code,"&gt;="&amp;$V$2,pp_Bon_Pay_Code,"&gt;="&amp;$V$3,pp_Meal_Pay_Code,"&gt;="&amp;$V$4,pp_Sick_Pay_Code,"&gt;="&amp;$V$5,pp_Diff_Pay_Code,"&gt;="&amp;$V$6),_xlpm.calc2,COUNTIFS(Pay_Key_Gps,"*"&amp;$A$8&amp;"*",Pay_Code,$A20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20" s="138" t="e" cm="1">
        <f t="array" ref="S20">_xlfn.LET(_xlpm.calc,COUNTIFS(Rate_Gp,S$11,Pay_Key_Gps,"*"&amp;$A$8&amp;"*",Pay_Code,$A20,pp_Hrs_Wkd_Pay_Code,"&gt;="&amp;$V$1,pp_OT_Pay_Code,"&gt;="&amp;$V$2,pp_Bon_Pay_Code,"&gt;="&amp;$V$3,pp_Meal_Pay_Code,"&gt;="&amp;$V$4,pp_Sick_Pay_Code,"&gt;="&amp;$V$5,pp_Diff_Pay_Code,"&gt;="&amp;$V$6),_xlpm.calc2,COUNTIFS(Pay_Key_Gps,"*"&amp;$A$8&amp;"*",Pay_Code,$A20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20" s="138" t="e" cm="1">
        <f t="array" ref="T20">_xlfn.LET(_xlpm.calc,COUNTIFS(Rate_Gp,T$11,Pay_Key_Gps,"*"&amp;$A$8&amp;"*",Pay_Code,$A20,pp_Hrs_Wkd_Pay_Code,"&gt;="&amp;$V$1,pp_OT_Pay_Code,"&gt;="&amp;$V$2,pp_Bon_Pay_Code,"&gt;="&amp;$V$3,pp_Meal_Pay_Code,"&gt;="&amp;$V$4,pp_Sick_Pay_Code,"&gt;="&amp;$V$5,pp_Diff_Pay_Code,"&gt;="&amp;$V$6),_xlpm.calc2,COUNTIFS(Pay_Key_Gps,"*"&amp;$A$8&amp;"*",Pay_Code,$A20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20" s="139" t="e" cm="1">
        <f t="array" ref="U20">_xlfn.LET(_xlpm.calc,COUNTIFS(Pay_Key_Gps,"*"&amp;$A$8&amp;"*",Pay_Code,$A20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20" s="118"/>
      <c r="W20" s="118"/>
      <c r="X20" s="149"/>
      <c r="Y20" s="149"/>
      <c r="Z20" s="149"/>
      <c r="AA20" s="149"/>
      <c r="AB20" s="140" t="e">
        <f t="shared" si="3"/>
        <v>#NAME?</v>
      </c>
    </row>
    <row r="21" spans="1:28" s="122" customFormat="1" x14ac:dyDescent="0.25">
      <c r="A21" s="133"/>
      <c r="B21" s="134" t="e" cm="1">
        <f t="array" ref="B21">_xlfn.LET(_xlpm.calc,_xlfn.MINIFS(Pay_Period_End,Pay_Key_Gps,"*"&amp;$A$8&amp;"*",Pay_Code,$A21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21" s="134" t="e" cm="1">
        <f t="array" ref="C21">_xlfn.LET(_xlpm.calc,_xlfn.MAXIFS(Pay_Period_End,Pay_Key_Gps,"*"&amp;$A$8&amp;"*",Pay_Code,$A21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21" s="135" t="str" cm="1">
        <f t="array" ref="D21">_xlfn.LET(_xlpm.calc,IFERROR(ROWS(_xlfn.UNIQUE(_xlfn._xlws.FILTER(Pay_ID,(IFERROR(SEARCH($A$8,Pay_Key_Gps),0)&gt;0) * (Pay_Code=$A21) * (pp_Hrs_Wkd_Pay_Code &gt;= $V$1) * (pp_OT_Pay_Code &gt;= $V$2) * (pp_Bon_Pay_Code &gt;= $V$3) * (pp_Meal_Pay_Code &gt;= $V$4) * (pp_Sick_Pay_Code &gt;= $V$5) * (pp_Diff_Pay_Code &gt;= $V$6)))),0),_xlpm.perc,_xlpm.calc/D$69,IFERROR(IF(_xlpm.calc&gt;1000,_xlfn.CONCAT(TEXT(_xlpm.calc,"0,000")," (",TEXT(_xlpm.perc,"0.0%"),")"),_xlfn.CONCAT(_xlpm.calc," (",TEXT(_xlpm.perc,"0.0%"),")")),"-"))</f>
        <v>-</v>
      </c>
      <c r="E21" s="135" t="str" cm="1">
        <f t="array" ref="E21">_xlfn.LET(_xlpm.calc,IFERROR(ROWS(_xlfn.UNIQUE(_xlfn._xlws.FILTER(Pay_ID_Period_End,(IFERROR(SEARCH($A$8,Pay_Key_Gps),0)&gt;0) * (Pay_Code=$A21) * (pp_Hrs_Wkd_Pay_Code &gt;= $V$1) * (pp_OT_Pay_Code &gt;= $V$2) * (pp_Bon_Pay_Code &gt;= $V$3) * (pp_Meal_Pay_Code &gt;= $V$4) * (pp_Sick_Pay_Code &gt;= $V$5) * (pp_Diff_Pay_Code &gt;= $V$6)))),0),_xlpm.perc,_xlpm.calc/E$69,IFERROR(IF(_xlpm.calc&gt;1000,_xlfn.CONCAT(TEXT(_xlpm.calc,"0,000")," (",TEXT(_xlpm.perc,"0.0%"),")"),_xlfn.CONCAT(_xlpm.calc," (",TEXT(_xlpm.perc,"0.0%"),")")),"-"))</f>
        <v>-</v>
      </c>
      <c r="F21" s="136" t="e">
        <f t="shared" si="1"/>
        <v>#NAME?</v>
      </c>
      <c r="G21" s="137" t="e">
        <f t="shared" si="2"/>
        <v>#NAME?</v>
      </c>
      <c r="H21" s="137" t="str" cm="1">
        <f t="array" ref="H21">IFERROR(AVERAGEIFS(Pay_Amount,Pay_Key_Gps,"*"&amp;$A$8&amp;"*",Pay_Code,$A21,pp_Hrs_Wkd_Pay_Code,"&gt;="&amp;$V$1,pp_OT_Pay_Code,"&gt;="&amp;$V$2,pp_Bon_Pay_Code,"&gt;="&amp;$V$3,pp_Meal_Pay_Code,"&gt;="&amp;$V$4,pp_Sick_Pay_Code,"&gt;="&amp;$V$5,pp_Diff_Pay_Code,"&gt;="&amp;$V$6),"-")</f>
        <v>-</v>
      </c>
      <c r="J21" s="133">
        <f t="shared" si="4"/>
        <v>0</v>
      </c>
      <c r="K21" s="138" t="e" cm="1">
        <f t="array" ref="K21">_xlfn.LET(_xlpm.calc,COUNTIFS(Rate_Gp,K$11,Pay_Key_Gps,"*"&amp;$A$8&amp;"*",Pay_Code,$A21,pp_Hrs_Wkd_Pay_Code,"&gt;="&amp;$V$1,pp_OT_Pay_Code,"&gt;="&amp;$V$2,pp_Bon_Pay_Code,"&gt;="&amp;$V$3,pp_Meal_Pay_Code,"&gt;="&amp;$V$4,pp_Sick_Pay_Code,"&gt;="&amp;$V$5,pp_Diff_Pay_Code,"&gt;="&amp;$V$6),_xlpm.calc2,COUNTIFS(Pay_Key_Gps,"*"&amp;$A$8&amp;"*",Pay_Code,$A21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21" s="138" t="e" cm="1">
        <f t="array" ref="L21">_xlfn.LET(_xlpm.calc,COUNTIFS(Rate_Gp,L$11,Pay_Key_Gps,"*"&amp;$A$8&amp;"*",Pay_Code,$A21,pp_Hrs_Wkd_Pay_Code,"&gt;="&amp;$V$1,pp_OT_Pay_Code,"&gt;="&amp;$V$2,pp_Bon_Pay_Code,"&gt;="&amp;$V$3,pp_Meal_Pay_Code,"&gt;="&amp;$V$4,pp_Sick_Pay_Code,"&gt;="&amp;$V$5,pp_Diff_Pay_Code,"&gt;="&amp;$V$6),_xlpm.calc2,COUNTIFS(Pay_Key_Gps,"*"&amp;$A$8&amp;"*",Pay_Code,$A21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21" s="138" t="e" cm="1">
        <f t="array" ref="M21">_xlfn.LET(_xlpm.calc,COUNTIFS(Rate_Gp,M$11,Pay_Key_Gps,"*"&amp;$A$8&amp;"*",Pay_Code,$A21,pp_Hrs_Wkd_Pay_Code,"&gt;="&amp;$V$1,pp_OT_Pay_Code,"&gt;="&amp;$V$2,pp_Bon_Pay_Code,"&gt;="&amp;$V$3,pp_Meal_Pay_Code,"&gt;="&amp;$V$4,pp_Sick_Pay_Code,"&gt;="&amp;$V$5,pp_Diff_Pay_Code,"&gt;="&amp;$V$6),_xlpm.calc2,COUNTIFS(Pay_Key_Gps,"*"&amp;$A$8&amp;"*",Pay_Code,$A21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21" s="138" t="e" cm="1">
        <f t="array" ref="N21">_xlfn.LET(_xlpm.calc,COUNTIFS(Rate_Gp,N$11,Pay_Key_Gps,"*"&amp;$A$8&amp;"*",Pay_Code,$A21,pp_Hrs_Wkd_Pay_Code,"&gt;="&amp;$V$1,pp_OT_Pay_Code,"&gt;="&amp;$V$2,pp_Bon_Pay_Code,"&gt;="&amp;$V$3,pp_Meal_Pay_Code,"&gt;="&amp;$V$4,pp_Sick_Pay_Code,"&gt;="&amp;$V$5,pp_Diff_Pay_Code,"&gt;="&amp;$V$6),_xlpm.calc2,COUNTIFS(Pay_Key_Gps,"*"&amp;$A$8&amp;"*",Pay_Code,$A21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21" s="138" t="e" cm="1">
        <f t="array" ref="O21">_xlfn.LET(_xlpm.calc,COUNTIFS(Rate_Gp,O$11,Pay_Key_Gps,"*"&amp;$A$8&amp;"*",Pay_Code,$A21,pp_Hrs_Wkd_Pay_Code,"&gt;="&amp;$V$1,pp_OT_Pay_Code,"&gt;="&amp;$V$2,pp_Bon_Pay_Code,"&gt;="&amp;$V$3,pp_Meal_Pay_Code,"&gt;="&amp;$V$4,pp_Sick_Pay_Code,"&gt;="&amp;$V$5,pp_Diff_Pay_Code,"&gt;="&amp;$V$6),_xlpm.calc2,COUNTIFS(Pay_Key_Gps,"*"&amp;$A$8&amp;"*",Pay_Code,$A21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21" s="138" t="e" cm="1">
        <f t="array" ref="P21">_xlfn.LET(_xlpm.calc,COUNTIFS(Rate_Gp,P$11,Pay_Key_Gps,"*"&amp;$A$8&amp;"*",Pay_Code,$A21,pp_Hrs_Wkd_Pay_Code,"&gt;="&amp;$V$1,pp_OT_Pay_Code,"&gt;="&amp;$V$2,pp_Bon_Pay_Code,"&gt;="&amp;$V$3,pp_Meal_Pay_Code,"&gt;="&amp;$V$4,pp_Sick_Pay_Code,"&gt;="&amp;$V$5,pp_Diff_Pay_Code,"&gt;="&amp;$V$6),_xlpm.calc2,COUNTIFS(Pay_Key_Gps,"*"&amp;$A$8&amp;"*",Pay_Code,$A21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21" s="138" t="e" cm="1">
        <f t="array" ref="Q21">_xlfn.LET(_xlpm.calc,COUNTIFS(Rate_Gp,Q$11,Pay_Key_Gps,"*"&amp;$A$8&amp;"*",Pay_Code,$A21,pp_Hrs_Wkd_Pay_Code,"&gt;="&amp;$V$1,pp_OT_Pay_Code,"&gt;="&amp;$V$2,pp_Bon_Pay_Code,"&gt;="&amp;$V$3,pp_Meal_Pay_Code,"&gt;="&amp;$V$4,pp_Sick_Pay_Code,"&gt;="&amp;$V$5,pp_Diff_Pay_Code,"&gt;="&amp;$V$6),_xlpm.calc2,COUNTIFS(Pay_Key_Gps,"*"&amp;$A$8&amp;"*",Pay_Code,$A21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21" s="138" t="e" cm="1">
        <f t="array" ref="R21">_xlfn.LET(_xlpm.calc,COUNTIFS(Rate_Gp,R$11,Pay_Key_Gps,"*"&amp;$A$8&amp;"*",Pay_Code,$A21,pp_Hrs_Wkd_Pay_Code,"&gt;="&amp;$V$1,pp_OT_Pay_Code,"&gt;="&amp;$V$2,pp_Bon_Pay_Code,"&gt;="&amp;$V$3,pp_Meal_Pay_Code,"&gt;="&amp;$V$4,pp_Sick_Pay_Code,"&gt;="&amp;$V$5,pp_Diff_Pay_Code,"&gt;="&amp;$V$6),_xlpm.calc2,COUNTIFS(Pay_Key_Gps,"*"&amp;$A$8&amp;"*",Pay_Code,$A21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21" s="138" t="e" cm="1">
        <f t="array" ref="S21">_xlfn.LET(_xlpm.calc,COUNTIFS(Rate_Gp,S$11,Pay_Key_Gps,"*"&amp;$A$8&amp;"*",Pay_Code,$A21,pp_Hrs_Wkd_Pay_Code,"&gt;="&amp;$V$1,pp_OT_Pay_Code,"&gt;="&amp;$V$2,pp_Bon_Pay_Code,"&gt;="&amp;$V$3,pp_Meal_Pay_Code,"&gt;="&amp;$V$4,pp_Sick_Pay_Code,"&gt;="&amp;$V$5,pp_Diff_Pay_Code,"&gt;="&amp;$V$6),_xlpm.calc2,COUNTIFS(Pay_Key_Gps,"*"&amp;$A$8&amp;"*",Pay_Code,$A21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21" s="138" t="e" cm="1">
        <f t="array" ref="T21">_xlfn.LET(_xlpm.calc,COUNTIFS(Rate_Gp,T$11,Pay_Key_Gps,"*"&amp;$A$8&amp;"*",Pay_Code,$A21,pp_Hrs_Wkd_Pay_Code,"&gt;="&amp;$V$1,pp_OT_Pay_Code,"&gt;="&amp;$V$2,pp_Bon_Pay_Code,"&gt;="&amp;$V$3,pp_Meal_Pay_Code,"&gt;="&amp;$V$4,pp_Sick_Pay_Code,"&gt;="&amp;$V$5,pp_Diff_Pay_Code,"&gt;="&amp;$V$6),_xlpm.calc2,COUNTIFS(Pay_Key_Gps,"*"&amp;$A$8&amp;"*",Pay_Code,$A21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21" s="139" t="e" cm="1">
        <f t="array" ref="U21">_xlfn.LET(_xlpm.calc,COUNTIFS(Pay_Key_Gps,"*"&amp;$A$8&amp;"*",Pay_Code,$A21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21" s="118"/>
      <c r="W21" s="118"/>
      <c r="X21" s="149"/>
      <c r="Y21" s="149"/>
      <c r="Z21" s="149"/>
      <c r="AA21" s="149"/>
      <c r="AB21" s="140" t="e">
        <f t="shared" si="3"/>
        <v>#NAME?</v>
      </c>
    </row>
    <row r="22" spans="1:28" s="122" customFormat="1" x14ac:dyDescent="0.25">
      <c r="A22" s="133"/>
      <c r="B22" s="134" t="e" cm="1">
        <f t="array" ref="B22">_xlfn.LET(_xlpm.calc,_xlfn.MINIFS(Pay_Period_End,Pay_Key_Gps,"*"&amp;$A$8&amp;"*",Pay_Code,$A22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22" s="134" t="e" cm="1">
        <f t="array" ref="C22">_xlfn.LET(_xlpm.calc,_xlfn.MAXIFS(Pay_Period_End,Pay_Key_Gps,"*"&amp;$A$8&amp;"*",Pay_Code,$A22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22" s="135" t="str" cm="1">
        <f t="array" ref="D22">_xlfn.LET(_xlpm.calc,IFERROR(ROWS(_xlfn.UNIQUE(_xlfn._xlws.FILTER(Pay_ID,(IFERROR(SEARCH($A$8,Pay_Key_Gps),0)&gt;0) * (Pay_Code=$A22) * (pp_Hrs_Wkd_Pay_Code &gt;= $V$1) * (pp_OT_Pay_Code &gt;= $V$2) * (pp_Bon_Pay_Code &gt;= $V$3) * (pp_Meal_Pay_Code &gt;= $V$4) * (pp_Sick_Pay_Code &gt;= $V$5) * (pp_Diff_Pay_Code &gt;= $V$6)))),0),_xlpm.perc,_xlpm.calc/D$69,IFERROR(IF(_xlpm.calc&gt;1000,_xlfn.CONCAT(TEXT(_xlpm.calc,"0,000")," (",TEXT(_xlpm.perc,"0.0%"),")"),_xlfn.CONCAT(_xlpm.calc," (",TEXT(_xlpm.perc,"0.0%"),")")),"-"))</f>
        <v>-</v>
      </c>
      <c r="E22" s="135" t="str" cm="1">
        <f t="array" ref="E22">_xlfn.LET(_xlpm.calc,IFERROR(ROWS(_xlfn.UNIQUE(_xlfn._xlws.FILTER(Pay_ID_Period_End,(IFERROR(SEARCH($A$8,Pay_Key_Gps),0)&gt;0) * (Pay_Code=$A22) * (pp_Hrs_Wkd_Pay_Code &gt;= $V$1) * (pp_OT_Pay_Code &gt;= $V$2) * (pp_Bon_Pay_Code &gt;= $V$3) * (pp_Meal_Pay_Code &gt;= $V$4) * (pp_Sick_Pay_Code &gt;= $V$5) * (pp_Diff_Pay_Code &gt;= $V$6)))),0),_xlpm.perc,_xlpm.calc/E$69,IFERROR(IF(_xlpm.calc&gt;1000,_xlfn.CONCAT(TEXT(_xlpm.calc,"0,000")," (",TEXT(_xlpm.perc,"0.0%"),")"),_xlfn.CONCAT(_xlpm.calc," (",TEXT(_xlpm.perc,"0.0%"),")")),"-"))</f>
        <v>-</v>
      </c>
      <c r="F22" s="136" t="e">
        <f t="shared" si="1"/>
        <v>#NAME?</v>
      </c>
      <c r="G22" s="137" t="e">
        <f t="shared" si="2"/>
        <v>#NAME?</v>
      </c>
      <c r="H22" s="137" t="str" cm="1">
        <f t="array" ref="H22">IFERROR(AVERAGEIFS(Pay_Amount,Pay_Key_Gps,"*"&amp;$A$8&amp;"*",Pay_Code,$A22,pp_Hrs_Wkd_Pay_Code,"&gt;="&amp;$V$1,pp_OT_Pay_Code,"&gt;="&amp;$V$2,pp_Bon_Pay_Code,"&gt;="&amp;$V$3,pp_Meal_Pay_Code,"&gt;="&amp;$V$4,pp_Sick_Pay_Code,"&gt;="&amp;$V$5,pp_Diff_Pay_Code,"&gt;="&amp;$V$6),"-")</f>
        <v>-</v>
      </c>
      <c r="J22" s="133">
        <f t="shared" si="4"/>
        <v>0</v>
      </c>
      <c r="K22" s="138" t="e" cm="1">
        <f t="array" ref="K22">_xlfn.LET(_xlpm.calc,COUNTIFS(Rate_Gp,K$11,Pay_Key_Gps,"*"&amp;$A$8&amp;"*",Pay_Code,$A22,pp_Hrs_Wkd_Pay_Code,"&gt;="&amp;$V$1,pp_OT_Pay_Code,"&gt;="&amp;$V$2,pp_Bon_Pay_Code,"&gt;="&amp;$V$3,pp_Meal_Pay_Code,"&gt;="&amp;$V$4,pp_Sick_Pay_Code,"&gt;="&amp;$V$5,pp_Diff_Pay_Code,"&gt;="&amp;$V$6),_xlpm.calc2,COUNTIFS(Pay_Key_Gps,"*"&amp;$A$8&amp;"*",Pay_Code,$A22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22" s="138" t="e" cm="1">
        <f t="array" ref="L22">_xlfn.LET(_xlpm.calc,COUNTIFS(Rate_Gp,L$11,Pay_Key_Gps,"*"&amp;$A$8&amp;"*",Pay_Code,$A22,pp_Hrs_Wkd_Pay_Code,"&gt;="&amp;$V$1,pp_OT_Pay_Code,"&gt;="&amp;$V$2,pp_Bon_Pay_Code,"&gt;="&amp;$V$3,pp_Meal_Pay_Code,"&gt;="&amp;$V$4,pp_Sick_Pay_Code,"&gt;="&amp;$V$5,pp_Diff_Pay_Code,"&gt;="&amp;$V$6),_xlpm.calc2,COUNTIFS(Pay_Key_Gps,"*"&amp;$A$8&amp;"*",Pay_Code,$A22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22" s="138" t="e" cm="1">
        <f t="array" ref="M22">_xlfn.LET(_xlpm.calc,COUNTIFS(Rate_Gp,M$11,Pay_Key_Gps,"*"&amp;$A$8&amp;"*",Pay_Code,$A22,pp_Hrs_Wkd_Pay_Code,"&gt;="&amp;$V$1,pp_OT_Pay_Code,"&gt;="&amp;$V$2,pp_Bon_Pay_Code,"&gt;="&amp;$V$3,pp_Meal_Pay_Code,"&gt;="&amp;$V$4,pp_Sick_Pay_Code,"&gt;="&amp;$V$5,pp_Diff_Pay_Code,"&gt;="&amp;$V$6),_xlpm.calc2,COUNTIFS(Pay_Key_Gps,"*"&amp;$A$8&amp;"*",Pay_Code,$A22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22" s="138" t="e" cm="1">
        <f t="array" ref="N22">_xlfn.LET(_xlpm.calc,COUNTIFS(Rate_Gp,N$11,Pay_Key_Gps,"*"&amp;$A$8&amp;"*",Pay_Code,$A22,pp_Hrs_Wkd_Pay_Code,"&gt;="&amp;$V$1,pp_OT_Pay_Code,"&gt;="&amp;$V$2,pp_Bon_Pay_Code,"&gt;="&amp;$V$3,pp_Meal_Pay_Code,"&gt;="&amp;$V$4,pp_Sick_Pay_Code,"&gt;="&amp;$V$5,pp_Diff_Pay_Code,"&gt;="&amp;$V$6),_xlpm.calc2,COUNTIFS(Pay_Key_Gps,"*"&amp;$A$8&amp;"*",Pay_Code,$A22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22" s="138" t="e" cm="1">
        <f t="array" ref="O22">_xlfn.LET(_xlpm.calc,COUNTIFS(Rate_Gp,O$11,Pay_Key_Gps,"*"&amp;$A$8&amp;"*",Pay_Code,$A22,pp_Hrs_Wkd_Pay_Code,"&gt;="&amp;$V$1,pp_OT_Pay_Code,"&gt;="&amp;$V$2,pp_Bon_Pay_Code,"&gt;="&amp;$V$3,pp_Meal_Pay_Code,"&gt;="&amp;$V$4,pp_Sick_Pay_Code,"&gt;="&amp;$V$5,pp_Diff_Pay_Code,"&gt;="&amp;$V$6),_xlpm.calc2,COUNTIFS(Pay_Key_Gps,"*"&amp;$A$8&amp;"*",Pay_Code,$A22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22" s="138" t="e" cm="1">
        <f t="array" ref="P22">_xlfn.LET(_xlpm.calc,COUNTIFS(Rate_Gp,P$11,Pay_Key_Gps,"*"&amp;$A$8&amp;"*",Pay_Code,$A22,pp_Hrs_Wkd_Pay_Code,"&gt;="&amp;$V$1,pp_OT_Pay_Code,"&gt;="&amp;$V$2,pp_Bon_Pay_Code,"&gt;="&amp;$V$3,pp_Meal_Pay_Code,"&gt;="&amp;$V$4,pp_Sick_Pay_Code,"&gt;="&amp;$V$5,pp_Diff_Pay_Code,"&gt;="&amp;$V$6),_xlpm.calc2,COUNTIFS(Pay_Key_Gps,"*"&amp;$A$8&amp;"*",Pay_Code,$A22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22" s="138" t="e" cm="1">
        <f t="array" ref="Q22">_xlfn.LET(_xlpm.calc,COUNTIFS(Rate_Gp,Q$11,Pay_Key_Gps,"*"&amp;$A$8&amp;"*",Pay_Code,$A22,pp_Hrs_Wkd_Pay_Code,"&gt;="&amp;$V$1,pp_OT_Pay_Code,"&gt;="&amp;$V$2,pp_Bon_Pay_Code,"&gt;="&amp;$V$3,pp_Meal_Pay_Code,"&gt;="&amp;$V$4,pp_Sick_Pay_Code,"&gt;="&amp;$V$5,pp_Diff_Pay_Code,"&gt;="&amp;$V$6),_xlpm.calc2,COUNTIFS(Pay_Key_Gps,"*"&amp;$A$8&amp;"*",Pay_Code,$A22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22" s="138" t="e" cm="1">
        <f t="array" ref="R22">_xlfn.LET(_xlpm.calc,COUNTIFS(Rate_Gp,R$11,Pay_Key_Gps,"*"&amp;$A$8&amp;"*",Pay_Code,$A22,pp_Hrs_Wkd_Pay_Code,"&gt;="&amp;$V$1,pp_OT_Pay_Code,"&gt;="&amp;$V$2,pp_Bon_Pay_Code,"&gt;="&amp;$V$3,pp_Meal_Pay_Code,"&gt;="&amp;$V$4,pp_Sick_Pay_Code,"&gt;="&amp;$V$5,pp_Diff_Pay_Code,"&gt;="&amp;$V$6),_xlpm.calc2,COUNTIFS(Pay_Key_Gps,"*"&amp;$A$8&amp;"*",Pay_Code,$A22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22" s="138" t="e" cm="1">
        <f t="array" ref="S22">_xlfn.LET(_xlpm.calc,COUNTIFS(Rate_Gp,S$11,Pay_Key_Gps,"*"&amp;$A$8&amp;"*",Pay_Code,$A22,pp_Hrs_Wkd_Pay_Code,"&gt;="&amp;$V$1,pp_OT_Pay_Code,"&gt;="&amp;$V$2,pp_Bon_Pay_Code,"&gt;="&amp;$V$3,pp_Meal_Pay_Code,"&gt;="&amp;$V$4,pp_Sick_Pay_Code,"&gt;="&amp;$V$5,pp_Diff_Pay_Code,"&gt;="&amp;$V$6),_xlpm.calc2,COUNTIFS(Pay_Key_Gps,"*"&amp;$A$8&amp;"*",Pay_Code,$A22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22" s="138" t="e" cm="1">
        <f t="array" ref="T22">_xlfn.LET(_xlpm.calc,COUNTIFS(Rate_Gp,T$11,Pay_Key_Gps,"*"&amp;$A$8&amp;"*",Pay_Code,$A22,pp_Hrs_Wkd_Pay_Code,"&gt;="&amp;$V$1,pp_OT_Pay_Code,"&gt;="&amp;$V$2,pp_Bon_Pay_Code,"&gt;="&amp;$V$3,pp_Meal_Pay_Code,"&gt;="&amp;$V$4,pp_Sick_Pay_Code,"&gt;="&amp;$V$5,pp_Diff_Pay_Code,"&gt;="&amp;$V$6),_xlpm.calc2,COUNTIFS(Pay_Key_Gps,"*"&amp;$A$8&amp;"*",Pay_Code,$A22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22" s="139" t="e" cm="1">
        <f t="array" ref="U22">_xlfn.LET(_xlpm.calc,COUNTIFS(Pay_Key_Gps,"*"&amp;$A$8&amp;"*",Pay_Code,$A22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22" s="118"/>
      <c r="W22" s="118"/>
      <c r="X22" s="149"/>
      <c r="Y22" s="149"/>
      <c r="Z22" s="149"/>
      <c r="AA22" s="149"/>
      <c r="AB22" s="140" t="e">
        <f t="shared" si="3"/>
        <v>#NAME?</v>
      </c>
    </row>
    <row r="23" spans="1:28" s="122" customFormat="1" x14ac:dyDescent="0.25">
      <c r="A23" s="133"/>
      <c r="B23" s="134" t="e" cm="1">
        <f t="array" ref="B23">_xlfn.LET(_xlpm.calc,_xlfn.MINIFS(Pay_Period_End,Pay_Key_Gps,"*"&amp;$A$8&amp;"*",Pay_Code,$A23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23" s="134" t="e" cm="1">
        <f t="array" ref="C23">_xlfn.LET(_xlpm.calc,_xlfn.MAXIFS(Pay_Period_End,Pay_Key_Gps,"*"&amp;$A$8&amp;"*",Pay_Code,$A23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23" s="135" t="str" cm="1">
        <f t="array" ref="D23">_xlfn.LET(_xlpm.calc,IFERROR(ROWS(_xlfn.UNIQUE(_xlfn._xlws.FILTER(Pay_ID,(IFERROR(SEARCH($A$8,Pay_Key_Gps),0)&gt;0) * (Pay_Code=$A23) * (pp_Hrs_Wkd_Pay_Code &gt;= $V$1) * (pp_OT_Pay_Code &gt;= $V$2) * (pp_Bon_Pay_Code &gt;= $V$3) * (pp_Meal_Pay_Code &gt;= $V$4) * (pp_Sick_Pay_Code &gt;= $V$5) * (pp_Diff_Pay_Code &gt;= $V$6)))),0),_xlpm.perc,_xlpm.calc/D$69,IFERROR(IF(_xlpm.calc&gt;1000,_xlfn.CONCAT(TEXT(_xlpm.calc,"0,000")," (",TEXT(_xlpm.perc,"0.0%"),")"),_xlfn.CONCAT(_xlpm.calc," (",TEXT(_xlpm.perc,"0.0%"),")")),"-"))</f>
        <v>-</v>
      </c>
      <c r="E23" s="135" t="str" cm="1">
        <f t="array" ref="E23">_xlfn.LET(_xlpm.calc,IFERROR(ROWS(_xlfn.UNIQUE(_xlfn._xlws.FILTER(Pay_ID_Period_End,(IFERROR(SEARCH($A$8,Pay_Key_Gps),0)&gt;0) * (Pay_Code=$A23) * (pp_Hrs_Wkd_Pay_Code &gt;= $V$1) * (pp_OT_Pay_Code &gt;= $V$2) * (pp_Bon_Pay_Code &gt;= $V$3) * (pp_Meal_Pay_Code &gt;= $V$4) * (pp_Sick_Pay_Code &gt;= $V$5) * (pp_Diff_Pay_Code &gt;= $V$6)))),0),_xlpm.perc,_xlpm.calc/E$69,IFERROR(IF(_xlpm.calc&gt;1000,_xlfn.CONCAT(TEXT(_xlpm.calc,"0,000")," (",TEXT(_xlpm.perc,"0.0%"),")"),_xlfn.CONCAT(_xlpm.calc," (",TEXT(_xlpm.perc,"0.0%"),")")),"-"))</f>
        <v>-</v>
      </c>
      <c r="F23" s="136" t="e">
        <f t="shared" si="1"/>
        <v>#NAME?</v>
      </c>
      <c r="G23" s="137" t="e">
        <f t="shared" si="2"/>
        <v>#NAME?</v>
      </c>
      <c r="H23" s="137" t="str" cm="1">
        <f t="array" ref="H23">IFERROR(AVERAGEIFS(Pay_Amount,Pay_Key_Gps,"*"&amp;$A$8&amp;"*",Pay_Code,$A23,pp_Hrs_Wkd_Pay_Code,"&gt;="&amp;$V$1,pp_OT_Pay_Code,"&gt;="&amp;$V$2,pp_Bon_Pay_Code,"&gt;="&amp;$V$3,pp_Meal_Pay_Code,"&gt;="&amp;$V$4,pp_Sick_Pay_Code,"&gt;="&amp;$V$5,pp_Diff_Pay_Code,"&gt;="&amp;$V$6),"-")</f>
        <v>-</v>
      </c>
      <c r="J23" s="133">
        <f t="shared" si="4"/>
        <v>0</v>
      </c>
      <c r="K23" s="138" t="e" cm="1">
        <f t="array" ref="K23">_xlfn.LET(_xlpm.calc,COUNTIFS(Rate_Gp,K$11,Pay_Key_Gps,"*"&amp;$A$8&amp;"*",Pay_Code,$A23,pp_Hrs_Wkd_Pay_Code,"&gt;="&amp;$V$1,pp_OT_Pay_Code,"&gt;="&amp;$V$2,pp_Bon_Pay_Code,"&gt;="&amp;$V$3,pp_Meal_Pay_Code,"&gt;="&amp;$V$4,pp_Sick_Pay_Code,"&gt;="&amp;$V$5,pp_Diff_Pay_Code,"&gt;="&amp;$V$6),_xlpm.calc2,COUNTIFS(Pay_Key_Gps,"*"&amp;$A$8&amp;"*",Pay_Code,$A23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23" s="138" t="e" cm="1">
        <f t="array" ref="L23">_xlfn.LET(_xlpm.calc,COUNTIFS(Rate_Gp,L$11,Pay_Key_Gps,"*"&amp;$A$8&amp;"*",Pay_Code,$A23,pp_Hrs_Wkd_Pay_Code,"&gt;="&amp;$V$1,pp_OT_Pay_Code,"&gt;="&amp;$V$2,pp_Bon_Pay_Code,"&gt;="&amp;$V$3,pp_Meal_Pay_Code,"&gt;="&amp;$V$4,pp_Sick_Pay_Code,"&gt;="&amp;$V$5,pp_Diff_Pay_Code,"&gt;="&amp;$V$6),_xlpm.calc2,COUNTIFS(Pay_Key_Gps,"*"&amp;$A$8&amp;"*",Pay_Code,$A23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23" s="138" t="e" cm="1">
        <f t="array" ref="M23">_xlfn.LET(_xlpm.calc,COUNTIFS(Rate_Gp,M$11,Pay_Key_Gps,"*"&amp;$A$8&amp;"*",Pay_Code,$A23,pp_Hrs_Wkd_Pay_Code,"&gt;="&amp;$V$1,pp_OT_Pay_Code,"&gt;="&amp;$V$2,pp_Bon_Pay_Code,"&gt;="&amp;$V$3,pp_Meal_Pay_Code,"&gt;="&amp;$V$4,pp_Sick_Pay_Code,"&gt;="&amp;$V$5,pp_Diff_Pay_Code,"&gt;="&amp;$V$6),_xlpm.calc2,COUNTIFS(Pay_Key_Gps,"*"&amp;$A$8&amp;"*",Pay_Code,$A23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23" s="138" t="e" cm="1">
        <f t="array" ref="N23">_xlfn.LET(_xlpm.calc,COUNTIFS(Rate_Gp,N$11,Pay_Key_Gps,"*"&amp;$A$8&amp;"*",Pay_Code,$A23,pp_Hrs_Wkd_Pay_Code,"&gt;="&amp;$V$1,pp_OT_Pay_Code,"&gt;="&amp;$V$2,pp_Bon_Pay_Code,"&gt;="&amp;$V$3,pp_Meal_Pay_Code,"&gt;="&amp;$V$4,pp_Sick_Pay_Code,"&gt;="&amp;$V$5,pp_Diff_Pay_Code,"&gt;="&amp;$V$6),_xlpm.calc2,COUNTIFS(Pay_Key_Gps,"*"&amp;$A$8&amp;"*",Pay_Code,$A23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23" s="138" t="e" cm="1">
        <f t="array" ref="O23">_xlfn.LET(_xlpm.calc,COUNTIFS(Rate_Gp,O$11,Pay_Key_Gps,"*"&amp;$A$8&amp;"*",Pay_Code,$A23,pp_Hrs_Wkd_Pay_Code,"&gt;="&amp;$V$1,pp_OT_Pay_Code,"&gt;="&amp;$V$2,pp_Bon_Pay_Code,"&gt;="&amp;$V$3,pp_Meal_Pay_Code,"&gt;="&amp;$V$4,pp_Sick_Pay_Code,"&gt;="&amp;$V$5,pp_Diff_Pay_Code,"&gt;="&amp;$V$6),_xlpm.calc2,COUNTIFS(Pay_Key_Gps,"*"&amp;$A$8&amp;"*",Pay_Code,$A23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23" s="138" t="e" cm="1">
        <f t="array" ref="P23">_xlfn.LET(_xlpm.calc,COUNTIFS(Rate_Gp,P$11,Pay_Key_Gps,"*"&amp;$A$8&amp;"*",Pay_Code,$A23,pp_Hrs_Wkd_Pay_Code,"&gt;="&amp;$V$1,pp_OT_Pay_Code,"&gt;="&amp;$V$2,pp_Bon_Pay_Code,"&gt;="&amp;$V$3,pp_Meal_Pay_Code,"&gt;="&amp;$V$4,pp_Sick_Pay_Code,"&gt;="&amp;$V$5,pp_Diff_Pay_Code,"&gt;="&amp;$V$6),_xlpm.calc2,COUNTIFS(Pay_Key_Gps,"*"&amp;$A$8&amp;"*",Pay_Code,$A23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23" s="138" t="e" cm="1">
        <f t="array" ref="Q23">_xlfn.LET(_xlpm.calc,COUNTIFS(Rate_Gp,Q$11,Pay_Key_Gps,"*"&amp;$A$8&amp;"*",Pay_Code,$A23,pp_Hrs_Wkd_Pay_Code,"&gt;="&amp;$V$1,pp_OT_Pay_Code,"&gt;="&amp;$V$2,pp_Bon_Pay_Code,"&gt;="&amp;$V$3,pp_Meal_Pay_Code,"&gt;="&amp;$V$4,pp_Sick_Pay_Code,"&gt;="&amp;$V$5,pp_Diff_Pay_Code,"&gt;="&amp;$V$6),_xlpm.calc2,COUNTIFS(Pay_Key_Gps,"*"&amp;$A$8&amp;"*",Pay_Code,$A23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23" s="138" t="e" cm="1">
        <f t="array" ref="R23">_xlfn.LET(_xlpm.calc,COUNTIFS(Rate_Gp,R$11,Pay_Key_Gps,"*"&amp;$A$8&amp;"*",Pay_Code,$A23,pp_Hrs_Wkd_Pay_Code,"&gt;="&amp;$V$1,pp_OT_Pay_Code,"&gt;="&amp;$V$2,pp_Bon_Pay_Code,"&gt;="&amp;$V$3,pp_Meal_Pay_Code,"&gt;="&amp;$V$4,pp_Sick_Pay_Code,"&gt;="&amp;$V$5,pp_Diff_Pay_Code,"&gt;="&amp;$V$6),_xlpm.calc2,COUNTIFS(Pay_Key_Gps,"*"&amp;$A$8&amp;"*",Pay_Code,$A23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23" s="138" t="e" cm="1">
        <f t="array" ref="S23">_xlfn.LET(_xlpm.calc,COUNTIFS(Rate_Gp,S$11,Pay_Key_Gps,"*"&amp;$A$8&amp;"*",Pay_Code,$A23,pp_Hrs_Wkd_Pay_Code,"&gt;="&amp;$V$1,pp_OT_Pay_Code,"&gt;="&amp;$V$2,pp_Bon_Pay_Code,"&gt;="&amp;$V$3,pp_Meal_Pay_Code,"&gt;="&amp;$V$4,pp_Sick_Pay_Code,"&gt;="&amp;$V$5,pp_Diff_Pay_Code,"&gt;="&amp;$V$6),_xlpm.calc2,COUNTIFS(Pay_Key_Gps,"*"&amp;$A$8&amp;"*",Pay_Code,$A23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23" s="138" t="e" cm="1">
        <f t="array" ref="T23">_xlfn.LET(_xlpm.calc,COUNTIFS(Rate_Gp,T$11,Pay_Key_Gps,"*"&amp;$A$8&amp;"*",Pay_Code,$A23,pp_Hrs_Wkd_Pay_Code,"&gt;="&amp;$V$1,pp_OT_Pay_Code,"&gt;="&amp;$V$2,pp_Bon_Pay_Code,"&gt;="&amp;$V$3,pp_Meal_Pay_Code,"&gt;="&amp;$V$4,pp_Sick_Pay_Code,"&gt;="&amp;$V$5,pp_Diff_Pay_Code,"&gt;="&amp;$V$6),_xlpm.calc2,COUNTIFS(Pay_Key_Gps,"*"&amp;$A$8&amp;"*",Pay_Code,$A23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23" s="139" t="e" cm="1">
        <f t="array" ref="U23">_xlfn.LET(_xlpm.calc,COUNTIFS(Pay_Key_Gps,"*"&amp;$A$8&amp;"*",Pay_Code,$A23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23" s="118"/>
      <c r="W23" s="118"/>
      <c r="X23" s="149"/>
      <c r="Y23" s="149"/>
      <c r="Z23" s="149"/>
      <c r="AA23" s="149"/>
      <c r="AB23" s="140" t="e">
        <f t="shared" si="3"/>
        <v>#NAME?</v>
      </c>
    </row>
    <row r="24" spans="1:28" s="123" customFormat="1" x14ac:dyDescent="0.25">
      <c r="A24" s="133"/>
      <c r="B24" s="134" t="e" cm="1">
        <f t="array" ref="B24">_xlfn.LET(_xlpm.calc,_xlfn.MINIFS(Pay_Period_End,Pay_Key_Gps,"*"&amp;$A$8&amp;"*",Pay_Code,$A24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24" s="134" t="e" cm="1">
        <f t="array" ref="C24">_xlfn.LET(_xlpm.calc,_xlfn.MAXIFS(Pay_Period_End,Pay_Key_Gps,"*"&amp;$A$8&amp;"*",Pay_Code,$A24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24" s="135" t="str" cm="1">
        <f t="array" ref="D24">_xlfn.LET(_xlpm.calc,IFERROR(ROWS(_xlfn.UNIQUE(_xlfn._xlws.FILTER(Pay_ID,(IFERROR(SEARCH($A$8,Pay_Key_Gps),0)&gt;0) * (Pay_Code=$A24) * (pp_Hrs_Wkd_Pay_Code &gt;= $V$1) * (pp_OT_Pay_Code &gt;= $V$2) * (pp_Bon_Pay_Code &gt;= $V$3) * (pp_Meal_Pay_Code &gt;= $V$4) * (pp_Sick_Pay_Code &gt;= $V$5) * (pp_Diff_Pay_Code &gt;= $V$6)))),0),_xlpm.perc,_xlpm.calc/D$69,IFERROR(IF(_xlpm.calc&gt;1000,_xlfn.CONCAT(TEXT(_xlpm.calc,"0,000")," (",TEXT(_xlpm.perc,"0.0%"),")"),_xlfn.CONCAT(_xlpm.calc," (",TEXT(_xlpm.perc,"0.0%"),")")),"-"))</f>
        <v>-</v>
      </c>
      <c r="E24" s="135" t="str" cm="1">
        <f t="array" ref="E24">_xlfn.LET(_xlpm.calc,IFERROR(ROWS(_xlfn.UNIQUE(_xlfn._xlws.FILTER(Pay_ID_Period_End,(IFERROR(SEARCH($A$8,Pay_Key_Gps),0)&gt;0) * (Pay_Code=$A24) * (pp_Hrs_Wkd_Pay_Code &gt;= $V$1) * (pp_OT_Pay_Code &gt;= $V$2) * (pp_Bon_Pay_Code &gt;= $V$3) * (pp_Meal_Pay_Code &gt;= $V$4) * (pp_Sick_Pay_Code &gt;= $V$5) * (pp_Diff_Pay_Code &gt;= $V$6)))),0),_xlpm.perc,_xlpm.calc/E$69,IFERROR(IF(_xlpm.calc&gt;1000,_xlfn.CONCAT(TEXT(_xlpm.calc,"0,000")," (",TEXT(_xlpm.perc,"0.0%"),")"),_xlfn.CONCAT(_xlpm.calc," (",TEXT(_xlpm.perc,"0.0%"),")")),"-"))</f>
        <v>-</v>
      </c>
      <c r="F24" s="136" t="e">
        <f t="shared" si="1"/>
        <v>#NAME?</v>
      </c>
      <c r="G24" s="137" t="e">
        <f t="shared" si="2"/>
        <v>#NAME?</v>
      </c>
      <c r="H24" s="137" t="str" cm="1">
        <f t="array" ref="H24">IFERROR(AVERAGEIFS(Pay_Amount,Pay_Key_Gps,"*"&amp;$A$8&amp;"*",Pay_Code,$A24,pp_Hrs_Wkd_Pay_Code,"&gt;="&amp;$V$1,pp_OT_Pay_Code,"&gt;="&amp;$V$2,pp_Bon_Pay_Code,"&gt;="&amp;$V$3,pp_Meal_Pay_Code,"&gt;="&amp;$V$4,pp_Sick_Pay_Code,"&gt;="&amp;$V$5,pp_Diff_Pay_Code,"&gt;="&amp;$V$6),"-")</f>
        <v>-</v>
      </c>
      <c r="I24" s="122"/>
      <c r="J24" s="133">
        <f t="shared" si="4"/>
        <v>0</v>
      </c>
      <c r="K24" s="138" t="e" cm="1">
        <f t="array" ref="K24">_xlfn.LET(_xlpm.calc,COUNTIFS(Rate_Gp,K$11,Pay_Key_Gps,"*"&amp;$A$8&amp;"*",Pay_Code,$A24,pp_Hrs_Wkd_Pay_Code,"&gt;="&amp;$V$1,pp_OT_Pay_Code,"&gt;="&amp;$V$2,pp_Bon_Pay_Code,"&gt;="&amp;$V$3,pp_Meal_Pay_Code,"&gt;="&amp;$V$4,pp_Sick_Pay_Code,"&gt;="&amp;$V$5,pp_Diff_Pay_Code,"&gt;="&amp;$V$6),_xlpm.calc2,COUNTIFS(Pay_Key_Gps,"*"&amp;$A$8&amp;"*",Pay_Code,$A24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24" s="138" t="e" cm="1">
        <f t="array" ref="L24">_xlfn.LET(_xlpm.calc,COUNTIFS(Rate_Gp,L$11,Pay_Key_Gps,"*"&amp;$A$8&amp;"*",Pay_Code,$A24,pp_Hrs_Wkd_Pay_Code,"&gt;="&amp;$V$1,pp_OT_Pay_Code,"&gt;="&amp;$V$2,pp_Bon_Pay_Code,"&gt;="&amp;$V$3,pp_Meal_Pay_Code,"&gt;="&amp;$V$4,pp_Sick_Pay_Code,"&gt;="&amp;$V$5,pp_Diff_Pay_Code,"&gt;="&amp;$V$6),_xlpm.calc2,COUNTIFS(Pay_Key_Gps,"*"&amp;$A$8&amp;"*",Pay_Code,$A24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24" s="138" t="e" cm="1">
        <f t="array" ref="M24">_xlfn.LET(_xlpm.calc,COUNTIFS(Rate_Gp,M$11,Pay_Key_Gps,"*"&amp;$A$8&amp;"*",Pay_Code,$A24,pp_Hrs_Wkd_Pay_Code,"&gt;="&amp;$V$1,pp_OT_Pay_Code,"&gt;="&amp;$V$2,pp_Bon_Pay_Code,"&gt;="&amp;$V$3,pp_Meal_Pay_Code,"&gt;="&amp;$V$4,pp_Sick_Pay_Code,"&gt;="&amp;$V$5,pp_Diff_Pay_Code,"&gt;="&amp;$V$6),_xlpm.calc2,COUNTIFS(Pay_Key_Gps,"*"&amp;$A$8&amp;"*",Pay_Code,$A24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24" s="138" t="e" cm="1">
        <f t="array" ref="N24">_xlfn.LET(_xlpm.calc,COUNTIFS(Rate_Gp,N$11,Pay_Key_Gps,"*"&amp;$A$8&amp;"*",Pay_Code,$A24,pp_Hrs_Wkd_Pay_Code,"&gt;="&amp;$V$1,pp_OT_Pay_Code,"&gt;="&amp;$V$2,pp_Bon_Pay_Code,"&gt;="&amp;$V$3,pp_Meal_Pay_Code,"&gt;="&amp;$V$4,pp_Sick_Pay_Code,"&gt;="&amp;$V$5,pp_Diff_Pay_Code,"&gt;="&amp;$V$6),_xlpm.calc2,COUNTIFS(Pay_Key_Gps,"*"&amp;$A$8&amp;"*",Pay_Code,$A24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24" s="138" t="e" cm="1">
        <f t="array" ref="O24">_xlfn.LET(_xlpm.calc,COUNTIFS(Rate_Gp,O$11,Pay_Key_Gps,"*"&amp;$A$8&amp;"*",Pay_Code,$A24,pp_Hrs_Wkd_Pay_Code,"&gt;="&amp;$V$1,pp_OT_Pay_Code,"&gt;="&amp;$V$2,pp_Bon_Pay_Code,"&gt;="&amp;$V$3,pp_Meal_Pay_Code,"&gt;="&amp;$V$4,pp_Sick_Pay_Code,"&gt;="&amp;$V$5,pp_Diff_Pay_Code,"&gt;="&amp;$V$6),_xlpm.calc2,COUNTIFS(Pay_Key_Gps,"*"&amp;$A$8&amp;"*",Pay_Code,$A24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24" s="138" t="e" cm="1">
        <f t="array" ref="P24">_xlfn.LET(_xlpm.calc,COUNTIFS(Rate_Gp,P$11,Pay_Key_Gps,"*"&amp;$A$8&amp;"*",Pay_Code,$A24,pp_Hrs_Wkd_Pay_Code,"&gt;="&amp;$V$1,pp_OT_Pay_Code,"&gt;="&amp;$V$2,pp_Bon_Pay_Code,"&gt;="&amp;$V$3,pp_Meal_Pay_Code,"&gt;="&amp;$V$4,pp_Sick_Pay_Code,"&gt;="&amp;$V$5,pp_Diff_Pay_Code,"&gt;="&amp;$V$6),_xlpm.calc2,COUNTIFS(Pay_Key_Gps,"*"&amp;$A$8&amp;"*",Pay_Code,$A24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24" s="138" t="e" cm="1">
        <f t="array" ref="Q24">_xlfn.LET(_xlpm.calc,COUNTIFS(Rate_Gp,Q$11,Pay_Key_Gps,"*"&amp;$A$8&amp;"*",Pay_Code,$A24,pp_Hrs_Wkd_Pay_Code,"&gt;="&amp;$V$1,pp_OT_Pay_Code,"&gt;="&amp;$V$2,pp_Bon_Pay_Code,"&gt;="&amp;$V$3,pp_Meal_Pay_Code,"&gt;="&amp;$V$4,pp_Sick_Pay_Code,"&gt;="&amp;$V$5,pp_Diff_Pay_Code,"&gt;="&amp;$V$6),_xlpm.calc2,COUNTIFS(Pay_Key_Gps,"*"&amp;$A$8&amp;"*",Pay_Code,$A24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24" s="138" t="e" cm="1">
        <f t="array" ref="R24">_xlfn.LET(_xlpm.calc,COUNTIFS(Rate_Gp,R$11,Pay_Key_Gps,"*"&amp;$A$8&amp;"*",Pay_Code,$A24,pp_Hrs_Wkd_Pay_Code,"&gt;="&amp;$V$1,pp_OT_Pay_Code,"&gt;="&amp;$V$2,pp_Bon_Pay_Code,"&gt;="&amp;$V$3,pp_Meal_Pay_Code,"&gt;="&amp;$V$4,pp_Sick_Pay_Code,"&gt;="&amp;$V$5,pp_Diff_Pay_Code,"&gt;="&amp;$V$6),_xlpm.calc2,COUNTIFS(Pay_Key_Gps,"*"&amp;$A$8&amp;"*",Pay_Code,$A24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24" s="138" t="e" cm="1">
        <f t="array" ref="S24">_xlfn.LET(_xlpm.calc,COUNTIFS(Rate_Gp,S$11,Pay_Key_Gps,"*"&amp;$A$8&amp;"*",Pay_Code,$A24,pp_Hrs_Wkd_Pay_Code,"&gt;="&amp;$V$1,pp_OT_Pay_Code,"&gt;="&amp;$V$2,pp_Bon_Pay_Code,"&gt;="&amp;$V$3,pp_Meal_Pay_Code,"&gt;="&amp;$V$4,pp_Sick_Pay_Code,"&gt;="&amp;$V$5,pp_Diff_Pay_Code,"&gt;="&amp;$V$6),_xlpm.calc2,COUNTIFS(Pay_Key_Gps,"*"&amp;$A$8&amp;"*",Pay_Code,$A24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24" s="138" t="e" cm="1">
        <f t="array" ref="T24">_xlfn.LET(_xlpm.calc,COUNTIFS(Rate_Gp,T$11,Pay_Key_Gps,"*"&amp;$A$8&amp;"*",Pay_Code,$A24,pp_Hrs_Wkd_Pay_Code,"&gt;="&amp;$V$1,pp_OT_Pay_Code,"&gt;="&amp;$V$2,pp_Bon_Pay_Code,"&gt;="&amp;$V$3,pp_Meal_Pay_Code,"&gt;="&amp;$V$4,pp_Sick_Pay_Code,"&gt;="&amp;$V$5,pp_Diff_Pay_Code,"&gt;="&amp;$V$6),_xlpm.calc2,COUNTIFS(Pay_Key_Gps,"*"&amp;$A$8&amp;"*",Pay_Code,$A24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24" s="139" t="e" cm="1">
        <f t="array" ref="U24">_xlfn.LET(_xlpm.calc,COUNTIFS(Pay_Key_Gps,"*"&amp;$A$8&amp;"*",Pay_Code,$A24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24" s="118"/>
      <c r="W24" s="121"/>
      <c r="X24" s="149"/>
      <c r="Y24" s="149"/>
      <c r="Z24" s="149"/>
      <c r="AA24" s="149"/>
      <c r="AB24" s="140" t="e">
        <f t="shared" si="3"/>
        <v>#NAME?</v>
      </c>
    </row>
    <row r="25" spans="1:28" s="122" customFormat="1" x14ac:dyDescent="0.25">
      <c r="A25" s="133"/>
      <c r="B25" s="134" t="e" cm="1">
        <f t="array" ref="B25">_xlfn.LET(_xlpm.calc,_xlfn.MINIFS(Pay_Period_End,Pay_Key_Gps,"*"&amp;$A$8&amp;"*",Pay_Code,$A25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25" s="134" t="e" cm="1">
        <f t="array" ref="C25">_xlfn.LET(_xlpm.calc,_xlfn.MAXIFS(Pay_Period_End,Pay_Key_Gps,"*"&amp;$A$8&amp;"*",Pay_Code,$A25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25" s="135" t="str" cm="1">
        <f t="array" ref="D25">_xlfn.LET(_xlpm.calc,IFERROR(ROWS(_xlfn.UNIQUE(_xlfn._xlws.FILTER(Pay_ID,(IFERROR(SEARCH($A$8,Pay_Key_Gps),0)&gt;0) * (Pay_Code=$A25) * (pp_Hrs_Wkd_Pay_Code &gt;= $V$1) * (pp_OT_Pay_Code &gt;= $V$2) * (pp_Bon_Pay_Code &gt;= $V$3) * (pp_Meal_Pay_Code &gt;= $V$4) * (pp_Sick_Pay_Code &gt;= $V$5) * (pp_Diff_Pay_Code &gt;= $V$6)))),0),_xlpm.perc,_xlpm.calc/D$69,IFERROR(IF(_xlpm.calc&gt;1000,_xlfn.CONCAT(TEXT(_xlpm.calc,"0,000")," (",TEXT(_xlpm.perc,"0.0%"),")"),_xlfn.CONCAT(_xlpm.calc," (",TEXT(_xlpm.perc,"0.0%"),")")),"-"))</f>
        <v>-</v>
      </c>
      <c r="E25" s="135" t="str" cm="1">
        <f t="array" ref="E25">_xlfn.LET(_xlpm.calc,IFERROR(ROWS(_xlfn.UNIQUE(_xlfn._xlws.FILTER(Pay_ID_Period_End,(IFERROR(SEARCH($A$8,Pay_Key_Gps),0)&gt;0) * (Pay_Code=$A25) * (pp_Hrs_Wkd_Pay_Code &gt;= $V$1) * (pp_OT_Pay_Code &gt;= $V$2) * (pp_Bon_Pay_Code &gt;= $V$3) * (pp_Meal_Pay_Code &gt;= $V$4) * (pp_Sick_Pay_Code &gt;= $V$5) * (pp_Diff_Pay_Code &gt;= $V$6)))),0),_xlpm.perc,_xlpm.calc/E$69,IFERROR(IF(_xlpm.calc&gt;1000,_xlfn.CONCAT(TEXT(_xlpm.calc,"0,000")," (",TEXT(_xlpm.perc,"0.0%"),")"),_xlfn.CONCAT(_xlpm.calc," (",TEXT(_xlpm.perc,"0.0%"),")")),"-"))</f>
        <v>-</v>
      </c>
      <c r="F25" s="136" t="e">
        <f t="shared" si="1"/>
        <v>#NAME?</v>
      </c>
      <c r="G25" s="137" t="e">
        <f t="shared" si="2"/>
        <v>#NAME?</v>
      </c>
      <c r="H25" s="137" t="str" cm="1">
        <f t="array" ref="H25">IFERROR(AVERAGEIFS(Pay_Amount,Pay_Key_Gps,"*"&amp;$A$8&amp;"*",Pay_Code,$A25,pp_Hrs_Wkd_Pay_Code,"&gt;="&amp;$V$1,pp_OT_Pay_Code,"&gt;="&amp;$V$2,pp_Bon_Pay_Code,"&gt;="&amp;$V$3,pp_Meal_Pay_Code,"&gt;="&amp;$V$4,pp_Sick_Pay_Code,"&gt;="&amp;$V$5,pp_Diff_Pay_Code,"&gt;="&amp;$V$6),"-")</f>
        <v>-</v>
      </c>
      <c r="J25" s="133">
        <f t="shared" si="4"/>
        <v>0</v>
      </c>
      <c r="K25" s="138" t="e" cm="1">
        <f t="array" ref="K25">_xlfn.LET(_xlpm.calc,COUNTIFS(Rate_Gp,K$11,Pay_Key_Gps,"*"&amp;$A$8&amp;"*",Pay_Code,$A25,pp_Hrs_Wkd_Pay_Code,"&gt;="&amp;$V$1,pp_OT_Pay_Code,"&gt;="&amp;$V$2,pp_Bon_Pay_Code,"&gt;="&amp;$V$3,pp_Meal_Pay_Code,"&gt;="&amp;$V$4,pp_Sick_Pay_Code,"&gt;="&amp;$V$5,pp_Diff_Pay_Code,"&gt;="&amp;$V$6),_xlpm.calc2,COUNTIFS(Pay_Key_Gps,"*"&amp;$A$8&amp;"*",Pay_Code,$A25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25" s="138" t="e" cm="1">
        <f t="array" ref="L25">_xlfn.LET(_xlpm.calc,COUNTIFS(Rate_Gp,L$11,Pay_Key_Gps,"*"&amp;$A$8&amp;"*",Pay_Code,$A25,pp_Hrs_Wkd_Pay_Code,"&gt;="&amp;$V$1,pp_OT_Pay_Code,"&gt;="&amp;$V$2,pp_Bon_Pay_Code,"&gt;="&amp;$V$3,pp_Meal_Pay_Code,"&gt;="&amp;$V$4,pp_Sick_Pay_Code,"&gt;="&amp;$V$5,pp_Diff_Pay_Code,"&gt;="&amp;$V$6),_xlpm.calc2,COUNTIFS(Pay_Key_Gps,"*"&amp;$A$8&amp;"*",Pay_Code,$A25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25" s="138" t="e" cm="1">
        <f t="array" ref="M25">_xlfn.LET(_xlpm.calc,COUNTIFS(Rate_Gp,M$11,Pay_Key_Gps,"*"&amp;$A$8&amp;"*",Pay_Code,$A25,pp_Hrs_Wkd_Pay_Code,"&gt;="&amp;$V$1,pp_OT_Pay_Code,"&gt;="&amp;$V$2,pp_Bon_Pay_Code,"&gt;="&amp;$V$3,pp_Meal_Pay_Code,"&gt;="&amp;$V$4,pp_Sick_Pay_Code,"&gt;="&amp;$V$5,pp_Diff_Pay_Code,"&gt;="&amp;$V$6),_xlpm.calc2,COUNTIFS(Pay_Key_Gps,"*"&amp;$A$8&amp;"*",Pay_Code,$A25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25" s="138" t="e" cm="1">
        <f t="array" ref="N25">_xlfn.LET(_xlpm.calc,COUNTIFS(Rate_Gp,N$11,Pay_Key_Gps,"*"&amp;$A$8&amp;"*",Pay_Code,$A25,pp_Hrs_Wkd_Pay_Code,"&gt;="&amp;$V$1,pp_OT_Pay_Code,"&gt;="&amp;$V$2,pp_Bon_Pay_Code,"&gt;="&amp;$V$3,pp_Meal_Pay_Code,"&gt;="&amp;$V$4,pp_Sick_Pay_Code,"&gt;="&amp;$V$5,pp_Diff_Pay_Code,"&gt;="&amp;$V$6),_xlpm.calc2,COUNTIFS(Pay_Key_Gps,"*"&amp;$A$8&amp;"*",Pay_Code,$A25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25" s="138" t="e" cm="1">
        <f t="array" ref="O25">_xlfn.LET(_xlpm.calc,COUNTIFS(Rate_Gp,O$11,Pay_Key_Gps,"*"&amp;$A$8&amp;"*",Pay_Code,$A25,pp_Hrs_Wkd_Pay_Code,"&gt;="&amp;$V$1,pp_OT_Pay_Code,"&gt;="&amp;$V$2,pp_Bon_Pay_Code,"&gt;="&amp;$V$3,pp_Meal_Pay_Code,"&gt;="&amp;$V$4,pp_Sick_Pay_Code,"&gt;="&amp;$V$5,pp_Diff_Pay_Code,"&gt;="&amp;$V$6),_xlpm.calc2,COUNTIFS(Pay_Key_Gps,"*"&amp;$A$8&amp;"*",Pay_Code,$A25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25" s="138" t="e" cm="1">
        <f t="array" ref="P25">_xlfn.LET(_xlpm.calc,COUNTIFS(Rate_Gp,P$11,Pay_Key_Gps,"*"&amp;$A$8&amp;"*",Pay_Code,$A25,pp_Hrs_Wkd_Pay_Code,"&gt;="&amp;$V$1,pp_OT_Pay_Code,"&gt;="&amp;$V$2,pp_Bon_Pay_Code,"&gt;="&amp;$V$3,pp_Meal_Pay_Code,"&gt;="&amp;$V$4,pp_Sick_Pay_Code,"&gt;="&amp;$V$5,pp_Diff_Pay_Code,"&gt;="&amp;$V$6),_xlpm.calc2,COUNTIFS(Pay_Key_Gps,"*"&amp;$A$8&amp;"*",Pay_Code,$A25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25" s="138" t="e" cm="1">
        <f t="array" ref="Q25">_xlfn.LET(_xlpm.calc,COUNTIFS(Rate_Gp,Q$11,Pay_Key_Gps,"*"&amp;$A$8&amp;"*",Pay_Code,$A25,pp_Hrs_Wkd_Pay_Code,"&gt;="&amp;$V$1,pp_OT_Pay_Code,"&gt;="&amp;$V$2,pp_Bon_Pay_Code,"&gt;="&amp;$V$3,pp_Meal_Pay_Code,"&gt;="&amp;$V$4,pp_Sick_Pay_Code,"&gt;="&amp;$V$5,pp_Diff_Pay_Code,"&gt;="&amp;$V$6),_xlpm.calc2,COUNTIFS(Pay_Key_Gps,"*"&amp;$A$8&amp;"*",Pay_Code,$A25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25" s="138" t="e" cm="1">
        <f t="array" ref="R25">_xlfn.LET(_xlpm.calc,COUNTIFS(Rate_Gp,R$11,Pay_Key_Gps,"*"&amp;$A$8&amp;"*",Pay_Code,$A25,pp_Hrs_Wkd_Pay_Code,"&gt;="&amp;$V$1,pp_OT_Pay_Code,"&gt;="&amp;$V$2,pp_Bon_Pay_Code,"&gt;="&amp;$V$3,pp_Meal_Pay_Code,"&gt;="&amp;$V$4,pp_Sick_Pay_Code,"&gt;="&amp;$V$5,pp_Diff_Pay_Code,"&gt;="&amp;$V$6),_xlpm.calc2,COUNTIFS(Pay_Key_Gps,"*"&amp;$A$8&amp;"*",Pay_Code,$A25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25" s="138" t="e" cm="1">
        <f t="array" ref="S25">_xlfn.LET(_xlpm.calc,COUNTIFS(Rate_Gp,S$11,Pay_Key_Gps,"*"&amp;$A$8&amp;"*",Pay_Code,$A25,pp_Hrs_Wkd_Pay_Code,"&gt;="&amp;$V$1,pp_OT_Pay_Code,"&gt;="&amp;$V$2,pp_Bon_Pay_Code,"&gt;="&amp;$V$3,pp_Meal_Pay_Code,"&gt;="&amp;$V$4,pp_Sick_Pay_Code,"&gt;="&amp;$V$5,pp_Diff_Pay_Code,"&gt;="&amp;$V$6),_xlpm.calc2,COUNTIFS(Pay_Key_Gps,"*"&amp;$A$8&amp;"*",Pay_Code,$A25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25" s="138" t="e" cm="1">
        <f t="array" ref="T25">_xlfn.LET(_xlpm.calc,COUNTIFS(Rate_Gp,T$11,Pay_Key_Gps,"*"&amp;$A$8&amp;"*",Pay_Code,$A25,pp_Hrs_Wkd_Pay_Code,"&gt;="&amp;$V$1,pp_OT_Pay_Code,"&gt;="&amp;$V$2,pp_Bon_Pay_Code,"&gt;="&amp;$V$3,pp_Meal_Pay_Code,"&gt;="&amp;$V$4,pp_Sick_Pay_Code,"&gt;="&amp;$V$5,pp_Diff_Pay_Code,"&gt;="&amp;$V$6),_xlpm.calc2,COUNTIFS(Pay_Key_Gps,"*"&amp;$A$8&amp;"*",Pay_Code,$A25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25" s="139" t="e" cm="1">
        <f t="array" ref="U25">_xlfn.LET(_xlpm.calc,COUNTIFS(Pay_Key_Gps,"*"&amp;$A$8&amp;"*",Pay_Code,$A25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25" s="118"/>
      <c r="W25" s="118"/>
      <c r="X25" s="149"/>
      <c r="Y25" s="149"/>
      <c r="Z25" s="149"/>
      <c r="AA25" s="149"/>
      <c r="AB25" s="140" t="e">
        <f t="shared" si="3"/>
        <v>#NAME?</v>
      </c>
    </row>
    <row r="26" spans="1:28" s="122" customFormat="1" x14ac:dyDescent="0.25">
      <c r="A26" s="133"/>
      <c r="B26" s="134" t="e" cm="1">
        <f t="array" ref="B26">_xlfn.LET(_xlpm.calc,_xlfn.MINIFS(Pay_Period_End,Pay_Key_Gps,"*"&amp;$A$8&amp;"*",Pay_Code,$A26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26" s="134" t="e" cm="1">
        <f t="array" ref="C26">_xlfn.LET(_xlpm.calc,_xlfn.MAXIFS(Pay_Period_End,Pay_Key_Gps,"*"&amp;$A$8&amp;"*",Pay_Code,$A26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26" s="135" t="str" cm="1">
        <f t="array" ref="D26">_xlfn.LET(_xlpm.calc,IFERROR(ROWS(_xlfn.UNIQUE(_xlfn._xlws.FILTER(Pay_ID,(IFERROR(SEARCH($A$8,Pay_Key_Gps),0)&gt;0) * (Pay_Code=$A26) * (pp_Hrs_Wkd_Pay_Code &gt;= $V$1) * (pp_OT_Pay_Code &gt;= $V$2) * (pp_Bon_Pay_Code &gt;= $V$3) * (pp_Meal_Pay_Code &gt;= $V$4) * (pp_Sick_Pay_Code &gt;= $V$5) * (pp_Diff_Pay_Code &gt;= $V$6)))),0),_xlpm.perc,_xlpm.calc/D$69,IFERROR(IF(_xlpm.calc&gt;1000,_xlfn.CONCAT(TEXT(_xlpm.calc,"0,000")," (",TEXT(_xlpm.perc,"0.0%"),")"),_xlfn.CONCAT(_xlpm.calc," (",TEXT(_xlpm.perc,"0.0%"),")")),"-"))</f>
        <v>-</v>
      </c>
      <c r="E26" s="135" t="str" cm="1">
        <f t="array" ref="E26">_xlfn.LET(_xlpm.calc,IFERROR(ROWS(_xlfn.UNIQUE(_xlfn._xlws.FILTER(Pay_ID_Period_End,(IFERROR(SEARCH($A$8,Pay_Key_Gps),0)&gt;0) * (Pay_Code=$A26) * (pp_Hrs_Wkd_Pay_Code &gt;= $V$1) * (pp_OT_Pay_Code &gt;= $V$2) * (pp_Bon_Pay_Code &gt;= $V$3) * (pp_Meal_Pay_Code &gt;= $V$4) * (pp_Sick_Pay_Code &gt;= $V$5) * (pp_Diff_Pay_Code &gt;= $V$6)))),0),_xlpm.perc,_xlpm.calc/E$69,IFERROR(IF(_xlpm.calc&gt;1000,_xlfn.CONCAT(TEXT(_xlpm.calc,"0,000")," (",TEXT(_xlpm.perc,"0.0%"),")"),_xlfn.CONCAT(_xlpm.calc," (",TEXT(_xlpm.perc,"0.0%"),")")),"-"))</f>
        <v>-</v>
      </c>
      <c r="F26" s="136" t="e">
        <f t="shared" si="1"/>
        <v>#NAME?</v>
      </c>
      <c r="G26" s="137" t="e">
        <f t="shared" si="2"/>
        <v>#NAME?</v>
      </c>
      <c r="H26" s="137" t="str" cm="1">
        <f t="array" ref="H26">IFERROR(AVERAGEIFS(Pay_Amount,Pay_Key_Gps,"*"&amp;$A$8&amp;"*",Pay_Code,$A26,pp_Hrs_Wkd_Pay_Code,"&gt;="&amp;$V$1,pp_OT_Pay_Code,"&gt;="&amp;$V$2,pp_Bon_Pay_Code,"&gt;="&amp;$V$3,pp_Meal_Pay_Code,"&gt;="&amp;$V$4,pp_Sick_Pay_Code,"&gt;="&amp;$V$5,pp_Diff_Pay_Code,"&gt;="&amp;$V$6),"-")</f>
        <v>-</v>
      </c>
      <c r="J26" s="133">
        <f t="shared" si="4"/>
        <v>0</v>
      </c>
      <c r="K26" s="138" t="e" cm="1">
        <f t="array" ref="K26">_xlfn.LET(_xlpm.calc,COUNTIFS(Rate_Gp,K$11,Pay_Key_Gps,"*"&amp;$A$8&amp;"*",Pay_Code,$A26,pp_Hrs_Wkd_Pay_Code,"&gt;="&amp;$V$1,pp_OT_Pay_Code,"&gt;="&amp;$V$2,pp_Bon_Pay_Code,"&gt;="&amp;$V$3,pp_Meal_Pay_Code,"&gt;="&amp;$V$4,pp_Sick_Pay_Code,"&gt;="&amp;$V$5,pp_Diff_Pay_Code,"&gt;="&amp;$V$6),_xlpm.calc2,COUNTIFS(Pay_Key_Gps,"*"&amp;$A$8&amp;"*",Pay_Code,$A26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26" s="138" t="e" cm="1">
        <f t="array" ref="L26">_xlfn.LET(_xlpm.calc,COUNTIFS(Rate_Gp,L$11,Pay_Key_Gps,"*"&amp;$A$8&amp;"*",Pay_Code,$A26,pp_Hrs_Wkd_Pay_Code,"&gt;="&amp;$V$1,pp_OT_Pay_Code,"&gt;="&amp;$V$2,pp_Bon_Pay_Code,"&gt;="&amp;$V$3,pp_Meal_Pay_Code,"&gt;="&amp;$V$4,pp_Sick_Pay_Code,"&gt;="&amp;$V$5,pp_Diff_Pay_Code,"&gt;="&amp;$V$6),_xlpm.calc2,COUNTIFS(Pay_Key_Gps,"*"&amp;$A$8&amp;"*",Pay_Code,$A26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26" s="138" t="e" cm="1">
        <f t="array" ref="M26">_xlfn.LET(_xlpm.calc,COUNTIFS(Rate_Gp,M$11,Pay_Key_Gps,"*"&amp;$A$8&amp;"*",Pay_Code,$A26,pp_Hrs_Wkd_Pay_Code,"&gt;="&amp;$V$1,pp_OT_Pay_Code,"&gt;="&amp;$V$2,pp_Bon_Pay_Code,"&gt;="&amp;$V$3,pp_Meal_Pay_Code,"&gt;="&amp;$V$4,pp_Sick_Pay_Code,"&gt;="&amp;$V$5,pp_Diff_Pay_Code,"&gt;="&amp;$V$6),_xlpm.calc2,COUNTIFS(Pay_Key_Gps,"*"&amp;$A$8&amp;"*",Pay_Code,$A26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26" s="138" t="e" cm="1">
        <f t="array" ref="N26">_xlfn.LET(_xlpm.calc,COUNTIFS(Rate_Gp,N$11,Pay_Key_Gps,"*"&amp;$A$8&amp;"*",Pay_Code,$A26,pp_Hrs_Wkd_Pay_Code,"&gt;="&amp;$V$1,pp_OT_Pay_Code,"&gt;="&amp;$V$2,pp_Bon_Pay_Code,"&gt;="&amp;$V$3,pp_Meal_Pay_Code,"&gt;="&amp;$V$4,pp_Sick_Pay_Code,"&gt;="&amp;$V$5,pp_Diff_Pay_Code,"&gt;="&amp;$V$6),_xlpm.calc2,COUNTIFS(Pay_Key_Gps,"*"&amp;$A$8&amp;"*",Pay_Code,$A26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26" s="138" t="e" cm="1">
        <f t="array" ref="O26">_xlfn.LET(_xlpm.calc,COUNTIFS(Rate_Gp,O$11,Pay_Key_Gps,"*"&amp;$A$8&amp;"*",Pay_Code,$A26,pp_Hrs_Wkd_Pay_Code,"&gt;="&amp;$V$1,pp_OT_Pay_Code,"&gt;="&amp;$V$2,pp_Bon_Pay_Code,"&gt;="&amp;$V$3,pp_Meal_Pay_Code,"&gt;="&amp;$V$4,pp_Sick_Pay_Code,"&gt;="&amp;$V$5,pp_Diff_Pay_Code,"&gt;="&amp;$V$6),_xlpm.calc2,COUNTIFS(Pay_Key_Gps,"*"&amp;$A$8&amp;"*",Pay_Code,$A26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26" s="138" t="e" cm="1">
        <f t="array" ref="P26">_xlfn.LET(_xlpm.calc,COUNTIFS(Rate_Gp,P$11,Pay_Key_Gps,"*"&amp;$A$8&amp;"*",Pay_Code,$A26,pp_Hrs_Wkd_Pay_Code,"&gt;="&amp;$V$1,pp_OT_Pay_Code,"&gt;="&amp;$V$2,pp_Bon_Pay_Code,"&gt;="&amp;$V$3,pp_Meal_Pay_Code,"&gt;="&amp;$V$4,pp_Sick_Pay_Code,"&gt;="&amp;$V$5,pp_Diff_Pay_Code,"&gt;="&amp;$V$6),_xlpm.calc2,COUNTIFS(Pay_Key_Gps,"*"&amp;$A$8&amp;"*",Pay_Code,$A26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26" s="138" t="e" cm="1">
        <f t="array" ref="Q26">_xlfn.LET(_xlpm.calc,COUNTIFS(Rate_Gp,Q$11,Pay_Key_Gps,"*"&amp;$A$8&amp;"*",Pay_Code,$A26,pp_Hrs_Wkd_Pay_Code,"&gt;="&amp;$V$1,pp_OT_Pay_Code,"&gt;="&amp;$V$2,pp_Bon_Pay_Code,"&gt;="&amp;$V$3,pp_Meal_Pay_Code,"&gt;="&amp;$V$4,pp_Sick_Pay_Code,"&gt;="&amp;$V$5,pp_Diff_Pay_Code,"&gt;="&amp;$V$6),_xlpm.calc2,COUNTIFS(Pay_Key_Gps,"*"&amp;$A$8&amp;"*",Pay_Code,$A26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26" s="138" t="e" cm="1">
        <f t="array" ref="R26">_xlfn.LET(_xlpm.calc,COUNTIFS(Rate_Gp,R$11,Pay_Key_Gps,"*"&amp;$A$8&amp;"*",Pay_Code,$A26,pp_Hrs_Wkd_Pay_Code,"&gt;="&amp;$V$1,pp_OT_Pay_Code,"&gt;="&amp;$V$2,pp_Bon_Pay_Code,"&gt;="&amp;$V$3,pp_Meal_Pay_Code,"&gt;="&amp;$V$4,pp_Sick_Pay_Code,"&gt;="&amp;$V$5,pp_Diff_Pay_Code,"&gt;="&amp;$V$6),_xlpm.calc2,COUNTIFS(Pay_Key_Gps,"*"&amp;$A$8&amp;"*",Pay_Code,$A26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26" s="138" t="e" cm="1">
        <f t="array" ref="S26">_xlfn.LET(_xlpm.calc,COUNTIFS(Rate_Gp,S$11,Pay_Key_Gps,"*"&amp;$A$8&amp;"*",Pay_Code,$A26,pp_Hrs_Wkd_Pay_Code,"&gt;="&amp;$V$1,pp_OT_Pay_Code,"&gt;="&amp;$V$2,pp_Bon_Pay_Code,"&gt;="&amp;$V$3,pp_Meal_Pay_Code,"&gt;="&amp;$V$4,pp_Sick_Pay_Code,"&gt;="&amp;$V$5,pp_Diff_Pay_Code,"&gt;="&amp;$V$6),_xlpm.calc2,COUNTIFS(Pay_Key_Gps,"*"&amp;$A$8&amp;"*",Pay_Code,$A26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26" s="138" t="e" cm="1">
        <f t="array" ref="T26">_xlfn.LET(_xlpm.calc,COUNTIFS(Rate_Gp,T$11,Pay_Key_Gps,"*"&amp;$A$8&amp;"*",Pay_Code,$A26,pp_Hrs_Wkd_Pay_Code,"&gt;="&amp;$V$1,pp_OT_Pay_Code,"&gt;="&amp;$V$2,pp_Bon_Pay_Code,"&gt;="&amp;$V$3,pp_Meal_Pay_Code,"&gt;="&amp;$V$4,pp_Sick_Pay_Code,"&gt;="&amp;$V$5,pp_Diff_Pay_Code,"&gt;="&amp;$V$6),_xlpm.calc2,COUNTIFS(Pay_Key_Gps,"*"&amp;$A$8&amp;"*",Pay_Code,$A26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26" s="139" t="e" cm="1">
        <f t="array" ref="U26">_xlfn.LET(_xlpm.calc,COUNTIFS(Pay_Key_Gps,"*"&amp;$A$8&amp;"*",Pay_Code,$A26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26" s="118"/>
      <c r="W26" s="118"/>
      <c r="X26" s="149"/>
      <c r="Y26" s="149"/>
      <c r="Z26" s="149"/>
      <c r="AA26" s="149"/>
      <c r="AB26" s="140" t="e">
        <f t="shared" si="3"/>
        <v>#NAME?</v>
      </c>
    </row>
    <row r="27" spans="1:28" s="122" customFormat="1" x14ac:dyDescent="0.25">
      <c r="A27" s="133"/>
      <c r="B27" s="134" t="e" cm="1">
        <f t="array" ref="B27">_xlfn.LET(_xlpm.calc,_xlfn.MINIFS(Pay_Period_End,Pay_Key_Gps,"*"&amp;$A$8&amp;"*",Pay_Code,$A27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27" s="134" t="e" cm="1">
        <f t="array" ref="C27">_xlfn.LET(_xlpm.calc,_xlfn.MAXIFS(Pay_Period_End,Pay_Key_Gps,"*"&amp;$A$8&amp;"*",Pay_Code,$A27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27" s="135" t="str" cm="1">
        <f t="array" ref="D27">_xlfn.LET(_xlpm.calc,IFERROR(ROWS(_xlfn.UNIQUE(_xlfn._xlws.FILTER(Pay_ID,(IFERROR(SEARCH($A$8,Pay_Key_Gps),0)&gt;0) * (Pay_Code=$A27) * (pp_Hrs_Wkd_Pay_Code &gt;= $V$1) * (pp_OT_Pay_Code &gt;= $V$2) * (pp_Bon_Pay_Code &gt;= $V$3) * (pp_Meal_Pay_Code &gt;= $V$4) * (pp_Sick_Pay_Code &gt;= $V$5) * (pp_Diff_Pay_Code &gt;= $V$6)))),0),_xlpm.perc,_xlpm.calc/D$69,IFERROR(IF(_xlpm.calc&gt;1000,_xlfn.CONCAT(TEXT(_xlpm.calc,"0,000")," (",TEXT(_xlpm.perc,"0.0%"),")"),_xlfn.CONCAT(_xlpm.calc," (",TEXT(_xlpm.perc,"0.0%"),")")),"-"))</f>
        <v>-</v>
      </c>
      <c r="E27" s="135" t="str" cm="1">
        <f t="array" ref="E27">_xlfn.LET(_xlpm.calc,IFERROR(ROWS(_xlfn.UNIQUE(_xlfn._xlws.FILTER(Pay_ID_Period_End,(IFERROR(SEARCH($A$8,Pay_Key_Gps),0)&gt;0) * (Pay_Code=$A27) * (pp_Hrs_Wkd_Pay_Code &gt;= $V$1) * (pp_OT_Pay_Code &gt;= $V$2) * (pp_Bon_Pay_Code &gt;= $V$3) * (pp_Meal_Pay_Code &gt;= $V$4) * (pp_Sick_Pay_Code &gt;= $V$5) * (pp_Diff_Pay_Code &gt;= $V$6)))),0),_xlpm.perc,_xlpm.calc/E$69,IFERROR(IF(_xlpm.calc&gt;1000,_xlfn.CONCAT(TEXT(_xlpm.calc,"0,000")," (",TEXT(_xlpm.perc,"0.0%"),")"),_xlfn.CONCAT(_xlpm.calc," (",TEXT(_xlpm.perc,"0.0%"),")")),"-"))</f>
        <v>-</v>
      </c>
      <c r="F27" s="136" t="e">
        <f t="shared" si="1"/>
        <v>#NAME?</v>
      </c>
      <c r="G27" s="137" t="e">
        <f t="shared" si="2"/>
        <v>#NAME?</v>
      </c>
      <c r="H27" s="137" t="str" cm="1">
        <f t="array" ref="H27">IFERROR(AVERAGEIFS(Pay_Amount,Pay_Key_Gps,"*"&amp;$A$8&amp;"*",Pay_Code,$A27,pp_Hrs_Wkd_Pay_Code,"&gt;="&amp;$V$1,pp_OT_Pay_Code,"&gt;="&amp;$V$2,pp_Bon_Pay_Code,"&gt;="&amp;$V$3,pp_Meal_Pay_Code,"&gt;="&amp;$V$4,pp_Sick_Pay_Code,"&gt;="&amp;$V$5,pp_Diff_Pay_Code,"&gt;="&amp;$V$6),"-")</f>
        <v>-</v>
      </c>
      <c r="J27" s="133">
        <f t="shared" si="4"/>
        <v>0</v>
      </c>
      <c r="K27" s="138" t="e" cm="1">
        <f t="array" ref="K27">_xlfn.LET(_xlpm.calc,COUNTIFS(Rate_Gp,K$11,Pay_Key_Gps,"*"&amp;$A$8&amp;"*",Pay_Code,$A27,pp_Hrs_Wkd_Pay_Code,"&gt;="&amp;$V$1,pp_OT_Pay_Code,"&gt;="&amp;$V$2,pp_Bon_Pay_Code,"&gt;="&amp;$V$3,pp_Meal_Pay_Code,"&gt;="&amp;$V$4,pp_Sick_Pay_Code,"&gt;="&amp;$V$5,pp_Diff_Pay_Code,"&gt;="&amp;$V$6),_xlpm.calc2,COUNTIFS(Pay_Key_Gps,"*"&amp;$A$8&amp;"*",Pay_Code,$A27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27" s="138" t="e" cm="1">
        <f t="array" ref="L27">_xlfn.LET(_xlpm.calc,COUNTIFS(Rate_Gp,L$11,Pay_Key_Gps,"*"&amp;$A$8&amp;"*",Pay_Code,$A27,pp_Hrs_Wkd_Pay_Code,"&gt;="&amp;$V$1,pp_OT_Pay_Code,"&gt;="&amp;$V$2,pp_Bon_Pay_Code,"&gt;="&amp;$V$3,pp_Meal_Pay_Code,"&gt;="&amp;$V$4,pp_Sick_Pay_Code,"&gt;="&amp;$V$5,pp_Diff_Pay_Code,"&gt;="&amp;$V$6),_xlpm.calc2,COUNTIFS(Pay_Key_Gps,"*"&amp;$A$8&amp;"*",Pay_Code,$A27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27" s="138" t="e" cm="1">
        <f t="array" ref="M27">_xlfn.LET(_xlpm.calc,COUNTIFS(Rate_Gp,M$11,Pay_Key_Gps,"*"&amp;$A$8&amp;"*",Pay_Code,$A27,pp_Hrs_Wkd_Pay_Code,"&gt;="&amp;$V$1,pp_OT_Pay_Code,"&gt;="&amp;$V$2,pp_Bon_Pay_Code,"&gt;="&amp;$V$3,pp_Meal_Pay_Code,"&gt;="&amp;$V$4,pp_Sick_Pay_Code,"&gt;="&amp;$V$5,pp_Diff_Pay_Code,"&gt;="&amp;$V$6),_xlpm.calc2,COUNTIFS(Pay_Key_Gps,"*"&amp;$A$8&amp;"*",Pay_Code,$A27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27" s="138" t="e" cm="1">
        <f t="array" ref="N27">_xlfn.LET(_xlpm.calc,COUNTIFS(Rate_Gp,N$11,Pay_Key_Gps,"*"&amp;$A$8&amp;"*",Pay_Code,$A27,pp_Hrs_Wkd_Pay_Code,"&gt;="&amp;$V$1,pp_OT_Pay_Code,"&gt;="&amp;$V$2,pp_Bon_Pay_Code,"&gt;="&amp;$V$3,pp_Meal_Pay_Code,"&gt;="&amp;$V$4,pp_Sick_Pay_Code,"&gt;="&amp;$V$5,pp_Diff_Pay_Code,"&gt;="&amp;$V$6),_xlpm.calc2,COUNTIFS(Pay_Key_Gps,"*"&amp;$A$8&amp;"*",Pay_Code,$A27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27" s="138" t="e" cm="1">
        <f t="array" ref="O27">_xlfn.LET(_xlpm.calc,COUNTIFS(Rate_Gp,O$11,Pay_Key_Gps,"*"&amp;$A$8&amp;"*",Pay_Code,$A27,pp_Hrs_Wkd_Pay_Code,"&gt;="&amp;$V$1,pp_OT_Pay_Code,"&gt;="&amp;$V$2,pp_Bon_Pay_Code,"&gt;="&amp;$V$3,pp_Meal_Pay_Code,"&gt;="&amp;$V$4,pp_Sick_Pay_Code,"&gt;="&amp;$V$5,pp_Diff_Pay_Code,"&gt;="&amp;$V$6),_xlpm.calc2,COUNTIFS(Pay_Key_Gps,"*"&amp;$A$8&amp;"*",Pay_Code,$A27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27" s="138" t="e" cm="1">
        <f t="array" ref="P27">_xlfn.LET(_xlpm.calc,COUNTIFS(Rate_Gp,P$11,Pay_Key_Gps,"*"&amp;$A$8&amp;"*",Pay_Code,$A27,pp_Hrs_Wkd_Pay_Code,"&gt;="&amp;$V$1,pp_OT_Pay_Code,"&gt;="&amp;$V$2,pp_Bon_Pay_Code,"&gt;="&amp;$V$3,pp_Meal_Pay_Code,"&gt;="&amp;$V$4,pp_Sick_Pay_Code,"&gt;="&amp;$V$5,pp_Diff_Pay_Code,"&gt;="&amp;$V$6),_xlpm.calc2,COUNTIFS(Pay_Key_Gps,"*"&amp;$A$8&amp;"*",Pay_Code,$A27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27" s="138" t="e" cm="1">
        <f t="array" ref="Q27">_xlfn.LET(_xlpm.calc,COUNTIFS(Rate_Gp,Q$11,Pay_Key_Gps,"*"&amp;$A$8&amp;"*",Pay_Code,$A27,pp_Hrs_Wkd_Pay_Code,"&gt;="&amp;$V$1,pp_OT_Pay_Code,"&gt;="&amp;$V$2,pp_Bon_Pay_Code,"&gt;="&amp;$V$3,pp_Meal_Pay_Code,"&gt;="&amp;$V$4,pp_Sick_Pay_Code,"&gt;="&amp;$V$5,pp_Diff_Pay_Code,"&gt;="&amp;$V$6),_xlpm.calc2,COUNTIFS(Pay_Key_Gps,"*"&amp;$A$8&amp;"*",Pay_Code,$A27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27" s="138" t="e" cm="1">
        <f t="array" ref="R27">_xlfn.LET(_xlpm.calc,COUNTIFS(Rate_Gp,R$11,Pay_Key_Gps,"*"&amp;$A$8&amp;"*",Pay_Code,$A27,pp_Hrs_Wkd_Pay_Code,"&gt;="&amp;$V$1,pp_OT_Pay_Code,"&gt;="&amp;$V$2,pp_Bon_Pay_Code,"&gt;="&amp;$V$3,pp_Meal_Pay_Code,"&gt;="&amp;$V$4,pp_Sick_Pay_Code,"&gt;="&amp;$V$5,pp_Diff_Pay_Code,"&gt;="&amp;$V$6),_xlpm.calc2,COUNTIFS(Pay_Key_Gps,"*"&amp;$A$8&amp;"*",Pay_Code,$A27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27" s="138" t="e" cm="1">
        <f t="array" ref="S27">_xlfn.LET(_xlpm.calc,COUNTIFS(Rate_Gp,S$11,Pay_Key_Gps,"*"&amp;$A$8&amp;"*",Pay_Code,$A27,pp_Hrs_Wkd_Pay_Code,"&gt;="&amp;$V$1,pp_OT_Pay_Code,"&gt;="&amp;$V$2,pp_Bon_Pay_Code,"&gt;="&amp;$V$3,pp_Meal_Pay_Code,"&gt;="&amp;$V$4,pp_Sick_Pay_Code,"&gt;="&amp;$V$5,pp_Diff_Pay_Code,"&gt;="&amp;$V$6),_xlpm.calc2,COUNTIFS(Pay_Key_Gps,"*"&amp;$A$8&amp;"*",Pay_Code,$A27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27" s="138" t="e" cm="1">
        <f t="array" ref="T27">_xlfn.LET(_xlpm.calc,COUNTIFS(Rate_Gp,T$11,Pay_Key_Gps,"*"&amp;$A$8&amp;"*",Pay_Code,$A27,pp_Hrs_Wkd_Pay_Code,"&gt;="&amp;$V$1,pp_OT_Pay_Code,"&gt;="&amp;$V$2,pp_Bon_Pay_Code,"&gt;="&amp;$V$3,pp_Meal_Pay_Code,"&gt;="&amp;$V$4,pp_Sick_Pay_Code,"&gt;="&amp;$V$5,pp_Diff_Pay_Code,"&gt;="&amp;$V$6),_xlpm.calc2,COUNTIFS(Pay_Key_Gps,"*"&amp;$A$8&amp;"*",Pay_Code,$A27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27" s="139" t="e" cm="1">
        <f t="array" ref="U27">_xlfn.LET(_xlpm.calc,COUNTIFS(Pay_Key_Gps,"*"&amp;$A$8&amp;"*",Pay_Code,$A27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27" s="118"/>
      <c r="W27" s="118"/>
      <c r="X27" s="149"/>
      <c r="Y27" s="149"/>
      <c r="Z27" s="149"/>
      <c r="AA27" s="149"/>
      <c r="AB27" s="140" t="e">
        <f t="shared" si="3"/>
        <v>#NAME?</v>
      </c>
    </row>
    <row r="28" spans="1:28" s="122" customFormat="1" x14ac:dyDescent="0.25">
      <c r="A28" s="133"/>
      <c r="B28" s="134" t="e" cm="1">
        <f t="array" ref="B28">_xlfn.LET(_xlpm.calc,_xlfn.MINIFS(Pay_Period_End,Pay_Key_Gps,"*"&amp;$A$8&amp;"*",Pay_Code,$A28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28" s="134" t="e" cm="1">
        <f t="array" ref="C28">_xlfn.LET(_xlpm.calc,_xlfn.MAXIFS(Pay_Period_End,Pay_Key_Gps,"*"&amp;$A$8&amp;"*",Pay_Code,$A28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28" s="135" t="str" cm="1">
        <f t="array" ref="D28">_xlfn.LET(_xlpm.calc,IFERROR(ROWS(_xlfn.UNIQUE(_xlfn._xlws.FILTER(Pay_ID,(IFERROR(SEARCH($A$8,Pay_Key_Gps),0)&gt;0) * (Pay_Code=$A28) * (pp_Hrs_Wkd_Pay_Code &gt;= $V$1) * (pp_OT_Pay_Code &gt;= $V$2) * (pp_Bon_Pay_Code &gt;= $V$3) * (pp_Meal_Pay_Code &gt;= $V$4) * (pp_Sick_Pay_Code &gt;= $V$5) * (pp_Diff_Pay_Code &gt;= $V$6)))),0),_xlpm.perc,_xlpm.calc/D$69,IFERROR(IF(_xlpm.calc&gt;1000,_xlfn.CONCAT(TEXT(_xlpm.calc,"0,000")," (",TEXT(_xlpm.perc,"0.0%"),")"),_xlfn.CONCAT(_xlpm.calc," (",TEXT(_xlpm.perc,"0.0%"),")")),"-"))</f>
        <v>-</v>
      </c>
      <c r="E28" s="135" t="str" cm="1">
        <f t="array" ref="E28">_xlfn.LET(_xlpm.calc,IFERROR(ROWS(_xlfn.UNIQUE(_xlfn._xlws.FILTER(Pay_ID_Period_End,(IFERROR(SEARCH($A$8,Pay_Key_Gps),0)&gt;0) * (Pay_Code=$A28) * (pp_Hrs_Wkd_Pay_Code &gt;= $V$1) * (pp_OT_Pay_Code &gt;= $V$2) * (pp_Bon_Pay_Code &gt;= $V$3) * (pp_Meal_Pay_Code &gt;= $V$4) * (pp_Sick_Pay_Code &gt;= $V$5) * (pp_Diff_Pay_Code &gt;= $V$6)))),0),_xlpm.perc,_xlpm.calc/E$69,IFERROR(IF(_xlpm.calc&gt;1000,_xlfn.CONCAT(TEXT(_xlpm.calc,"0,000")," (",TEXT(_xlpm.perc,"0.0%"),")"),_xlfn.CONCAT(_xlpm.calc," (",TEXT(_xlpm.perc,"0.0%"),")")),"-"))</f>
        <v>-</v>
      </c>
      <c r="F28" s="136" t="e">
        <f t="shared" si="1"/>
        <v>#NAME?</v>
      </c>
      <c r="G28" s="137" t="e">
        <f t="shared" si="2"/>
        <v>#NAME?</v>
      </c>
      <c r="H28" s="137" t="str" cm="1">
        <f t="array" ref="H28">IFERROR(AVERAGEIFS(Pay_Amount,Pay_Key_Gps,"*"&amp;$A$8&amp;"*",Pay_Code,$A28,pp_Hrs_Wkd_Pay_Code,"&gt;="&amp;$V$1,pp_OT_Pay_Code,"&gt;="&amp;$V$2,pp_Bon_Pay_Code,"&gt;="&amp;$V$3,pp_Meal_Pay_Code,"&gt;="&amp;$V$4,pp_Sick_Pay_Code,"&gt;="&amp;$V$5,pp_Diff_Pay_Code,"&gt;="&amp;$V$6),"-")</f>
        <v>-</v>
      </c>
      <c r="J28" s="133">
        <f t="shared" si="4"/>
        <v>0</v>
      </c>
      <c r="K28" s="138" t="e" cm="1">
        <f t="array" ref="K28">_xlfn.LET(_xlpm.calc,COUNTIFS(Rate_Gp,K$11,Pay_Key_Gps,"*"&amp;$A$8&amp;"*",Pay_Code,$A28,pp_Hrs_Wkd_Pay_Code,"&gt;="&amp;$V$1,pp_OT_Pay_Code,"&gt;="&amp;$V$2,pp_Bon_Pay_Code,"&gt;="&amp;$V$3,pp_Meal_Pay_Code,"&gt;="&amp;$V$4,pp_Sick_Pay_Code,"&gt;="&amp;$V$5,pp_Diff_Pay_Code,"&gt;="&amp;$V$6),_xlpm.calc2,COUNTIFS(Pay_Key_Gps,"*"&amp;$A$8&amp;"*",Pay_Code,$A28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28" s="138" t="e" cm="1">
        <f t="array" ref="L28">_xlfn.LET(_xlpm.calc,COUNTIFS(Rate_Gp,L$11,Pay_Key_Gps,"*"&amp;$A$8&amp;"*",Pay_Code,$A28,pp_Hrs_Wkd_Pay_Code,"&gt;="&amp;$V$1,pp_OT_Pay_Code,"&gt;="&amp;$V$2,pp_Bon_Pay_Code,"&gt;="&amp;$V$3,pp_Meal_Pay_Code,"&gt;="&amp;$V$4,pp_Sick_Pay_Code,"&gt;="&amp;$V$5,pp_Diff_Pay_Code,"&gt;="&amp;$V$6),_xlpm.calc2,COUNTIFS(Pay_Key_Gps,"*"&amp;$A$8&amp;"*",Pay_Code,$A28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28" s="138" t="e" cm="1">
        <f t="array" ref="M28">_xlfn.LET(_xlpm.calc,COUNTIFS(Rate_Gp,M$11,Pay_Key_Gps,"*"&amp;$A$8&amp;"*",Pay_Code,$A28,pp_Hrs_Wkd_Pay_Code,"&gt;="&amp;$V$1,pp_OT_Pay_Code,"&gt;="&amp;$V$2,pp_Bon_Pay_Code,"&gt;="&amp;$V$3,pp_Meal_Pay_Code,"&gt;="&amp;$V$4,pp_Sick_Pay_Code,"&gt;="&amp;$V$5,pp_Diff_Pay_Code,"&gt;="&amp;$V$6),_xlpm.calc2,COUNTIFS(Pay_Key_Gps,"*"&amp;$A$8&amp;"*",Pay_Code,$A28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28" s="138" t="e" cm="1">
        <f t="array" ref="N28">_xlfn.LET(_xlpm.calc,COUNTIFS(Rate_Gp,N$11,Pay_Key_Gps,"*"&amp;$A$8&amp;"*",Pay_Code,$A28,pp_Hrs_Wkd_Pay_Code,"&gt;="&amp;$V$1,pp_OT_Pay_Code,"&gt;="&amp;$V$2,pp_Bon_Pay_Code,"&gt;="&amp;$V$3,pp_Meal_Pay_Code,"&gt;="&amp;$V$4,pp_Sick_Pay_Code,"&gt;="&amp;$V$5,pp_Diff_Pay_Code,"&gt;="&amp;$V$6),_xlpm.calc2,COUNTIFS(Pay_Key_Gps,"*"&amp;$A$8&amp;"*",Pay_Code,$A28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28" s="138" t="e" cm="1">
        <f t="array" ref="O28">_xlfn.LET(_xlpm.calc,COUNTIFS(Rate_Gp,O$11,Pay_Key_Gps,"*"&amp;$A$8&amp;"*",Pay_Code,$A28,pp_Hrs_Wkd_Pay_Code,"&gt;="&amp;$V$1,pp_OT_Pay_Code,"&gt;="&amp;$V$2,pp_Bon_Pay_Code,"&gt;="&amp;$V$3,pp_Meal_Pay_Code,"&gt;="&amp;$V$4,pp_Sick_Pay_Code,"&gt;="&amp;$V$5,pp_Diff_Pay_Code,"&gt;="&amp;$V$6),_xlpm.calc2,COUNTIFS(Pay_Key_Gps,"*"&amp;$A$8&amp;"*",Pay_Code,$A28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28" s="138" t="e" cm="1">
        <f t="array" ref="P28">_xlfn.LET(_xlpm.calc,COUNTIFS(Rate_Gp,P$11,Pay_Key_Gps,"*"&amp;$A$8&amp;"*",Pay_Code,$A28,pp_Hrs_Wkd_Pay_Code,"&gt;="&amp;$V$1,pp_OT_Pay_Code,"&gt;="&amp;$V$2,pp_Bon_Pay_Code,"&gt;="&amp;$V$3,pp_Meal_Pay_Code,"&gt;="&amp;$V$4,pp_Sick_Pay_Code,"&gt;="&amp;$V$5,pp_Diff_Pay_Code,"&gt;="&amp;$V$6),_xlpm.calc2,COUNTIFS(Pay_Key_Gps,"*"&amp;$A$8&amp;"*",Pay_Code,$A28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28" s="138" t="e" cm="1">
        <f t="array" ref="Q28">_xlfn.LET(_xlpm.calc,COUNTIFS(Rate_Gp,Q$11,Pay_Key_Gps,"*"&amp;$A$8&amp;"*",Pay_Code,$A28,pp_Hrs_Wkd_Pay_Code,"&gt;="&amp;$V$1,pp_OT_Pay_Code,"&gt;="&amp;$V$2,pp_Bon_Pay_Code,"&gt;="&amp;$V$3,pp_Meal_Pay_Code,"&gt;="&amp;$V$4,pp_Sick_Pay_Code,"&gt;="&amp;$V$5,pp_Diff_Pay_Code,"&gt;="&amp;$V$6),_xlpm.calc2,COUNTIFS(Pay_Key_Gps,"*"&amp;$A$8&amp;"*",Pay_Code,$A28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28" s="138" t="e" cm="1">
        <f t="array" ref="R28">_xlfn.LET(_xlpm.calc,COUNTIFS(Rate_Gp,R$11,Pay_Key_Gps,"*"&amp;$A$8&amp;"*",Pay_Code,$A28,pp_Hrs_Wkd_Pay_Code,"&gt;="&amp;$V$1,pp_OT_Pay_Code,"&gt;="&amp;$V$2,pp_Bon_Pay_Code,"&gt;="&amp;$V$3,pp_Meal_Pay_Code,"&gt;="&amp;$V$4,pp_Sick_Pay_Code,"&gt;="&amp;$V$5,pp_Diff_Pay_Code,"&gt;="&amp;$V$6),_xlpm.calc2,COUNTIFS(Pay_Key_Gps,"*"&amp;$A$8&amp;"*",Pay_Code,$A28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28" s="138" t="e" cm="1">
        <f t="array" ref="S28">_xlfn.LET(_xlpm.calc,COUNTIFS(Rate_Gp,S$11,Pay_Key_Gps,"*"&amp;$A$8&amp;"*",Pay_Code,$A28,pp_Hrs_Wkd_Pay_Code,"&gt;="&amp;$V$1,pp_OT_Pay_Code,"&gt;="&amp;$V$2,pp_Bon_Pay_Code,"&gt;="&amp;$V$3,pp_Meal_Pay_Code,"&gt;="&amp;$V$4,pp_Sick_Pay_Code,"&gt;="&amp;$V$5,pp_Diff_Pay_Code,"&gt;="&amp;$V$6),_xlpm.calc2,COUNTIFS(Pay_Key_Gps,"*"&amp;$A$8&amp;"*",Pay_Code,$A28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28" s="138" t="e" cm="1">
        <f t="array" ref="T28">_xlfn.LET(_xlpm.calc,COUNTIFS(Rate_Gp,T$11,Pay_Key_Gps,"*"&amp;$A$8&amp;"*",Pay_Code,$A28,pp_Hrs_Wkd_Pay_Code,"&gt;="&amp;$V$1,pp_OT_Pay_Code,"&gt;="&amp;$V$2,pp_Bon_Pay_Code,"&gt;="&amp;$V$3,pp_Meal_Pay_Code,"&gt;="&amp;$V$4,pp_Sick_Pay_Code,"&gt;="&amp;$V$5,pp_Diff_Pay_Code,"&gt;="&amp;$V$6),_xlpm.calc2,COUNTIFS(Pay_Key_Gps,"*"&amp;$A$8&amp;"*",Pay_Code,$A28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28" s="139" t="e" cm="1">
        <f t="array" ref="U28">_xlfn.LET(_xlpm.calc,COUNTIFS(Pay_Key_Gps,"*"&amp;$A$8&amp;"*",Pay_Code,$A28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28" s="118"/>
      <c r="W28" s="118"/>
      <c r="X28" s="149"/>
      <c r="Y28" s="149"/>
      <c r="Z28" s="149"/>
      <c r="AA28" s="149"/>
      <c r="AB28" s="140" t="e">
        <f t="shared" si="3"/>
        <v>#NAME?</v>
      </c>
    </row>
    <row r="29" spans="1:28" s="122" customFormat="1" x14ac:dyDescent="0.25">
      <c r="A29" s="133"/>
      <c r="B29" s="134" t="e" cm="1">
        <f t="array" ref="B29">_xlfn.LET(_xlpm.calc,_xlfn.MINIFS(Pay_Period_End,Pay_Key_Gps,"*"&amp;$A$8&amp;"*",Pay_Code,$A29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29" s="134" t="e" cm="1">
        <f t="array" ref="C29">_xlfn.LET(_xlpm.calc,_xlfn.MAXIFS(Pay_Period_End,Pay_Key_Gps,"*"&amp;$A$8&amp;"*",Pay_Code,$A29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29" s="135" t="str" cm="1">
        <f t="array" ref="D29">_xlfn.LET(_xlpm.calc,IFERROR(ROWS(_xlfn.UNIQUE(_xlfn._xlws.FILTER(Pay_ID,(IFERROR(SEARCH($A$8,Pay_Key_Gps),0)&gt;0) * (Pay_Code=$A29) * (pp_Hrs_Wkd_Pay_Code &gt;= $V$1) * (pp_OT_Pay_Code &gt;= $V$2) * (pp_Bon_Pay_Code &gt;= $V$3) * (pp_Meal_Pay_Code &gt;= $V$4) * (pp_Sick_Pay_Code &gt;= $V$5) * (pp_Diff_Pay_Code &gt;= $V$6)))),0),_xlpm.perc,_xlpm.calc/D$69,IFERROR(IF(_xlpm.calc&gt;1000,_xlfn.CONCAT(TEXT(_xlpm.calc,"0,000")," (",TEXT(_xlpm.perc,"0.0%"),")"),_xlfn.CONCAT(_xlpm.calc," (",TEXT(_xlpm.perc,"0.0%"),")")),"-"))</f>
        <v>-</v>
      </c>
      <c r="E29" s="135" t="str" cm="1">
        <f t="array" ref="E29">_xlfn.LET(_xlpm.calc,IFERROR(ROWS(_xlfn.UNIQUE(_xlfn._xlws.FILTER(Pay_ID_Period_End,(IFERROR(SEARCH($A$8,Pay_Key_Gps),0)&gt;0) * (Pay_Code=$A29) * (pp_Hrs_Wkd_Pay_Code &gt;= $V$1) * (pp_OT_Pay_Code &gt;= $V$2) * (pp_Bon_Pay_Code &gt;= $V$3) * (pp_Meal_Pay_Code &gt;= $V$4) * (pp_Sick_Pay_Code &gt;= $V$5) * (pp_Diff_Pay_Code &gt;= $V$6)))),0),_xlpm.perc,_xlpm.calc/E$69,IFERROR(IF(_xlpm.calc&gt;1000,_xlfn.CONCAT(TEXT(_xlpm.calc,"0,000")," (",TEXT(_xlpm.perc,"0.0%"),")"),_xlfn.CONCAT(_xlpm.calc," (",TEXT(_xlpm.perc,"0.0%"),")")),"-"))</f>
        <v>-</v>
      </c>
      <c r="F29" s="136" t="e">
        <f t="shared" si="1"/>
        <v>#NAME?</v>
      </c>
      <c r="G29" s="137" t="e">
        <f t="shared" si="2"/>
        <v>#NAME?</v>
      </c>
      <c r="H29" s="137" t="str" cm="1">
        <f t="array" ref="H29">IFERROR(AVERAGEIFS(Pay_Amount,Pay_Key_Gps,"*"&amp;$A$8&amp;"*",Pay_Code,$A29,pp_Hrs_Wkd_Pay_Code,"&gt;="&amp;$V$1,pp_OT_Pay_Code,"&gt;="&amp;$V$2,pp_Bon_Pay_Code,"&gt;="&amp;$V$3,pp_Meal_Pay_Code,"&gt;="&amp;$V$4,pp_Sick_Pay_Code,"&gt;="&amp;$V$5,pp_Diff_Pay_Code,"&gt;="&amp;$V$6),"-")</f>
        <v>-</v>
      </c>
      <c r="J29" s="133">
        <f t="shared" si="4"/>
        <v>0</v>
      </c>
      <c r="K29" s="138" t="e" cm="1">
        <f t="array" ref="K29">_xlfn.LET(_xlpm.calc,COUNTIFS(Rate_Gp,K$11,Pay_Key_Gps,"*"&amp;$A$8&amp;"*",Pay_Code,$A29,pp_Hrs_Wkd_Pay_Code,"&gt;="&amp;$V$1,pp_OT_Pay_Code,"&gt;="&amp;$V$2,pp_Bon_Pay_Code,"&gt;="&amp;$V$3,pp_Meal_Pay_Code,"&gt;="&amp;$V$4,pp_Sick_Pay_Code,"&gt;="&amp;$V$5,pp_Diff_Pay_Code,"&gt;="&amp;$V$6),_xlpm.calc2,COUNTIFS(Pay_Key_Gps,"*"&amp;$A$8&amp;"*",Pay_Code,$A29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29" s="138" t="e" cm="1">
        <f t="array" ref="L29">_xlfn.LET(_xlpm.calc,COUNTIFS(Rate_Gp,L$11,Pay_Key_Gps,"*"&amp;$A$8&amp;"*",Pay_Code,$A29,pp_Hrs_Wkd_Pay_Code,"&gt;="&amp;$V$1,pp_OT_Pay_Code,"&gt;="&amp;$V$2,pp_Bon_Pay_Code,"&gt;="&amp;$V$3,pp_Meal_Pay_Code,"&gt;="&amp;$V$4,pp_Sick_Pay_Code,"&gt;="&amp;$V$5,pp_Diff_Pay_Code,"&gt;="&amp;$V$6),_xlpm.calc2,COUNTIFS(Pay_Key_Gps,"*"&amp;$A$8&amp;"*",Pay_Code,$A29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29" s="138" t="e" cm="1">
        <f t="array" ref="M29">_xlfn.LET(_xlpm.calc,COUNTIFS(Rate_Gp,M$11,Pay_Key_Gps,"*"&amp;$A$8&amp;"*",Pay_Code,$A29,pp_Hrs_Wkd_Pay_Code,"&gt;="&amp;$V$1,pp_OT_Pay_Code,"&gt;="&amp;$V$2,pp_Bon_Pay_Code,"&gt;="&amp;$V$3,pp_Meal_Pay_Code,"&gt;="&amp;$V$4,pp_Sick_Pay_Code,"&gt;="&amp;$V$5,pp_Diff_Pay_Code,"&gt;="&amp;$V$6),_xlpm.calc2,COUNTIFS(Pay_Key_Gps,"*"&amp;$A$8&amp;"*",Pay_Code,$A29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29" s="138" t="e" cm="1">
        <f t="array" ref="N29">_xlfn.LET(_xlpm.calc,COUNTIFS(Rate_Gp,N$11,Pay_Key_Gps,"*"&amp;$A$8&amp;"*",Pay_Code,$A29,pp_Hrs_Wkd_Pay_Code,"&gt;="&amp;$V$1,pp_OT_Pay_Code,"&gt;="&amp;$V$2,pp_Bon_Pay_Code,"&gt;="&amp;$V$3,pp_Meal_Pay_Code,"&gt;="&amp;$V$4,pp_Sick_Pay_Code,"&gt;="&amp;$V$5,pp_Diff_Pay_Code,"&gt;="&amp;$V$6),_xlpm.calc2,COUNTIFS(Pay_Key_Gps,"*"&amp;$A$8&amp;"*",Pay_Code,$A29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29" s="138" t="e" cm="1">
        <f t="array" ref="O29">_xlfn.LET(_xlpm.calc,COUNTIFS(Rate_Gp,O$11,Pay_Key_Gps,"*"&amp;$A$8&amp;"*",Pay_Code,$A29,pp_Hrs_Wkd_Pay_Code,"&gt;="&amp;$V$1,pp_OT_Pay_Code,"&gt;="&amp;$V$2,pp_Bon_Pay_Code,"&gt;="&amp;$V$3,pp_Meal_Pay_Code,"&gt;="&amp;$V$4,pp_Sick_Pay_Code,"&gt;="&amp;$V$5,pp_Diff_Pay_Code,"&gt;="&amp;$V$6),_xlpm.calc2,COUNTIFS(Pay_Key_Gps,"*"&amp;$A$8&amp;"*",Pay_Code,$A29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29" s="138" t="e" cm="1">
        <f t="array" ref="P29">_xlfn.LET(_xlpm.calc,COUNTIFS(Rate_Gp,P$11,Pay_Key_Gps,"*"&amp;$A$8&amp;"*",Pay_Code,$A29,pp_Hrs_Wkd_Pay_Code,"&gt;="&amp;$V$1,pp_OT_Pay_Code,"&gt;="&amp;$V$2,pp_Bon_Pay_Code,"&gt;="&amp;$V$3,pp_Meal_Pay_Code,"&gt;="&amp;$V$4,pp_Sick_Pay_Code,"&gt;="&amp;$V$5,pp_Diff_Pay_Code,"&gt;="&amp;$V$6),_xlpm.calc2,COUNTIFS(Pay_Key_Gps,"*"&amp;$A$8&amp;"*",Pay_Code,$A29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29" s="138" t="e" cm="1">
        <f t="array" ref="Q29">_xlfn.LET(_xlpm.calc,COUNTIFS(Rate_Gp,Q$11,Pay_Key_Gps,"*"&amp;$A$8&amp;"*",Pay_Code,$A29,pp_Hrs_Wkd_Pay_Code,"&gt;="&amp;$V$1,pp_OT_Pay_Code,"&gt;="&amp;$V$2,pp_Bon_Pay_Code,"&gt;="&amp;$V$3,pp_Meal_Pay_Code,"&gt;="&amp;$V$4,pp_Sick_Pay_Code,"&gt;="&amp;$V$5,pp_Diff_Pay_Code,"&gt;="&amp;$V$6),_xlpm.calc2,COUNTIFS(Pay_Key_Gps,"*"&amp;$A$8&amp;"*",Pay_Code,$A29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29" s="138" t="e" cm="1">
        <f t="array" ref="R29">_xlfn.LET(_xlpm.calc,COUNTIFS(Rate_Gp,R$11,Pay_Key_Gps,"*"&amp;$A$8&amp;"*",Pay_Code,$A29,pp_Hrs_Wkd_Pay_Code,"&gt;="&amp;$V$1,pp_OT_Pay_Code,"&gt;="&amp;$V$2,pp_Bon_Pay_Code,"&gt;="&amp;$V$3,pp_Meal_Pay_Code,"&gt;="&amp;$V$4,pp_Sick_Pay_Code,"&gt;="&amp;$V$5,pp_Diff_Pay_Code,"&gt;="&amp;$V$6),_xlpm.calc2,COUNTIFS(Pay_Key_Gps,"*"&amp;$A$8&amp;"*",Pay_Code,$A29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29" s="138" t="e" cm="1">
        <f t="array" ref="S29">_xlfn.LET(_xlpm.calc,COUNTIFS(Rate_Gp,S$11,Pay_Key_Gps,"*"&amp;$A$8&amp;"*",Pay_Code,$A29,pp_Hrs_Wkd_Pay_Code,"&gt;="&amp;$V$1,pp_OT_Pay_Code,"&gt;="&amp;$V$2,pp_Bon_Pay_Code,"&gt;="&amp;$V$3,pp_Meal_Pay_Code,"&gt;="&amp;$V$4,pp_Sick_Pay_Code,"&gt;="&amp;$V$5,pp_Diff_Pay_Code,"&gt;="&amp;$V$6),_xlpm.calc2,COUNTIFS(Pay_Key_Gps,"*"&amp;$A$8&amp;"*",Pay_Code,$A29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29" s="138" t="e" cm="1">
        <f t="array" ref="T29">_xlfn.LET(_xlpm.calc,COUNTIFS(Rate_Gp,T$11,Pay_Key_Gps,"*"&amp;$A$8&amp;"*",Pay_Code,$A29,pp_Hrs_Wkd_Pay_Code,"&gt;="&amp;$V$1,pp_OT_Pay_Code,"&gt;="&amp;$V$2,pp_Bon_Pay_Code,"&gt;="&amp;$V$3,pp_Meal_Pay_Code,"&gt;="&amp;$V$4,pp_Sick_Pay_Code,"&gt;="&amp;$V$5,pp_Diff_Pay_Code,"&gt;="&amp;$V$6),_xlpm.calc2,COUNTIFS(Pay_Key_Gps,"*"&amp;$A$8&amp;"*",Pay_Code,$A29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29" s="139" t="e" cm="1">
        <f t="array" ref="U29">_xlfn.LET(_xlpm.calc,COUNTIFS(Pay_Key_Gps,"*"&amp;$A$8&amp;"*",Pay_Code,$A29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29" s="118"/>
      <c r="W29" s="118"/>
      <c r="X29" s="149"/>
      <c r="Y29" s="149"/>
      <c r="Z29" s="149"/>
      <c r="AA29" s="149"/>
      <c r="AB29" s="140" t="e">
        <f t="shared" si="3"/>
        <v>#NAME?</v>
      </c>
    </row>
    <row r="30" spans="1:28" s="123" customFormat="1" x14ac:dyDescent="0.25">
      <c r="A30" s="133"/>
      <c r="B30" s="134" t="e" cm="1">
        <f t="array" ref="B30">_xlfn.LET(_xlpm.calc,_xlfn.MINIFS(Pay_Period_End,Pay_Key_Gps,"*"&amp;$A$8&amp;"*",Pay_Code,$A30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30" s="134" t="e" cm="1">
        <f t="array" ref="C30">_xlfn.LET(_xlpm.calc,_xlfn.MAXIFS(Pay_Period_End,Pay_Key_Gps,"*"&amp;$A$8&amp;"*",Pay_Code,$A30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30" s="135" t="str" cm="1">
        <f t="array" ref="D30">_xlfn.LET(_xlpm.calc,IFERROR(ROWS(_xlfn.UNIQUE(_xlfn._xlws.FILTER(Pay_ID,(IFERROR(SEARCH($A$8,Pay_Key_Gps),0)&gt;0) * (Pay_Code=$A30) * (pp_Hrs_Wkd_Pay_Code &gt;= $V$1) * (pp_OT_Pay_Code &gt;= $V$2) * (pp_Bon_Pay_Code &gt;= $V$3) * (pp_Meal_Pay_Code &gt;= $V$4) * (pp_Sick_Pay_Code &gt;= $V$5) * (pp_Diff_Pay_Code &gt;= $V$6)))),0),_xlpm.perc,_xlpm.calc/D$69,IFERROR(IF(_xlpm.calc&gt;1000,_xlfn.CONCAT(TEXT(_xlpm.calc,"0,000")," (",TEXT(_xlpm.perc,"0.0%"),")"),_xlfn.CONCAT(_xlpm.calc," (",TEXT(_xlpm.perc,"0.0%"),")")),"-"))</f>
        <v>-</v>
      </c>
      <c r="E30" s="135" t="str" cm="1">
        <f t="array" ref="E30">_xlfn.LET(_xlpm.calc,IFERROR(ROWS(_xlfn.UNIQUE(_xlfn._xlws.FILTER(Pay_ID_Period_End,(IFERROR(SEARCH($A$8,Pay_Key_Gps),0)&gt;0) * (Pay_Code=$A30) * (pp_Hrs_Wkd_Pay_Code &gt;= $V$1) * (pp_OT_Pay_Code &gt;= $V$2) * (pp_Bon_Pay_Code &gt;= $V$3) * (pp_Meal_Pay_Code &gt;= $V$4) * (pp_Sick_Pay_Code &gt;= $V$5) * (pp_Diff_Pay_Code &gt;= $V$6)))),0),_xlpm.perc,_xlpm.calc/E$69,IFERROR(IF(_xlpm.calc&gt;1000,_xlfn.CONCAT(TEXT(_xlpm.calc,"0,000")," (",TEXT(_xlpm.perc,"0.0%"),")"),_xlfn.CONCAT(_xlpm.calc," (",TEXT(_xlpm.perc,"0.0%"),")")),"-"))</f>
        <v>-</v>
      </c>
      <c r="F30" s="136" t="e">
        <f t="shared" si="1"/>
        <v>#NAME?</v>
      </c>
      <c r="G30" s="137" t="e">
        <f t="shared" si="2"/>
        <v>#NAME?</v>
      </c>
      <c r="H30" s="137" t="str" cm="1">
        <f t="array" ref="H30">IFERROR(AVERAGEIFS(Pay_Amount,Pay_Key_Gps,"*"&amp;$A$8&amp;"*",Pay_Code,$A30,pp_Hrs_Wkd_Pay_Code,"&gt;="&amp;$V$1,pp_OT_Pay_Code,"&gt;="&amp;$V$2,pp_Bon_Pay_Code,"&gt;="&amp;$V$3,pp_Meal_Pay_Code,"&gt;="&amp;$V$4,pp_Sick_Pay_Code,"&gt;="&amp;$V$5,pp_Diff_Pay_Code,"&gt;="&amp;$V$6),"-")</f>
        <v>-</v>
      </c>
      <c r="I30" s="122"/>
      <c r="J30" s="133">
        <f t="shared" si="4"/>
        <v>0</v>
      </c>
      <c r="K30" s="138" t="e" cm="1">
        <f t="array" ref="K30">_xlfn.LET(_xlpm.calc,COUNTIFS(Rate_Gp,K$11,Pay_Key_Gps,"*"&amp;$A$8&amp;"*",Pay_Code,$A30,pp_Hrs_Wkd_Pay_Code,"&gt;="&amp;$V$1,pp_OT_Pay_Code,"&gt;="&amp;$V$2,pp_Bon_Pay_Code,"&gt;="&amp;$V$3,pp_Meal_Pay_Code,"&gt;="&amp;$V$4,pp_Sick_Pay_Code,"&gt;="&amp;$V$5,pp_Diff_Pay_Code,"&gt;="&amp;$V$6),_xlpm.calc2,COUNTIFS(Pay_Key_Gps,"*"&amp;$A$8&amp;"*",Pay_Code,$A30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30" s="138" t="e" cm="1">
        <f t="array" ref="L30">_xlfn.LET(_xlpm.calc,COUNTIFS(Rate_Gp,L$11,Pay_Key_Gps,"*"&amp;$A$8&amp;"*",Pay_Code,$A30,pp_Hrs_Wkd_Pay_Code,"&gt;="&amp;$V$1,pp_OT_Pay_Code,"&gt;="&amp;$V$2,pp_Bon_Pay_Code,"&gt;="&amp;$V$3,pp_Meal_Pay_Code,"&gt;="&amp;$V$4,pp_Sick_Pay_Code,"&gt;="&amp;$V$5,pp_Diff_Pay_Code,"&gt;="&amp;$V$6),_xlpm.calc2,COUNTIFS(Pay_Key_Gps,"*"&amp;$A$8&amp;"*",Pay_Code,$A30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30" s="138" t="e" cm="1">
        <f t="array" ref="M30">_xlfn.LET(_xlpm.calc,COUNTIFS(Rate_Gp,M$11,Pay_Key_Gps,"*"&amp;$A$8&amp;"*",Pay_Code,$A30,pp_Hrs_Wkd_Pay_Code,"&gt;="&amp;$V$1,pp_OT_Pay_Code,"&gt;="&amp;$V$2,pp_Bon_Pay_Code,"&gt;="&amp;$V$3,pp_Meal_Pay_Code,"&gt;="&amp;$V$4,pp_Sick_Pay_Code,"&gt;="&amp;$V$5,pp_Diff_Pay_Code,"&gt;="&amp;$V$6),_xlpm.calc2,COUNTIFS(Pay_Key_Gps,"*"&amp;$A$8&amp;"*",Pay_Code,$A30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30" s="138" t="e" cm="1">
        <f t="array" ref="N30">_xlfn.LET(_xlpm.calc,COUNTIFS(Rate_Gp,N$11,Pay_Key_Gps,"*"&amp;$A$8&amp;"*",Pay_Code,$A30,pp_Hrs_Wkd_Pay_Code,"&gt;="&amp;$V$1,pp_OT_Pay_Code,"&gt;="&amp;$V$2,pp_Bon_Pay_Code,"&gt;="&amp;$V$3,pp_Meal_Pay_Code,"&gt;="&amp;$V$4,pp_Sick_Pay_Code,"&gt;="&amp;$V$5,pp_Diff_Pay_Code,"&gt;="&amp;$V$6),_xlpm.calc2,COUNTIFS(Pay_Key_Gps,"*"&amp;$A$8&amp;"*",Pay_Code,$A30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30" s="138" t="e" cm="1">
        <f t="array" ref="O30">_xlfn.LET(_xlpm.calc,COUNTIFS(Rate_Gp,O$11,Pay_Key_Gps,"*"&amp;$A$8&amp;"*",Pay_Code,$A30,pp_Hrs_Wkd_Pay_Code,"&gt;="&amp;$V$1,pp_OT_Pay_Code,"&gt;="&amp;$V$2,pp_Bon_Pay_Code,"&gt;="&amp;$V$3,pp_Meal_Pay_Code,"&gt;="&amp;$V$4,pp_Sick_Pay_Code,"&gt;="&amp;$V$5,pp_Diff_Pay_Code,"&gt;="&amp;$V$6),_xlpm.calc2,COUNTIFS(Pay_Key_Gps,"*"&amp;$A$8&amp;"*",Pay_Code,$A30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30" s="138" t="e" cm="1">
        <f t="array" ref="P30">_xlfn.LET(_xlpm.calc,COUNTIFS(Rate_Gp,P$11,Pay_Key_Gps,"*"&amp;$A$8&amp;"*",Pay_Code,$A30,pp_Hrs_Wkd_Pay_Code,"&gt;="&amp;$V$1,pp_OT_Pay_Code,"&gt;="&amp;$V$2,pp_Bon_Pay_Code,"&gt;="&amp;$V$3,pp_Meal_Pay_Code,"&gt;="&amp;$V$4,pp_Sick_Pay_Code,"&gt;="&amp;$V$5,pp_Diff_Pay_Code,"&gt;="&amp;$V$6),_xlpm.calc2,COUNTIFS(Pay_Key_Gps,"*"&amp;$A$8&amp;"*",Pay_Code,$A30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30" s="138" t="e" cm="1">
        <f t="array" ref="Q30">_xlfn.LET(_xlpm.calc,COUNTIFS(Rate_Gp,Q$11,Pay_Key_Gps,"*"&amp;$A$8&amp;"*",Pay_Code,$A30,pp_Hrs_Wkd_Pay_Code,"&gt;="&amp;$V$1,pp_OT_Pay_Code,"&gt;="&amp;$V$2,pp_Bon_Pay_Code,"&gt;="&amp;$V$3,pp_Meal_Pay_Code,"&gt;="&amp;$V$4,pp_Sick_Pay_Code,"&gt;="&amp;$V$5,pp_Diff_Pay_Code,"&gt;="&amp;$V$6),_xlpm.calc2,COUNTIFS(Pay_Key_Gps,"*"&amp;$A$8&amp;"*",Pay_Code,$A30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30" s="138" t="e" cm="1">
        <f t="array" ref="R30">_xlfn.LET(_xlpm.calc,COUNTIFS(Rate_Gp,R$11,Pay_Key_Gps,"*"&amp;$A$8&amp;"*",Pay_Code,$A30,pp_Hrs_Wkd_Pay_Code,"&gt;="&amp;$V$1,pp_OT_Pay_Code,"&gt;="&amp;$V$2,pp_Bon_Pay_Code,"&gt;="&amp;$V$3,pp_Meal_Pay_Code,"&gt;="&amp;$V$4,pp_Sick_Pay_Code,"&gt;="&amp;$V$5,pp_Diff_Pay_Code,"&gt;="&amp;$V$6),_xlpm.calc2,COUNTIFS(Pay_Key_Gps,"*"&amp;$A$8&amp;"*",Pay_Code,$A30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30" s="138" t="e" cm="1">
        <f t="array" ref="S30">_xlfn.LET(_xlpm.calc,COUNTIFS(Rate_Gp,S$11,Pay_Key_Gps,"*"&amp;$A$8&amp;"*",Pay_Code,$A30,pp_Hrs_Wkd_Pay_Code,"&gt;="&amp;$V$1,pp_OT_Pay_Code,"&gt;="&amp;$V$2,pp_Bon_Pay_Code,"&gt;="&amp;$V$3,pp_Meal_Pay_Code,"&gt;="&amp;$V$4,pp_Sick_Pay_Code,"&gt;="&amp;$V$5,pp_Diff_Pay_Code,"&gt;="&amp;$V$6),_xlpm.calc2,COUNTIFS(Pay_Key_Gps,"*"&amp;$A$8&amp;"*",Pay_Code,$A30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30" s="138" t="e" cm="1">
        <f t="array" ref="T30">_xlfn.LET(_xlpm.calc,COUNTIFS(Rate_Gp,T$11,Pay_Key_Gps,"*"&amp;$A$8&amp;"*",Pay_Code,$A30,pp_Hrs_Wkd_Pay_Code,"&gt;="&amp;$V$1,pp_OT_Pay_Code,"&gt;="&amp;$V$2,pp_Bon_Pay_Code,"&gt;="&amp;$V$3,pp_Meal_Pay_Code,"&gt;="&amp;$V$4,pp_Sick_Pay_Code,"&gt;="&amp;$V$5,pp_Diff_Pay_Code,"&gt;="&amp;$V$6),_xlpm.calc2,COUNTIFS(Pay_Key_Gps,"*"&amp;$A$8&amp;"*",Pay_Code,$A30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30" s="139" t="e" cm="1">
        <f t="array" ref="U30">_xlfn.LET(_xlpm.calc,COUNTIFS(Pay_Key_Gps,"*"&amp;$A$8&amp;"*",Pay_Code,$A30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30" s="118"/>
      <c r="W30" s="121"/>
      <c r="X30" s="149"/>
      <c r="Y30" s="149"/>
      <c r="Z30" s="149"/>
      <c r="AA30" s="149"/>
      <c r="AB30" s="140" t="e">
        <f t="shared" si="3"/>
        <v>#NAME?</v>
      </c>
    </row>
    <row r="31" spans="1:28" s="123" customFormat="1" x14ac:dyDescent="0.25">
      <c r="A31" s="133"/>
      <c r="B31" s="134" t="e" cm="1">
        <f t="array" ref="B31">_xlfn.LET(_xlpm.calc,_xlfn.MINIFS(Pay_Period_End,Pay_Key_Gps,"*"&amp;$A$8&amp;"*",Pay_Code,$A31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31" s="134" t="e" cm="1">
        <f t="array" ref="C31">_xlfn.LET(_xlpm.calc,_xlfn.MAXIFS(Pay_Period_End,Pay_Key_Gps,"*"&amp;$A$8&amp;"*",Pay_Code,$A31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31" s="135" t="str" cm="1">
        <f t="array" ref="D31">_xlfn.LET(_xlpm.calc,IFERROR(ROWS(_xlfn.UNIQUE(_xlfn._xlws.FILTER(Pay_ID,(IFERROR(SEARCH($A$8,Pay_Key_Gps),0)&gt;0) * (Pay_Code=$A31) * (pp_Hrs_Wkd_Pay_Code &gt;= $V$1) * (pp_OT_Pay_Code &gt;= $V$2) * (pp_Bon_Pay_Code &gt;= $V$3) * (pp_Meal_Pay_Code &gt;= $V$4) * (pp_Sick_Pay_Code &gt;= $V$5) * (pp_Diff_Pay_Code &gt;= $V$6)))),0),_xlpm.perc,_xlpm.calc/D$69,IFERROR(IF(_xlpm.calc&gt;1000,_xlfn.CONCAT(TEXT(_xlpm.calc,"0,000")," (",TEXT(_xlpm.perc,"0.0%"),")"),_xlfn.CONCAT(_xlpm.calc," (",TEXT(_xlpm.perc,"0.0%"),")")),"-"))</f>
        <v>-</v>
      </c>
      <c r="E31" s="135" t="str" cm="1">
        <f t="array" ref="E31">_xlfn.LET(_xlpm.calc,IFERROR(ROWS(_xlfn.UNIQUE(_xlfn._xlws.FILTER(Pay_ID_Period_End,(IFERROR(SEARCH($A$8,Pay_Key_Gps),0)&gt;0) * (Pay_Code=$A31) * (pp_Hrs_Wkd_Pay_Code &gt;= $V$1) * (pp_OT_Pay_Code &gt;= $V$2) * (pp_Bon_Pay_Code &gt;= $V$3) * (pp_Meal_Pay_Code &gt;= $V$4) * (pp_Sick_Pay_Code &gt;= $V$5) * (pp_Diff_Pay_Code &gt;= $V$6)))),0),_xlpm.perc,_xlpm.calc/E$69,IFERROR(IF(_xlpm.calc&gt;1000,_xlfn.CONCAT(TEXT(_xlpm.calc,"0,000")," (",TEXT(_xlpm.perc,"0.0%"),")"),_xlfn.CONCAT(_xlpm.calc," (",TEXT(_xlpm.perc,"0.0%"),")")),"-"))</f>
        <v>-</v>
      </c>
      <c r="F31" s="136" t="e">
        <f t="shared" si="1"/>
        <v>#NAME?</v>
      </c>
      <c r="G31" s="137" t="e">
        <f t="shared" si="2"/>
        <v>#NAME?</v>
      </c>
      <c r="H31" s="137" t="str" cm="1">
        <f t="array" ref="H31">IFERROR(AVERAGEIFS(Pay_Amount,Pay_Key_Gps,"*"&amp;$A$8&amp;"*",Pay_Code,$A31,pp_Hrs_Wkd_Pay_Code,"&gt;="&amp;$V$1,pp_OT_Pay_Code,"&gt;="&amp;$V$2,pp_Bon_Pay_Code,"&gt;="&amp;$V$3,pp_Meal_Pay_Code,"&gt;="&amp;$V$4,pp_Sick_Pay_Code,"&gt;="&amp;$V$5,pp_Diff_Pay_Code,"&gt;="&amp;$V$6),"-")</f>
        <v>-</v>
      </c>
      <c r="I31" s="122"/>
      <c r="J31" s="133">
        <f t="shared" si="4"/>
        <v>0</v>
      </c>
      <c r="K31" s="138" t="e" cm="1">
        <f t="array" ref="K31">_xlfn.LET(_xlpm.calc,COUNTIFS(Rate_Gp,K$11,Pay_Key_Gps,"*"&amp;$A$8&amp;"*",Pay_Code,$A31,pp_Hrs_Wkd_Pay_Code,"&gt;="&amp;$V$1,pp_OT_Pay_Code,"&gt;="&amp;$V$2,pp_Bon_Pay_Code,"&gt;="&amp;$V$3,pp_Meal_Pay_Code,"&gt;="&amp;$V$4,pp_Sick_Pay_Code,"&gt;="&amp;$V$5,pp_Diff_Pay_Code,"&gt;="&amp;$V$6),_xlpm.calc2,COUNTIFS(Pay_Key_Gps,"*"&amp;$A$8&amp;"*",Pay_Code,$A31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31" s="138" t="e" cm="1">
        <f t="array" ref="L31">_xlfn.LET(_xlpm.calc,COUNTIFS(Rate_Gp,L$11,Pay_Key_Gps,"*"&amp;$A$8&amp;"*",Pay_Code,$A31,pp_Hrs_Wkd_Pay_Code,"&gt;="&amp;$V$1,pp_OT_Pay_Code,"&gt;="&amp;$V$2,pp_Bon_Pay_Code,"&gt;="&amp;$V$3,pp_Meal_Pay_Code,"&gt;="&amp;$V$4,pp_Sick_Pay_Code,"&gt;="&amp;$V$5,pp_Diff_Pay_Code,"&gt;="&amp;$V$6),_xlpm.calc2,COUNTIFS(Pay_Key_Gps,"*"&amp;$A$8&amp;"*",Pay_Code,$A31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31" s="138" t="e" cm="1">
        <f t="array" ref="M31">_xlfn.LET(_xlpm.calc,COUNTIFS(Rate_Gp,M$11,Pay_Key_Gps,"*"&amp;$A$8&amp;"*",Pay_Code,$A31,pp_Hrs_Wkd_Pay_Code,"&gt;="&amp;$V$1,pp_OT_Pay_Code,"&gt;="&amp;$V$2,pp_Bon_Pay_Code,"&gt;="&amp;$V$3,pp_Meal_Pay_Code,"&gt;="&amp;$V$4,pp_Sick_Pay_Code,"&gt;="&amp;$V$5,pp_Diff_Pay_Code,"&gt;="&amp;$V$6),_xlpm.calc2,COUNTIFS(Pay_Key_Gps,"*"&amp;$A$8&amp;"*",Pay_Code,$A31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31" s="138" t="e" cm="1">
        <f t="array" ref="N31">_xlfn.LET(_xlpm.calc,COUNTIFS(Rate_Gp,N$11,Pay_Key_Gps,"*"&amp;$A$8&amp;"*",Pay_Code,$A31,pp_Hrs_Wkd_Pay_Code,"&gt;="&amp;$V$1,pp_OT_Pay_Code,"&gt;="&amp;$V$2,pp_Bon_Pay_Code,"&gt;="&amp;$V$3,pp_Meal_Pay_Code,"&gt;="&amp;$V$4,pp_Sick_Pay_Code,"&gt;="&amp;$V$5,pp_Diff_Pay_Code,"&gt;="&amp;$V$6),_xlpm.calc2,COUNTIFS(Pay_Key_Gps,"*"&amp;$A$8&amp;"*",Pay_Code,$A31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31" s="138" t="e" cm="1">
        <f t="array" ref="O31">_xlfn.LET(_xlpm.calc,COUNTIFS(Rate_Gp,O$11,Pay_Key_Gps,"*"&amp;$A$8&amp;"*",Pay_Code,$A31,pp_Hrs_Wkd_Pay_Code,"&gt;="&amp;$V$1,pp_OT_Pay_Code,"&gt;="&amp;$V$2,pp_Bon_Pay_Code,"&gt;="&amp;$V$3,pp_Meal_Pay_Code,"&gt;="&amp;$V$4,pp_Sick_Pay_Code,"&gt;="&amp;$V$5,pp_Diff_Pay_Code,"&gt;="&amp;$V$6),_xlpm.calc2,COUNTIFS(Pay_Key_Gps,"*"&amp;$A$8&amp;"*",Pay_Code,$A31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31" s="138" t="e" cm="1">
        <f t="array" ref="P31">_xlfn.LET(_xlpm.calc,COUNTIFS(Rate_Gp,P$11,Pay_Key_Gps,"*"&amp;$A$8&amp;"*",Pay_Code,$A31,pp_Hrs_Wkd_Pay_Code,"&gt;="&amp;$V$1,pp_OT_Pay_Code,"&gt;="&amp;$V$2,pp_Bon_Pay_Code,"&gt;="&amp;$V$3,pp_Meal_Pay_Code,"&gt;="&amp;$V$4,pp_Sick_Pay_Code,"&gt;="&amp;$V$5,pp_Diff_Pay_Code,"&gt;="&amp;$V$6),_xlpm.calc2,COUNTIFS(Pay_Key_Gps,"*"&amp;$A$8&amp;"*",Pay_Code,$A31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31" s="138" t="e" cm="1">
        <f t="array" ref="Q31">_xlfn.LET(_xlpm.calc,COUNTIFS(Rate_Gp,Q$11,Pay_Key_Gps,"*"&amp;$A$8&amp;"*",Pay_Code,$A31,pp_Hrs_Wkd_Pay_Code,"&gt;="&amp;$V$1,pp_OT_Pay_Code,"&gt;="&amp;$V$2,pp_Bon_Pay_Code,"&gt;="&amp;$V$3,pp_Meal_Pay_Code,"&gt;="&amp;$V$4,pp_Sick_Pay_Code,"&gt;="&amp;$V$5,pp_Diff_Pay_Code,"&gt;="&amp;$V$6),_xlpm.calc2,COUNTIFS(Pay_Key_Gps,"*"&amp;$A$8&amp;"*",Pay_Code,$A31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31" s="138" t="e" cm="1">
        <f t="array" ref="R31">_xlfn.LET(_xlpm.calc,COUNTIFS(Rate_Gp,R$11,Pay_Key_Gps,"*"&amp;$A$8&amp;"*",Pay_Code,$A31,pp_Hrs_Wkd_Pay_Code,"&gt;="&amp;$V$1,pp_OT_Pay_Code,"&gt;="&amp;$V$2,pp_Bon_Pay_Code,"&gt;="&amp;$V$3,pp_Meal_Pay_Code,"&gt;="&amp;$V$4,pp_Sick_Pay_Code,"&gt;="&amp;$V$5,pp_Diff_Pay_Code,"&gt;="&amp;$V$6),_xlpm.calc2,COUNTIFS(Pay_Key_Gps,"*"&amp;$A$8&amp;"*",Pay_Code,$A31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31" s="138" t="e" cm="1">
        <f t="array" ref="S31">_xlfn.LET(_xlpm.calc,COUNTIFS(Rate_Gp,S$11,Pay_Key_Gps,"*"&amp;$A$8&amp;"*",Pay_Code,$A31,pp_Hrs_Wkd_Pay_Code,"&gt;="&amp;$V$1,pp_OT_Pay_Code,"&gt;="&amp;$V$2,pp_Bon_Pay_Code,"&gt;="&amp;$V$3,pp_Meal_Pay_Code,"&gt;="&amp;$V$4,pp_Sick_Pay_Code,"&gt;="&amp;$V$5,pp_Diff_Pay_Code,"&gt;="&amp;$V$6),_xlpm.calc2,COUNTIFS(Pay_Key_Gps,"*"&amp;$A$8&amp;"*",Pay_Code,$A31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31" s="138" t="e" cm="1">
        <f t="array" ref="T31">_xlfn.LET(_xlpm.calc,COUNTIFS(Rate_Gp,T$11,Pay_Key_Gps,"*"&amp;$A$8&amp;"*",Pay_Code,$A31,pp_Hrs_Wkd_Pay_Code,"&gt;="&amp;$V$1,pp_OT_Pay_Code,"&gt;="&amp;$V$2,pp_Bon_Pay_Code,"&gt;="&amp;$V$3,pp_Meal_Pay_Code,"&gt;="&amp;$V$4,pp_Sick_Pay_Code,"&gt;="&amp;$V$5,pp_Diff_Pay_Code,"&gt;="&amp;$V$6),_xlpm.calc2,COUNTIFS(Pay_Key_Gps,"*"&amp;$A$8&amp;"*",Pay_Code,$A31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31" s="139" t="e" cm="1">
        <f t="array" ref="U31">_xlfn.LET(_xlpm.calc,COUNTIFS(Pay_Key_Gps,"*"&amp;$A$8&amp;"*",Pay_Code,$A31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31" s="118"/>
      <c r="W31" s="121"/>
      <c r="X31" s="149"/>
      <c r="Y31" s="149"/>
      <c r="Z31" s="149"/>
      <c r="AA31" s="149"/>
      <c r="AB31" s="140" t="e">
        <f t="shared" si="3"/>
        <v>#NAME?</v>
      </c>
    </row>
    <row r="32" spans="1:28" s="122" customFormat="1" x14ac:dyDescent="0.25">
      <c r="A32" s="133"/>
      <c r="B32" s="134" t="e" cm="1">
        <f t="array" ref="B32">_xlfn.LET(_xlpm.calc,_xlfn.MINIFS(Pay_Period_End,Pay_Key_Gps,"*"&amp;$A$8&amp;"*",Pay_Code,$A32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32" s="134" t="e" cm="1">
        <f t="array" ref="C32">_xlfn.LET(_xlpm.calc,_xlfn.MAXIFS(Pay_Period_End,Pay_Key_Gps,"*"&amp;$A$8&amp;"*",Pay_Code,$A32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32" s="135" t="str" cm="1">
        <f t="array" ref="D32">_xlfn.LET(_xlpm.calc,IFERROR(ROWS(_xlfn.UNIQUE(_xlfn._xlws.FILTER(Pay_ID,(IFERROR(SEARCH($A$8,Pay_Key_Gps),0)&gt;0) * (Pay_Code=$A32) * (pp_Hrs_Wkd_Pay_Code &gt;= $V$1) * (pp_OT_Pay_Code &gt;= $V$2) * (pp_Bon_Pay_Code &gt;= $V$3) * (pp_Meal_Pay_Code &gt;= $V$4) * (pp_Sick_Pay_Code &gt;= $V$5) * (pp_Diff_Pay_Code &gt;= $V$6)))),0),_xlpm.perc,_xlpm.calc/D$69,IFERROR(IF(_xlpm.calc&gt;1000,_xlfn.CONCAT(TEXT(_xlpm.calc,"0,000")," (",TEXT(_xlpm.perc,"0.0%"),")"),_xlfn.CONCAT(_xlpm.calc," (",TEXT(_xlpm.perc,"0.0%"),")")),"-"))</f>
        <v>-</v>
      </c>
      <c r="E32" s="135" t="str" cm="1">
        <f t="array" ref="E32">_xlfn.LET(_xlpm.calc,IFERROR(ROWS(_xlfn.UNIQUE(_xlfn._xlws.FILTER(Pay_ID_Period_End,(IFERROR(SEARCH($A$8,Pay_Key_Gps),0)&gt;0) * (Pay_Code=$A32) * (pp_Hrs_Wkd_Pay_Code &gt;= $V$1) * (pp_OT_Pay_Code &gt;= $V$2) * (pp_Bon_Pay_Code &gt;= $V$3) * (pp_Meal_Pay_Code &gt;= $V$4) * (pp_Sick_Pay_Code &gt;= $V$5) * (pp_Diff_Pay_Code &gt;= $V$6)))),0),_xlpm.perc,_xlpm.calc/E$69,IFERROR(IF(_xlpm.calc&gt;1000,_xlfn.CONCAT(TEXT(_xlpm.calc,"0,000")," (",TEXT(_xlpm.perc,"0.0%"),")"),_xlfn.CONCAT(_xlpm.calc," (",TEXT(_xlpm.perc,"0.0%"),")")),"-"))</f>
        <v>-</v>
      </c>
      <c r="F32" s="136" t="e">
        <f t="shared" si="1"/>
        <v>#NAME?</v>
      </c>
      <c r="G32" s="137" t="e">
        <f t="shared" si="2"/>
        <v>#NAME?</v>
      </c>
      <c r="H32" s="137" t="str" cm="1">
        <f t="array" ref="H32">IFERROR(AVERAGEIFS(Pay_Amount,Pay_Key_Gps,"*"&amp;$A$8&amp;"*",Pay_Code,$A32,pp_Hrs_Wkd_Pay_Code,"&gt;="&amp;$V$1,pp_OT_Pay_Code,"&gt;="&amp;$V$2,pp_Bon_Pay_Code,"&gt;="&amp;$V$3,pp_Meal_Pay_Code,"&gt;="&amp;$V$4,pp_Sick_Pay_Code,"&gt;="&amp;$V$5,pp_Diff_Pay_Code,"&gt;="&amp;$V$6),"-")</f>
        <v>-</v>
      </c>
      <c r="J32" s="133">
        <f t="shared" si="4"/>
        <v>0</v>
      </c>
      <c r="K32" s="138" t="e" cm="1">
        <f t="array" ref="K32">_xlfn.LET(_xlpm.calc,COUNTIFS(Rate_Gp,K$11,Pay_Key_Gps,"*"&amp;$A$8&amp;"*",Pay_Code,$A32,pp_Hrs_Wkd_Pay_Code,"&gt;="&amp;$V$1,pp_OT_Pay_Code,"&gt;="&amp;$V$2,pp_Bon_Pay_Code,"&gt;="&amp;$V$3,pp_Meal_Pay_Code,"&gt;="&amp;$V$4,pp_Sick_Pay_Code,"&gt;="&amp;$V$5,pp_Diff_Pay_Code,"&gt;="&amp;$V$6),_xlpm.calc2,COUNTIFS(Pay_Key_Gps,"*"&amp;$A$8&amp;"*",Pay_Code,$A32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32" s="138" t="e" cm="1">
        <f t="array" ref="L32">_xlfn.LET(_xlpm.calc,COUNTIFS(Rate_Gp,L$11,Pay_Key_Gps,"*"&amp;$A$8&amp;"*",Pay_Code,$A32,pp_Hrs_Wkd_Pay_Code,"&gt;="&amp;$V$1,pp_OT_Pay_Code,"&gt;="&amp;$V$2,pp_Bon_Pay_Code,"&gt;="&amp;$V$3,pp_Meal_Pay_Code,"&gt;="&amp;$V$4,pp_Sick_Pay_Code,"&gt;="&amp;$V$5,pp_Diff_Pay_Code,"&gt;="&amp;$V$6),_xlpm.calc2,COUNTIFS(Pay_Key_Gps,"*"&amp;$A$8&amp;"*",Pay_Code,$A32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32" s="138" t="e" cm="1">
        <f t="array" ref="M32">_xlfn.LET(_xlpm.calc,COUNTIFS(Rate_Gp,M$11,Pay_Key_Gps,"*"&amp;$A$8&amp;"*",Pay_Code,$A32,pp_Hrs_Wkd_Pay_Code,"&gt;="&amp;$V$1,pp_OT_Pay_Code,"&gt;="&amp;$V$2,pp_Bon_Pay_Code,"&gt;="&amp;$V$3,pp_Meal_Pay_Code,"&gt;="&amp;$V$4,pp_Sick_Pay_Code,"&gt;="&amp;$V$5,pp_Diff_Pay_Code,"&gt;="&amp;$V$6),_xlpm.calc2,COUNTIFS(Pay_Key_Gps,"*"&amp;$A$8&amp;"*",Pay_Code,$A32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32" s="138" t="e" cm="1">
        <f t="array" ref="N32">_xlfn.LET(_xlpm.calc,COUNTIFS(Rate_Gp,N$11,Pay_Key_Gps,"*"&amp;$A$8&amp;"*",Pay_Code,$A32,pp_Hrs_Wkd_Pay_Code,"&gt;="&amp;$V$1,pp_OT_Pay_Code,"&gt;="&amp;$V$2,pp_Bon_Pay_Code,"&gt;="&amp;$V$3,pp_Meal_Pay_Code,"&gt;="&amp;$V$4,pp_Sick_Pay_Code,"&gt;="&amp;$V$5,pp_Diff_Pay_Code,"&gt;="&amp;$V$6),_xlpm.calc2,COUNTIFS(Pay_Key_Gps,"*"&amp;$A$8&amp;"*",Pay_Code,$A32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32" s="138" t="e" cm="1">
        <f t="array" ref="O32">_xlfn.LET(_xlpm.calc,COUNTIFS(Rate_Gp,O$11,Pay_Key_Gps,"*"&amp;$A$8&amp;"*",Pay_Code,$A32,pp_Hrs_Wkd_Pay_Code,"&gt;="&amp;$V$1,pp_OT_Pay_Code,"&gt;="&amp;$V$2,pp_Bon_Pay_Code,"&gt;="&amp;$V$3,pp_Meal_Pay_Code,"&gt;="&amp;$V$4,pp_Sick_Pay_Code,"&gt;="&amp;$V$5,pp_Diff_Pay_Code,"&gt;="&amp;$V$6),_xlpm.calc2,COUNTIFS(Pay_Key_Gps,"*"&amp;$A$8&amp;"*",Pay_Code,$A32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32" s="138" t="e" cm="1">
        <f t="array" ref="P32">_xlfn.LET(_xlpm.calc,COUNTIFS(Rate_Gp,P$11,Pay_Key_Gps,"*"&amp;$A$8&amp;"*",Pay_Code,$A32,pp_Hrs_Wkd_Pay_Code,"&gt;="&amp;$V$1,pp_OT_Pay_Code,"&gt;="&amp;$V$2,pp_Bon_Pay_Code,"&gt;="&amp;$V$3,pp_Meal_Pay_Code,"&gt;="&amp;$V$4,pp_Sick_Pay_Code,"&gt;="&amp;$V$5,pp_Diff_Pay_Code,"&gt;="&amp;$V$6),_xlpm.calc2,COUNTIFS(Pay_Key_Gps,"*"&amp;$A$8&amp;"*",Pay_Code,$A32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32" s="138" t="e" cm="1">
        <f t="array" ref="Q32">_xlfn.LET(_xlpm.calc,COUNTIFS(Rate_Gp,Q$11,Pay_Key_Gps,"*"&amp;$A$8&amp;"*",Pay_Code,$A32,pp_Hrs_Wkd_Pay_Code,"&gt;="&amp;$V$1,pp_OT_Pay_Code,"&gt;="&amp;$V$2,pp_Bon_Pay_Code,"&gt;="&amp;$V$3,pp_Meal_Pay_Code,"&gt;="&amp;$V$4,pp_Sick_Pay_Code,"&gt;="&amp;$V$5,pp_Diff_Pay_Code,"&gt;="&amp;$V$6),_xlpm.calc2,COUNTIFS(Pay_Key_Gps,"*"&amp;$A$8&amp;"*",Pay_Code,$A32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32" s="138" t="e" cm="1">
        <f t="array" ref="R32">_xlfn.LET(_xlpm.calc,COUNTIFS(Rate_Gp,R$11,Pay_Key_Gps,"*"&amp;$A$8&amp;"*",Pay_Code,$A32,pp_Hrs_Wkd_Pay_Code,"&gt;="&amp;$V$1,pp_OT_Pay_Code,"&gt;="&amp;$V$2,pp_Bon_Pay_Code,"&gt;="&amp;$V$3,pp_Meal_Pay_Code,"&gt;="&amp;$V$4,pp_Sick_Pay_Code,"&gt;="&amp;$V$5,pp_Diff_Pay_Code,"&gt;="&amp;$V$6),_xlpm.calc2,COUNTIFS(Pay_Key_Gps,"*"&amp;$A$8&amp;"*",Pay_Code,$A32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32" s="138" t="e" cm="1">
        <f t="array" ref="S32">_xlfn.LET(_xlpm.calc,COUNTIFS(Rate_Gp,S$11,Pay_Key_Gps,"*"&amp;$A$8&amp;"*",Pay_Code,$A32,pp_Hrs_Wkd_Pay_Code,"&gt;="&amp;$V$1,pp_OT_Pay_Code,"&gt;="&amp;$V$2,pp_Bon_Pay_Code,"&gt;="&amp;$V$3,pp_Meal_Pay_Code,"&gt;="&amp;$V$4,pp_Sick_Pay_Code,"&gt;="&amp;$V$5,pp_Diff_Pay_Code,"&gt;="&amp;$V$6),_xlpm.calc2,COUNTIFS(Pay_Key_Gps,"*"&amp;$A$8&amp;"*",Pay_Code,$A32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32" s="138" t="e" cm="1">
        <f t="array" ref="T32">_xlfn.LET(_xlpm.calc,COUNTIFS(Rate_Gp,T$11,Pay_Key_Gps,"*"&amp;$A$8&amp;"*",Pay_Code,$A32,pp_Hrs_Wkd_Pay_Code,"&gt;="&amp;$V$1,pp_OT_Pay_Code,"&gt;="&amp;$V$2,pp_Bon_Pay_Code,"&gt;="&amp;$V$3,pp_Meal_Pay_Code,"&gt;="&amp;$V$4,pp_Sick_Pay_Code,"&gt;="&amp;$V$5,pp_Diff_Pay_Code,"&gt;="&amp;$V$6),_xlpm.calc2,COUNTIFS(Pay_Key_Gps,"*"&amp;$A$8&amp;"*",Pay_Code,$A32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32" s="139" t="e" cm="1">
        <f t="array" ref="U32">_xlfn.LET(_xlpm.calc,COUNTIFS(Pay_Key_Gps,"*"&amp;$A$8&amp;"*",Pay_Code,$A32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32" s="118"/>
      <c r="W32" s="118"/>
      <c r="X32" s="149"/>
      <c r="Y32" s="149"/>
      <c r="Z32" s="149"/>
      <c r="AA32" s="149"/>
      <c r="AB32" s="140" t="e">
        <f t="shared" si="3"/>
        <v>#NAME?</v>
      </c>
    </row>
    <row r="33" spans="1:28" s="122" customFormat="1" x14ac:dyDescent="0.25">
      <c r="A33" s="133"/>
      <c r="B33" s="134" t="e" cm="1">
        <f t="array" ref="B33">_xlfn.LET(_xlpm.calc,_xlfn.MINIFS(Pay_Period_End,Pay_Key_Gps,"*"&amp;$A$8&amp;"*",Pay_Code,$A33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33" s="134" t="e" cm="1">
        <f t="array" ref="C33">_xlfn.LET(_xlpm.calc,_xlfn.MAXIFS(Pay_Period_End,Pay_Key_Gps,"*"&amp;$A$8&amp;"*",Pay_Code,$A33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33" s="135" t="str" cm="1">
        <f t="array" ref="D33">_xlfn.LET(_xlpm.calc,IFERROR(ROWS(_xlfn.UNIQUE(_xlfn._xlws.FILTER(Pay_ID,(IFERROR(SEARCH($A$8,Pay_Key_Gps),0)&gt;0) * (Pay_Code=$A33) * (pp_Hrs_Wkd_Pay_Code &gt;= $V$1) * (pp_OT_Pay_Code &gt;= $V$2) * (pp_Bon_Pay_Code &gt;= $V$3) * (pp_Meal_Pay_Code &gt;= $V$4) * (pp_Sick_Pay_Code &gt;= $V$5) * (pp_Diff_Pay_Code &gt;= $V$6)))),0),_xlpm.perc,_xlpm.calc/D$69,IFERROR(IF(_xlpm.calc&gt;1000,_xlfn.CONCAT(TEXT(_xlpm.calc,"0,000")," (",TEXT(_xlpm.perc,"0.0%"),")"),_xlfn.CONCAT(_xlpm.calc," (",TEXT(_xlpm.perc,"0.0%"),")")),"-"))</f>
        <v>-</v>
      </c>
      <c r="E33" s="135" t="str" cm="1">
        <f t="array" ref="E33">_xlfn.LET(_xlpm.calc,IFERROR(ROWS(_xlfn.UNIQUE(_xlfn._xlws.FILTER(Pay_ID_Period_End,(IFERROR(SEARCH($A$8,Pay_Key_Gps),0)&gt;0) * (Pay_Code=$A33) * (pp_Hrs_Wkd_Pay_Code &gt;= $V$1) * (pp_OT_Pay_Code &gt;= $V$2) * (pp_Bon_Pay_Code &gt;= $V$3) * (pp_Meal_Pay_Code &gt;= $V$4) * (pp_Sick_Pay_Code &gt;= $V$5) * (pp_Diff_Pay_Code &gt;= $V$6)))),0),_xlpm.perc,_xlpm.calc/E$69,IFERROR(IF(_xlpm.calc&gt;1000,_xlfn.CONCAT(TEXT(_xlpm.calc,"0,000")," (",TEXT(_xlpm.perc,"0.0%"),")"),_xlfn.CONCAT(_xlpm.calc," (",TEXT(_xlpm.perc,"0.0%"),")")),"-"))</f>
        <v>-</v>
      </c>
      <c r="F33" s="136" t="e">
        <f t="shared" si="1"/>
        <v>#NAME?</v>
      </c>
      <c r="G33" s="137" t="e">
        <f t="shared" si="2"/>
        <v>#NAME?</v>
      </c>
      <c r="H33" s="137" t="str" cm="1">
        <f t="array" ref="H33">IFERROR(AVERAGEIFS(Pay_Amount,Pay_Key_Gps,"*"&amp;$A$8&amp;"*",Pay_Code,$A33,pp_Hrs_Wkd_Pay_Code,"&gt;="&amp;$V$1,pp_OT_Pay_Code,"&gt;="&amp;$V$2,pp_Bon_Pay_Code,"&gt;="&amp;$V$3,pp_Meal_Pay_Code,"&gt;="&amp;$V$4,pp_Sick_Pay_Code,"&gt;="&amp;$V$5,pp_Diff_Pay_Code,"&gt;="&amp;$V$6),"-")</f>
        <v>-</v>
      </c>
      <c r="J33" s="133">
        <f t="shared" si="4"/>
        <v>0</v>
      </c>
      <c r="K33" s="138" t="e" cm="1">
        <f t="array" ref="K33">_xlfn.LET(_xlpm.calc,COUNTIFS(Rate_Gp,K$11,Pay_Key_Gps,"*"&amp;$A$8&amp;"*",Pay_Code,$A33,pp_Hrs_Wkd_Pay_Code,"&gt;="&amp;$V$1,pp_OT_Pay_Code,"&gt;="&amp;$V$2,pp_Bon_Pay_Code,"&gt;="&amp;$V$3,pp_Meal_Pay_Code,"&gt;="&amp;$V$4,pp_Sick_Pay_Code,"&gt;="&amp;$V$5,pp_Diff_Pay_Code,"&gt;="&amp;$V$6),_xlpm.calc2,COUNTIFS(Pay_Key_Gps,"*"&amp;$A$8&amp;"*",Pay_Code,$A33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33" s="138" t="e" cm="1">
        <f t="array" ref="L33">_xlfn.LET(_xlpm.calc,COUNTIFS(Rate_Gp,L$11,Pay_Key_Gps,"*"&amp;$A$8&amp;"*",Pay_Code,$A33,pp_Hrs_Wkd_Pay_Code,"&gt;="&amp;$V$1,pp_OT_Pay_Code,"&gt;="&amp;$V$2,pp_Bon_Pay_Code,"&gt;="&amp;$V$3,pp_Meal_Pay_Code,"&gt;="&amp;$V$4,pp_Sick_Pay_Code,"&gt;="&amp;$V$5,pp_Diff_Pay_Code,"&gt;="&amp;$V$6),_xlpm.calc2,COUNTIFS(Pay_Key_Gps,"*"&amp;$A$8&amp;"*",Pay_Code,$A33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33" s="138" t="e" cm="1">
        <f t="array" ref="M33">_xlfn.LET(_xlpm.calc,COUNTIFS(Rate_Gp,M$11,Pay_Key_Gps,"*"&amp;$A$8&amp;"*",Pay_Code,$A33,pp_Hrs_Wkd_Pay_Code,"&gt;="&amp;$V$1,pp_OT_Pay_Code,"&gt;="&amp;$V$2,pp_Bon_Pay_Code,"&gt;="&amp;$V$3,pp_Meal_Pay_Code,"&gt;="&amp;$V$4,pp_Sick_Pay_Code,"&gt;="&amp;$V$5,pp_Diff_Pay_Code,"&gt;="&amp;$V$6),_xlpm.calc2,COUNTIFS(Pay_Key_Gps,"*"&amp;$A$8&amp;"*",Pay_Code,$A33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33" s="138" t="e" cm="1">
        <f t="array" ref="N33">_xlfn.LET(_xlpm.calc,COUNTIFS(Rate_Gp,N$11,Pay_Key_Gps,"*"&amp;$A$8&amp;"*",Pay_Code,$A33,pp_Hrs_Wkd_Pay_Code,"&gt;="&amp;$V$1,pp_OT_Pay_Code,"&gt;="&amp;$V$2,pp_Bon_Pay_Code,"&gt;="&amp;$V$3,pp_Meal_Pay_Code,"&gt;="&amp;$V$4,pp_Sick_Pay_Code,"&gt;="&amp;$V$5,pp_Diff_Pay_Code,"&gt;="&amp;$V$6),_xlpm.calc2,COUNTIFS(Pay_Key_Gps,"*"&amp;$A$8&amp;"*",Pay_Code,$A33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33" s="138" t="e" cm="1">
        <f t="array" ref="O33">_xlfn.LET(_xlpm.calc,COUNTIFS(Rate_Gp,O$11,Pay_Key_Gps,"*"&amp;$A$8&amp;"*",Pay_Code,$A33,pp_Hrs_Wkd_Pay_Code,"&gt;="&amp;$V$1,pp_OT_Pay_Code,"&gt;="&amp;$V$2,pp_Bon_Pay_Code,"&gt;="&amp;$V$3,pp_Meal_Pay_Code,"&gt;="&amp;$V$4,pp_Sick_Pay_Code,"&gt;="&amp;$V$5,pp_Diff_Pay_Code,"&gt;="&amp;$V$6),_xlpm.calc2,COUNTIFS(Pay_Key_Gps,"*"&amp;$A$8&amp;"*",Pay_Code,$A33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33" s="138" t="e" cm="1">
        <f t="array" ref="P33">_xlfn.LET(_xlpm.calc,COUNTIFS(Rate_Gp,P$11,Pay_Key_Gps,"*"&amp;$A$8&amp;"*",Pay_Code,$A33,pp_Hrs_Wkd_Pay_Code,"&gt;="&amp;$V$1,pp_OT_Pay_Code,"&gt;="&amp;$V$2,pp_Bon_Pay_Code,"&gt;="&amp;$V$3,pp_Meal_Pay_Code,"&gt;="&amp;$V$4,pp_Sick_Pay_Code,"&gt;="&amp;$V$5,pp_Diff_Pay_Code,"&gt;="&amp;$V$6),_xlpm.calc2,COUNTIFS(Pay_Key_Gps,"*"&amp;$A$8&amp;"*",Pay_Code,$A33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33" s="138" t="e" cm="1">
        <f t="array" ref="Q33">_xlfn.LET(_xlpm.calc,COUNTIFS(Rate_Gp,Q$11,Pay_Key_Gps,"*"&amp;$A$8&amp;"*",Pay_Code,$A33,pp_Hrs_Wkd_Pay_Code,"&gt;="&amp;$V$1,pp_OT_Pay_Code,"&gt;="&amp;$V$2,pp_Bon_Pay_Code,"&gt;="&amp;$V$3,pp_Meal_Pay_Code,"&gt;="&amp;$V$4,pp_Sick_Pay_Code,"&gt;="&amp;$V$5,pp_Diff_Pay_Code,"&gt;="&amp;$V$6),_xlpm.calc2,COUNTIFS(Pay_Key_Gps,"*"&amp;$A$8&amp;"*",Pay_Code,$A33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33" s="138" t="e" cm="1">
        <f t="array" ref="R33">_xlfn.LET(_xlpm.calc,COUNTIFS(Rate_Gp,R$11,Pay_Key_Gps,"*"&amp;$A$8&amp;"*",Pay_Code,$A33,pp_Hrs_Wkd_Pay_Code,"&gt;="&amp;$V$1,pp_OT_Pay_Code,"&gt;="&amp;$V$2,pp_Bon_Pay_Code,"&gt;="&amp;$V$3,pp_Meal_Pay_Code,"&gt;="&amp;$V$4,pp_Sick_Pay_Code,"&gt;="&amp;$V$5,pp_Diff_Pay_Code,"&gt;="&amp;$V$6),_xlpm.calc2,COUNTIFS(Pay_Key_Gps,"*"&amp;$A$8&amp;"*",Pay_Code,$A33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33" s="138" t="e" cm="1">
        <f t="array" ref="S33">_xlfn.LET(_xlpm.calc,COUNTIFS(Rate_Gp,S$11,Pay_Key_Gps,"*"&amp;$A$8&amp;"*",Pay_Code,$A33,pp_Hrs_Wkd_Pay_Code,"&gt;="&amp;$V$1,pp_OT_Pay_Code,"&gt;="&amp;$V$2,pp_Bon_Pay_Code,"&gt;="&amp;$V$3,pp_Meal_Pay_Code,"&gt;="&amp;$V$4,pp_Sick_Pay_Code,"&gt;="&amp;$V$5,pp_Diff_Pay_Code,"&gt;="&amp;$V$6),_xlpm.calc2,COUNTIFS(Pay_Key_Gps,"*"&amp;$A$8&amp;"*",Pay_Code,$A33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33" s="138" t="e" cm="1">
        <f t="array" ref="T33">_xlfn.LET(_xlpm.calc,COUNTIFS(Rate_Gp,T$11,Pay_Key_Gps,"*"&amp;$A$8&amp;"*",Pay_Code,$A33,pp_Hrs_Wkd_Pay_Code,"&gt;="&amp;$V$1,pp_OT_Pay_Code,"&gt;="&amp;$V$2,pp_Bon_Pay_Code,"&gt;="&amp;$V$3,pp_Meal_Pay_Code,"&gt;="&amp;$V$4,pp_Sick_Pay_Code,"&gt;="&amp;$V$5,pp_Diff_Pay_Code,"&gt;="&amp;$V$6),_xlpm.calc2,COUNTIFS(Pay_Key_Gps,"*"&amp;$A$8&amp;"*",Pay_Code,$A33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33" s="139" t="e" cm="1">
        <f t="array" ref="U33">_xlfn.LET(_xlpm.calc,COUNTIFS(Pay_Key_Gps,"*"&amp;$A$8&amp;"*",Pay_Code,$A33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33" s="118"/>
      <c r="W33" s="118"/>
      <c r="X33" s="149"/>
      <c r="Y33" s="149"/>
      <c r="Z33" s="149"/>
      <c r="AA33" s="149"/>
      <c r="AB33" s="140" t="e">
        <f t="shared" si="3"/>
        <v>#NAME?</v>
      </c>
    </row>
    <row r="34" spans="1:28" s="122" customFormat="1" x14ac:dyDescent="0.25">
      <c r="A34" s="133"/>
      <c r="B34" s="134" t="e" cm="1">
        <f t="array" ref="B34">_xlfn.LET(_xlpm.calc,_xlfn.MINIFS(Pay_Period_End,Pay_Key_Gps,"*"&amp;$A$8&amp;"*",Pay_Code,$A34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34" s="134" t="e" cm="1">
        <f t="array" ref="C34">_xlfn.LET(_xlpm.calc,_xlfn.MAXIFS(Pay_Period_End,Pay_Key_Gps,"*"&amp;$A$8&amp;"*",Pay_Code,$A34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34" s="135" t="str" cm="1">
        <f t="array" ref="D34">_xlfn.LET(_xlpm.calc,IFERROR(ROWS(_xlfn.UNIQUE(_xlfn._xlws.FILTER(Pay_ID,(IFERROR(SEARCH($A$8,Pay_Key_Gps),0)&gt;0) * (Pay_Code=$A34) * (pp_Hrs_Wkd_Pay_Code &gt;= $V$1) * (pp_OT_Pay_Code &gt;= $V$2) * (pp_Bon_Pay_Code &gt;= $V$3) * (pp_Meal_Pay_Code &gt;= $V$4) * (pp_Sick_Pay_Code &gt;= $V$5) * (pp_Diff_Pay_Code &gt;= $V$6)))),0),_xlpm.perc,_xlpm.calc/D$69,IFERROR(IF(_xlpm.calc&gt;1000,_xlfn.CONCAT(TEXT(_xlpm.calc,"0,000")," (",TEXT(_xlpm.perc,"0.0%"),")"),_xlfn.CONCAT(_xlpm.calc," (",TEXT(_xlpm.perc,"0.0%"),")")),"-"))</f>
        <v>-</v>
      </c>
      <c r="E34" s="135" t="str" cm="1">
        <f t="array" ref="E34">_xlfn.LET(_xlpm.calc,IFERROR(ROWS(_xlfn.UNIQUE(_xlfn._xlws.FILTER(Pay_ID_Period_End,(IFERROR(SEARCH($A$8,Pay_Key_Gps),0)&gt;0) * (Pay_Code=$A34) * (pp_Hrs_Wkd_Pay_Code &gt;= $V$1) * (pp_OT_Pay_Code &gt;= $V$2) * (pp_Bon_Pay_Code &gt;= $V$3) * (pp_Meal_Pay_Code &gt;= $V$4) * (pp_Sick_Pay_Code &gt;= $V$5) * (pp_Diff_Pay_Code &gt;= $V$6)))),0),_xlpm.perc,_xlpm.calc/E$69,IFERROR(IF(_xlpm.calc&gt;1000,_xlfn.CONCAT(TEXT(_xlpm.calc,"0,000")," (",TEXT(_xlpm.perc,"0.0%"),")"),_xlfn.CONCAT(_xlpm.calc," (",TEXT(_xlpm.perc,"0.0%"),")")),"-"))</f>
        <v>-</v>
      </c>
      <c r="F34" s="136" t="e">
        <f t="shared" si="1"/>
        <v>#NAME?</v>
      </c>
      <c r="G34" s="137" t="e">
        <f t="shared" si="2"/>
        <v>#NAME?</v>
      </c>
      <c r="H34" s="137" t="str" cm="1">
        <f t="array" ref="H34">IFERROR(AVERAGEIFS(Pay_Amount,Pay_Key_Gps,"*"&amp;$A$8&amp;"*",Pay_Code,$A34,pp_Hrs_Wkd_Pay_Code,"&gt;="&amp;$V$1,pp_OT_Pay_Code,"&gt;="&amp;$V$2,pp_Bon_Pay_Code,"&gt;="&amp;$V$3,pp_Meal_Pay_Code,"&gt;="&amp;$V$4,pp_Sick_Pay_Code,"&gt;="&amp;$V$5,pp_Diff_Pay_Code,"&gt;="&amp;$V$6),"-")</f>
        <v>-</v>
      </c>
      <c r="J34" s="133">
        <f t="shared" si="4"/>
        <v>0</v>
      </c>
      <c r="K34" s="138" t="e" cm="1">
        <f t="array" ref="K34">_xlfn.LET(_xlpm.calc,COUNTIFS(Rate_Gp,K$11,Pay_Key_Gps,"*"&amp;$A$8&amp;"*",Pay_Code,$A34,pp_Hrs_Wkd_Pay_Code,"&gt;="&amp;$V$1,pp_OT_Pay_Code,"&gt;="&amp;$V$2,pp_Bon_Pay_Code,"&gt;="&amp;$V$3,pp_Meal_Pay_Code,"&gt;="&amp;$V$4,pp_Sick_Pay_Code,"&gt;="&amp;$V$5,pp_Diff_Pay_Code,"&gt;="&amp;$V$6),_xlpm.calc2,COUNTIFS(Pay_Key_Gps,"*"&amp;$A$8&amp;"*",Pay_Code,$A34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34" s="138" t="e" cm="1">
        <f t="array" ref="L34">_xlfn.LET(_xlpm.calc,COUNTIFS(Rate_Gp,L$11,Pay_Key_Gps,"*"&amp;$A$8&amp;"*",Pay_Code,$A34,pp_Hrs_Wkd_Pay_Code,"&gt;="&amp;$V$1,pp_OT_Pay_Code,"&gt;="&amp;$V$2,pp_Bon_Pay_Code,"&gt;="&amp;$V$3,pp_Meal_Pay_Code,"&gt;="&amp;$V$4,pp_Sick_Pay_Code,"&gt;="&amp;$V$5,pp_Diff_Pay_Code,"&gt;="&amp;$V$6),_xlpm.calc2,COUNTIFS(Pay_Key_Gps,"*"&amp;$A$8&amp;"*",Pay_Code,$A34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34" s="138" t="e" cm="1">
        <f t="array" ref="M34">_xlfn.LET(_xlpm.calc,COUNTIFS(Rate_Gp,M$11,Pay_Key_Gps,"*"&amp;$A$8&amp;"*",Pay_Code,$A34,pp_Hrs_Wkd_Pay_Code,"&gt;="&amp;$V$1,pp_OT_Pay_Code,"&gt;="&amp;$V$2,pp_Bon_Pay_Code,"&gt;="&amp;$V$3,pp_Meal_Pay_Code,"&gt;="&amp;$V$4,pp_Sick_Pay_Code,"&gt;="&amp;$V$5,pp_Diff_Pay_Code,"&gt;="&amp;$V$6),_xlpm.calc2,COUNTIFS(Pay_Key_Gps,"*"&amp;$A$8&amp;"*",Pay_Code,$A34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34" s="138" t="e" cm="1">
        <f t="array" ref="N34">_xlfn.LET(_xlpm.calc,COUNTIFS(Rate_Gp,N$11,Pay_Key_Gps,"*"&amp;$A$8&amp;"*",Pay_Code,$A34,pp_Hrs_Wkd_Pay_Code,"&gt;="&amp;$V$1,pp_OT_Pay_Code,"&gt;="&amp;$V$2,pp_Bon_Pay_Code,"&gt;="&amp;$V$3,pp_Meal_Pay_Code,"&gt;="&amp;$V$4,pp_Sick_Pay_Code,"&gt;="&amp;$V$5,pp_Diff_Pay_Code,"&gt;="&amp;$V$6),_xlpm.calc2,COUNTIFS(Pay_Key_Gps,"*"&amp;$A$8&amp;"*",Pay_Code,$A34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34" s="138" t="e" cm="1">
        <f t="array" ref="O34">_xlfn.LET(_xlpm.calc,COUNTIFS(Rate_Gp,O$11,Pay_Key_Gps,"*"&amp;$A$8&amp;"*",Pay_Code,$A34,pp_Hrs_Wkd_Pay_Code,"&gt;="&amp;$V$1,pp_OT_Pay_Code,"&gt;="&amp;$V$2,pp_Bon_Pay_Code,"&gt;="&amp;$V$3,pp_Meal_Pay_Code,"&gt;="&amp;$V$4,pp_Sick_Pay_Code,"&gt;="&amp;$V$5,pp_Diff_Pay_Code,"&gt;="&amp;$V$6),_xlpm.calc2,COUNTIFS(Pay_Key_Gps,"*"&amp;$A$8&amp;"*",Pay_Code,$A34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34" s="138" t="e" cm="1">
        <f t="array" ref="P34">_xlfn.LET(_xlpm.calc,COUNTIFS(Rate_Gp,P$11,Pay_Key_Gps,"*"&amp;$A$8&amp;"*",Pay_Code,$A34,pp_Hrs_Wkd_Pay_Code,"&gt;="&amp;$V$1,pp_OT_Pay_Code,"&gt;="&amp;$V$2,pp_Bon_Pay_Code,"&gt;="&amp;$V$3,pp_Meal_Pay_Code,"&gt;="&amp;$V$4,pp_Sick_Pay_Code,"&gt;="&amp;$V$5,pp_Diff_Pay_Code,"&gt;="&amp;$V$6),_xlpm.calc2,COUNTIFS(Pay_Key_Gps,"*"&amp;$A$8&amp;"*",Pay_Code,$A34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34" s="138" t="e" cm="1">
        <f t="array" ref="Q34">_xlfn.LET(_xlpm.calc,COUNTIFS(Rate_Gp,Q$11,Pay_Key_Gps,"*"&amp;$A$8&amp;"*",Pay_Code,$A34,pp_Hrs_Wkd_Pay_Code,"&gt;="&amp;$V$1,pp_OT_Pay_Code,"&gt;="&amp;$V$2,pp_Bon_Pay_Code,"&gt;="&amp;$V$3,pp_Meal_Pay_Code,"&gt;="&amp;$V$4,pp_Sick_Pay_Code,"&gt;="&amp;$V$5,pp_Diff_Pay_Code,"&gt;="&amp;$V$6),_xlpm.calc2,COUNTIFS(Pay_Key_Gps,"*"&amp;$A$8&amp;"*",Pay_Code,$A34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34" s="138" t="e" cm="1">
        <f t="array" ref="R34">_xlfn.LET(_xlpm.calc,COUNTIFS(Rate_Gp,R$11,Pay_Key_Gps,"*"&amp;$A$8&amp;"*",Pay_Code,$A34,pp_Hrs_Wkd_Pay_Code,"&gt;="&amp;$V$1,pp_OT_Pay_Code,"&gt;="&amp;$V$2,pp_Bon_Pay_Code,"&gt;="&amp;$V$3,pp_Meal_Pay_Code,"&gt;="&amp;$V$4,pp_Sick_Pay_Code,"&gt;="&amp;$V$5,pp_Diff_Pay_Code,"&gt;="&amp;$V$6),_xlpm.calc2,COUNTIFS(Pay_Key_Gps,"*"&amp;$A$8&amp;"*",Pay_Code,$A34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34" s="138" t="e" cm="1">
        <f t="array" ref="S34">_xlfn.LET(_xlpm.calc,COUNTIFS(Rate_Gp,S$11,Pay_Key_Gps,"*"&amp;$A$8&amp;"*",Pay_Code,$A34,pp_Hrs_Wkd_Pay_Code,"&gt;="&amp;$V$1,pp_OT_Pay_Code,"&gt;="&amp;$V$2,pp_Bon_Pay_Code,"&gt;="&amp;$V$3,pp_Meal_Pay_Code,"&gt;="&amp;$V$4,pp_Sick_Pay_Code,"&gt;="&amp;$V$5,pp_Diff_Pay_Code,"&gt;="&amp;$V$6),_xlpm.calc2,COUNTIFS(Pay_Key_Gps,"*"&amp;$A$8&amp;"*",Pay_Code,$A34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34" s="138" t="e" cm="1">
        <f t="array" ref="T34">_xlfn.LET(_xlpm.calc,COUNTIFS(Rate_Gp,T$11,Pay_Key_Gps,"*"&amp;$A$8&amp;"*",Pay_Code,$A34,pp_Hrs_Wkd_Pay_Code,"&gt;="&amp;$V$1,pp_OT_Pay_Code,"&gt;="&amp;$V$2,pp_Bon_Pay_Code,"&gt;="&amp;$V$3,pp_Meal_Pay_Code,"&gt;="&amp;$V$4,pp_Sick_Pay_Code,"&gt;="&amp;$V$5,pp_Diff_Pay_Code,"&gt;="&amp;$V$6),_xlpm.calc2,COUNTIFS(Pay_Key_Gps,"*"&amp;$A$8&amp;"*",Pay_Code,$A34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34" s="139" t="e" cm="1">
        <f t="array" ref="U34">_xlfn.LET(_xlpm.calc,COUNTIFS(Pay_Key_Gps,"*"&amp;$A$8&amp;"*",Pay_Code,$A34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34" s="118"/>
      <c r="W34" s="118"/>
      <c r="X34" s="149"/>
      <c r="Y34" s="149"/>
      <c r="Z34" s="149"/>
      <c r="AA34" s="149"/>
      <c r="AB34" s="140" t="e">
        <f t="shared" si="3"/>
        <v>#NAME?</v>
      </c>
    </row>
    <row r="35" spans="1:28" s="122" customFormat="1" x14ac:dyDescent="0.25">
      <c r="A35" s="133"/>
      <c r="B35" s="134" t="e" cm="1">
        <f t="array" ref="B35">_xlfn.LET(_xlpm.calc,_xlfn.MINIFS(Pay_Period_End,Pay_Key_Gps,"*"&amp;$A$8&amp;"*",Pay_Code,$A35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35" s="134" t="e" cm="1">
        <f t="array" ref="C35">_xlfn.LET(_xlpm.calc,_xlfn.MAXIFS(Pay_Period_End,Pay_Key_Gps,"*"&amp;$A$8&amp;"*",Pay_Code,$A35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35" s="135" t="str" cm="1">
        <f t="array" ref="D35">_xlfn.LET(_xlpm.calc,IFERROR(ROWS(_xlfn.UNIQUE(_xlfn._xlws.FILTER(Pay_ID,(IFERROR(SEARCH($A$8,Pay_Key_Gps),0)&gt;0) * (Pay_Code=$A35) * (pp_Hrs_Wkd_Pay_Code &gt;= $V$1) * (pp_OT_Pay_Code &gt;= $V$2) * (pp_Bon_Pay_Code &gt;= $V$3) * (pp_Meal_Pay_Code &gt;= $V$4) * (pp_Sick_Pay_Code &gt;= $V$5) * (pp_Diff_Pay_Code &gt;= $V$6)))),0),_xlpm.perc,_xlpm.calc/D$69,IFERROR(IF(_xlpm.calc&gt;1000,_xlfn.CONCAT(TEXT(_xlpm.calc,"0,000")," (",TEXT(_xlpm.perc,"0.0%"),")"),_xlfn.CONCAT(_xlpm.calc," (",TEXT(_xlpm.perc,"0.0%"),")")),"-"))</f>
        <v>-</v>
      </c>
      <c r="E35" s="135" t="str" cm="1">
        <f t="array" ref="E35">_xlfn.LET(_xlpm.calc,IFERROR(ROWS(_xlfn.UNIQUE(_xlfn._xlws.FILTER(Pay_ID_Period_End,(IFERROR(SEARCH($A$8,Pay_Key_Gps),0)&gt;0) * (Pay_Code=$A35) * (pp_Hrs_Wkd_Pay_Code &gt;= $V$1) * (pp_OT_Pay_Code &gt;= $V$2) * (pp_Bon_Pay_Code &gt;= $V$3) * (pp_Meal_Pay_Code &gt;= $V$4) * (pp_Sick_Pay_Code &gt;= $V$5) * (pp_Diff_Pay_Code &gt;= $V$6)))),0),_xlpm.perc,_xlpm.calc/E$69,IFERROR(IF(_xlpm.calc&gt;1000,_xlfn.CONCAT(TEXT(_xlpm.calc,"0,000")," (",TEXT(_xlpm.perc,"0.0%"),")"),_xlfn.CONCAT(_xlpm.calc," (",TEXT(_xlpm.perc,"0.0%"),")")),"-"))</f>
        <v>-</v>
      </c>
      <c r="F35" s="136" t="e">
        <f t="shared" si="1"/>
        <v>#NAME?</v>
      </c>
      <c r="G35" s="137" t="e">
        <f t="shared" si="2"/>
        <v>#NAME?</v>
      </c>
      <c r="H35" s="137" t="str" cm="1">
        <f t="array" ref="H35">IFERROR(AVERAGEIFS(Pay_Amount,Pay_Key_Gps,"*"&amp;$A$8&amp;"*",Pay_Code,$A35,pp_Hrs_Wkd_Pay_Code,"&gt;="&amp;$V$1,pp_OT_Pay_Code,"&gt;="&amp;$V$2,pp_Bon_Pay_Code,"&gt;="&amp;$V$3,pp_Meal_Pay_Code,"&gt;="&amp;$V$4,pp_Sick_Pay_Code,"&gt;="&amp;$V$5,pp_Diff_Pay_Code,"&gt;="&amp;$V$6),"-")</f>
        <v>-</v>
      </c>
      <c r="J35" s="133">
        <f t="shared" si="4"/>
        <v>0</v>
      </c>
      <c r="K35" s="138" t="e" cm="1">
        <f t="array" ref="K35">_xlfn.LET(_xlpm.calc,COUNTIFS(Rate_Gp,K$11,Pay_Key_Gps,"*"&amp;$A$8&amp;"*",Pay_Code,$A35,pp_Hrs_Wkd_Pay_Code,"&gt;="&amp;$V$1,pp_OT_Pay_Code,"&gt;="&amp;$V$2,pp_Bon_Pay_Code,"&gt;="&amp;$V$3,pp_Meal_Pay_Code,"&gt;="&amp;$V$4,pp_Sick_Pay_Code,"&gt;="&amp;$V$5,pp_Diff_Pay_Code,"&gt;="&amp;$V$6),_xlpm.calc2,COUNTIFS(Pay_Key_Gps,"*"&amp;$A$8&amp;"*",Pay_Code,$A35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35" s="138" t="e" cm="1">
        <f t="array" ref="L35">_xlfn.LET(_xlpm.calc,COUNTIFS(Rate_Gp,L$11,Pay_Key_Gps,"*"&amp;$A$8&amp;"*",Pay_Code,$A35,pp_Hrs_Wkd_Pay_Code,"&gt;="&amp;$V$1,pp_OT_Pay_Code,"&gt;="&amp;$V$2,pp_Bon_Pay_Code,"&gt;="&amp;$V$3,pp_Meal_Pay_Code,"&gt;="&amp;$V$4,pp_Sick_Pay_Code,"&gt;="&amp;$V$5,pp_Diff_Pay_Code,"&gt;="&amp;$V$6),_xlpm.calc2,COUNTIFS(Pay_Key_Gps,"*"&amp;$A$8&amp;"*",Pay_Code,$A35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35" s="138" t="e" cm="1">
        <f t="array" ref="M35">_xlfn.LET(_xlpm.calc,COUNTIFS(Rate_Gp,M$11,Pay_Key_Gps,"*"&amp;$A$8&amp;"*",Pay_Code,$A35,pp_Hrs_Wkd_Pay_Code,"&gt;="&amp;$V$1,pp_OT_Pay_Code,"&gt;="&amp;$V$2,pp_Bon_Pay_Code,"&gt;="&amp;$V$3,pp_Meal_Pay_Code,"&gt;="&amp;$V$4,pp_Sick_Pay_Code,"&gt;="&amp;$V$5,pp_Diff_Pay_Code,"&gt;="&amp;$V$6),_xlpm.calc2,COUNTIFS(Pay_Key_Gps,"*"&amp;$A$8&amp;"*",Pay_Code,$A35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35" s="138" t="e" cm="1">
        <f t="array" ref="N35">_xlfn.LET(_xlpm.calc,COUNTIFS(Rate_Gp,N$11,Pay_Key_Gps,"*"&amp;$A$8&amp;"*",Pay_Code,$A35,pp_Hrs_Wkd_Pay_Code,"&gt;="&amp;$V$1,pp_OT_Pay_Code,"&gt;="&amp;$V$2,pp_Bon_Pay_Code,"&gt;="&amp;$V$3,pp_Meal_Pay_Code,"&gt;="&amp;$V$4,pp_Sick_Pay_Code,"&gt;="&amp;$V$5,pp_Diff_Pay_Code,"&gt;="&amp;$V$6),_xlpm.calc2,COUNTIFS(Pay_Key_Gps,"*"&amp;$A$8&amp;"*",Pay_Code,$A35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35" s="138" t="e" cm="1">
        <f t="array" ref="O35">_xlfn.LET(_xlpm.calc,COUNTIFS(Rate_Gp,O$11,Pay_Key_Gps,"*"&amp;$A$8&amp;"*",Pay_Code,$A35,pp_Hrs_Wkd_Pay_Code,"&gt;="&amp;$V$1,pp_OT_Pay_Code,"&gt;="&amp;$V$2,pp_Bon_Pay_Code,"&gt;="&amp;$V$3,pp_Meal_Pay_Code,"&gt;="&amp;$V$4,pp_Sick_Pay_Code,"&gt;="&amp;$V$5,pp_Diff_Pay_Code,"&gt;="&amp;$V$6),_xlpm.calc2,COUNTIFS(Pay_Key_Gps,"*"&amp;$A$8&amp;"*",Pay_Code,$A35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35" s="138" t="e" cm="1">
        <f t="array" ref="P35">_xlfn.LET(_xlpm.calc,COUNTIFS(Rate_Gp,P$11,Pay_Key_Gps,"*"&amp;$A$8&amp;"*",Pay_Code,$A35,pp_Hrs_Wkd_Pay_Code,"&gt;="&amp;$V$1,pp_OT_Pay_Code,"&gt;="&amp;$V$2,pp_Bon_Pay_Code,"&gt;="&amp;$V$3,pp_Meal_Pay_Code,"&gt;="&amp;$V$4,pp_Sick_Pay_Code,"&gt;="&amp;$V$5,pp_Diff_Pay_Code,"&gt;="&amp;$V$6),_xlpm.calc2,COUNTIFS(Pay_Key_Gps,"*"&amp;$A$8&amp;"*",Pay_Code,$A35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35" s="138" t="e" cm="1">
        <f t="array" ref="Q35">_xlfn.LET(_xlpm.calc,COUNTIFS(Rate_Gp,Q$11,Pay_Key_Gps,"*"&amp;$A$8&amp;"*",Pay_Code,$A35,pp_Hrs_Wkd_Pay_Code,"&gt;="&amp;$V$1,pp_OT_Pay_Code,"&gt;="&amp;$V$2,pp_Bon_Pay_Code,"&gt;="&amp;$V$3,pp_Meal_Pay_Code,"&gt;="&amp;$V$4,pp_Sick_Pay_Code,"&gt;="&amp;$V$5,pp_Diff_Pay_Code,"&gt;="&amp;$V$6),_xlpm.calc2,COUNTIFS(Pay_Key_Gps,"*"&amp;$A$8&amp;"*",Pay_Code,$A35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35" s="138" t="e" cm="1">
        <f t="array" ref="R35">_xlfn.LET(_xlpm.calc,COUNTIFS(Rate_Gp,R$11,Pay_Key_Gps,"*"&amp;$A$8&amp;"*",Pay_Code,$A35,pp_Hrs_Wkd_Pay_Code,"&gt;="&amp;$V$1,pp_OT_Pay_Code,"&gt;="&amp;$V$2,pp_Bon_Pay_Code,"&gt;="&amp;$V$3,pp_Meal_Pay_Code,"&gt;="&amp;$V$4,pp_Sick_Pay_Code,"&gt;="&amp;$V$5,pp_Diff_Pay_Code,"&gt;="&amp;$V$6),_xlpm.calc2,COUNTIFS(Pay_Key_Gps,"*"&amp;$A$8&amp;"*",Pay_Code,$A35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35" s="138" t="e" cm="1">
        <f t="array" ref="S35">_xlfn.LET(_xlpm.calc,COUNTIFS(Rate_Gp,S$11,Pay_Key_Gps,"*"&amp;$A$8&amp;"*",Pay_Code,$A35,pp_Hrs_Wkd_Pay_Code,"&gt;="&amp;$V$1,pp_OT_Pay_Code,"&gt;="&amp;$V$2,pp_Bon_Pay_Code,"&gt;="&amp;$V$3,pp_Meal_Pay_Code,"&gt;="&amp;$V$4,pp_Sick_Pay_Code,"&gt;="&amp;$V$5,pp_Diff_Pay_Code,"&gt;="&amp;$V$6),_xlpm.calc2,COUNTIFS(Pay_Key_Gps,"*"&amp;$A$8&amp;"*",Pay_Code,$A35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35" s="138" t="e" cm="1">
        <f t="array" ref="T35">_xlfn.LET(_xlpm.calc,COUNTIFS(Rate_Gp,T$11,Pay_Key_Gps,"*"&amp;$A$8&amp;"*",Pay_Code,$A35,pp_Hrs_Wkd_Pay_Code,"&gt;="&amp;$V$1,pp_OT_Pay_Code,"&gt;="&amp;$V$2,pp_Bon_Pay_Code,"&gt;="&amp;$V$3,pp_Meal_Pay_Code,"&gt;="&amp;$V$4,pp_Sick_Pay_Code,"&gt;="&amp;$V$5,pp_Diff_Pay_Code,"&gt;="&amp;$V$6),_xlpm.calc2,COUNTIFS(Pay_Key_Gps,"*"&amp;$A$8&amp;"*",Pay_Code,$A35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35" s="139" t="e" cm="1">
        <f t="array" ref="U35">_xlfn.LET(_xlpm.calc,COUNTIFS(Pay_Key_Gps,"*"&amp;$A$8&amp;"*",Pay_Code,$A35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35" s="118"/>
      <c r="W35" s="118"/>
      <c r="X35" s="149"/>
      <c r="Y35" s="149"/>
      <c r="Z35" s="149"/>
      <c r="AA35" s="149"/>
      <c r="AB35" s="140" t="e">
        <f t="shared" si="3"/>
        <v>#NAME?</v>
      </c>
    </row>
    <row r="36" spans="1:28" s="122" customFormat="1" x14ac:dyDescent="0.25">
      <c r="A36" s="133"/>
      <c r="B36" s="134" t="e" cm="1">
        <f t="array" ref="B36">_xlfn.LET(_xlpm.calc,_xlfn.MINIFS(Pay_Period_End,Pay_Key_Gps,"*"&amp;$A$8&amp;"*",Pay_Code,$A36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36" s="134" t="e" cm="1">
        <f t="array" ref="C36">_xlfn.LET(_xlpm.calc,_xlfn.MAXIFS(Pay_Period_End,Pay_Key_Gps,"*"&amp;$A$8&amp;"*",Pay_Code,$A36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36" s="135" t="str" cm="1">
        <f t="array" ref="D36">_xlfn.LET(_xlpm.calc,IFERROR(ROWS(_xlfn.UNIQUE(_xlfn._xlws.FILTER(Pay_ID,(IFERROR(SEARCH($A$8,Pay_Key_Gps),0)&gt;0) * (Pay_Code=$A36) * (pp_Hrs_Wkd_Pay_Code &gt;= $V$1) * (pp_OT_Pay_Code &gt;= $V$2) * (pp_Bon_Pay_Code &gt;= $V$3) * (pp_Meal_Pay_Code &gt;= $V$4) * (pp_Sick_Pay_Code &gt;= $V$5) * (pp_Diff_Pay_Code &gt;= $V$6)))),0),_xlpm.perc,_xlpm.calc/D$69,IFERROR(IF(_xlpm.calc&gt;1000,_xlfn.CONCAT(TEXT(_xlpm.calc,"0,000")," (",TEXT(_xlpm.perc,"0.0%"),")"),_xlfn.CONCAT(_xlpm.calc," (",TEXT(_xlpm.perc,"0.0%"),")")),"-"))</f>
        <v>-</v>
      </c>
      <c r="E36" s="135" t="str" cm="1">
        <f t="array" ref="E36">_xlfn.LET(_xlpm.calc,IFERROR(ROWS(_xlfn.UNIQUE(_xlfn._xlws.FILTER(Pay_ID_Period_End,(IFERROR(SEARCH($A$8,Pay_Key_Gps),0)&gt;0) * (Pay_Code=$A36) * (pp_Hrs_Wkd_Pay_Code &gt;= $V$1) * (pp_OT_Pay_Code &gt;= $V$2) * (pp_Bon_Pay_Code &gt;= $V$3) * (pp_Meal_Pay_Code &gt;= $V$4) * (pp_Sick_Pay_Code &gt;= $V$5) * (pp_Diff_Pay_Code &gt;= $V$6)))),0),_xlpm.perc,_xlpm.calc/E$69,IFERROR(IF(_xlpm.calc&gt;1000,_xlfn.CONCAT(TEXT(_xlpm.calc,"0,000")," (",TEXT(_xlpm.perc,"0.0%"),")"),_xlfn.CONCAT(_xlpm.calc," (",TEXT(_xlpm.perc,"0.0%"),")")),"-"))</f>
        <v>-</v>
      </c>
      <c r="F36" s="136" t="e">
        <f t="shared" si="1"/>
        <v>#NAME?</v>
      </c>
      <c r="G36" s="137" t="e">
        <f t="shared" si="2"/>
        <v>#NAME?</v>
      </c>
      <c r="H36" s="137" t="str" cm="1">
        <f t="array" ref="H36">IFERROR(AVERAGEIFS(Pay_Amount,Pay_Key_Gps,"*"&amp;$A$8&amp;"*",Pay_Code,$A36,pp_Hrs_Wkd_Pay_Code,"&gt;="&amp;$V$1,pp_OT_Pay_Code,"&gt;="&amp;$V$2,pp_Bon_Pay_Code,"&gt;="&amp;$V$3,pp_Meal_Pay_Code,"&gt;="&amp;$V$4,pp_Sick_Pay_Code,"&gt;="&amp;$V$5,pp_Diff_Pay_Code,"&gt;="&amp;$V$6),"-")</f>
        <v>-</v>
      </c>
      <c r="J36" s="133">
        <f t="shared" si="4"/>
        <v>0</v>
      </c>
      <c r="K36" s="138" t="e" cm="1">
        <f t="array" ref="K36">_xlfn.LET(_xlpm.calc,COUNTIFS(Rate_Gp,K$11,Pay_Key_Gps,"*"&amp;$A$8&amp;"*",Pay_Code,$A36,pp_Hrs_Wkd_Pay_Code,"&gt;="&amp;$V$1,pp_OT_Pay_Code,"&gt;="&amp;$V$2,pp_Bon_Pay_Code,"&gt;="&amp;$V$3,pp_Meal_Pay_Code,"&gt;="&amp;$V$4,pp_Sick_Pay_Code,"&gt;="&amp;$V$5,pp_Diff_Pay_Code,"&gt;="&amp;$V$6),_xlpm.calc2,COUNTIFS(Pay_Key_Gps,"*"&amp;$A$8&amp;"*",Pay_Code,$A36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36" s="138" t="e" cm="1">
        <f t="array" ref="L36">_xlfn.LET(_xlpm.calc,COUNTIFS(Rate_Gp,L$11,Pay_Key_Gps,"*"&amp;$A$8&amp;"*",Pay_Code,$A36,pp_Hrs_Wkd_Pay_Code,"&gt;="&amp;$V$1,pp_OT_Pay_Code,"&gt;="&amp;$V$2,pp_Bon_Pay_Code,"&gt;="&amp;$V$3,pp_Meal_Pay_Code,"&gt;="&amp;$V$4,pp_Sick_Pay_Code,"&gt;="&amp;$V$5,pp_Diff_Pay_Code,"&gt;="&amp;$V$6),_xlpm.calc2,COUNTIFS(Pay_Key_Gps,"*"&amp;$A$8&amp;"*",Pay_Code,$A36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36" s="138" t="e" cm="1">
        <f t="array" ref="M36">_xlfn.LET(_xlpm.calc,COUNTIFS(Rate_Gp,M$11,Pay_Key_Gps,"*"&amp;$A$8&amp;"*",Pay_Code,$A36,pp_Hrs_Wkd_Pay_Code,"&gt;="&amp;$V$1,pp_OT_Pay_Code,"&gt;="&amp;$V$2,pp_Bon_Pay_Code,"&gt;="&amp;$V$3,pp_Meal_Pay_Code,"&gt;="&amp;$V$4,pp_Sick_Pay_Code,"&gt;="&amp;$V$5,pp_Diff_Pay_Code,"&gt;="&amp;$V$6),_xlpm.calc2,COUNTIFS(Pay_Key_Gps,"*"&amp;$A$8&amp;"*",Pay_Code,$A36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36" s="138" t="e" cm="1">
        <f t="array" ref="N36">_xlfn.LET(_xlpm.calc,COUNTIFS(Rate_Gp,N$11,Pay_Key_Gps,"*"&amp;$A$8&amp;"*",Pay_Code,$A36,pp_Hrs_Wkd_Pay_Code,"&gt;="&amp;$V$1,pp_OT_Pay_Code,"&gt;="&amp;$V$2,pp_Bon_Pay_Code,"&gt;="&amp;$V$3,pp_Meal_Pay_Code,"&gt;="&amp;$V$4,pp_Sick_Pay_Code,"&gt;="&amp;$V$5,pp_Diff_Pay_Code,"&gt;="&amp;$V$6),_xlpm.calc2,COUNTIFS(Pay_Key_Gps,"*"&amp;$A$8&amp;"*",Pay_Code,$A36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36" s="138" t="e" cm="1">
        <f t="array" ref="O36">_xlfn.LET(_xlpm.calc,COUNTIFS(Rate_Gp,O$11,Pay_Key_Gps,"*"&amp;$A$8&amp;"*",Pay_Code,$A36,pp_Hrs_Wkd_Pay_Code,"&gt;="&amp;$V$1,pp_OT_Pay_Code,"&gt;="&amp;$V$2,pp_Bon_Pay_Code,"&gt;="&amp;$V$3,pp_Meal_Pay_Code,"&gt;="&amp;$V$4,pp_Sick_Pay_Code,"&gt;="&amp;$V$5,pp_Diff_Pay_Code,"&gt;="&amp;$V$6),_xlpm.calc2,COUNTIFS(Pay_Key_Gps,"*"&amp;$A$8&amp;"*",Pay_Code,$A36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36" s="138" t="e" cm="1">
        <f t="array" ref="P36">_xlfn.LET(_xlpm.calc,COUNTIFS(Rate_Gp,P$11,Pay_Key_Gps,"*"&amp;$A$8&amp;"*",Pay_Code,$A36,pp_Hrs_Wkd_Pay_Code,"&gt;="&amp;$V$1,pp_OT_Pay_Code,"&gt;="&amp;$V$2,pp_Bon_Pay_Code,"&gt;="&amp;$V$3,pp_Meal_Pay_Code,"&gt;="&amp;$V$4,pp_Sick_Pay_Code,"&gt;="&amp;$V$5,pp_Diff_Pay_Code,"&gt;="&amp;$V$6),_xlpm.calc2,COUNTIFS(Pay_Key_Gps,"*"&amp;$A$8&amp;"*",Pay_Code,$A36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36" s="138" t="e" cm="1">
        <f t="array" ref="Q36">_xlfn.LET(_xlpm.calc,COUNTIFS(Rate_Gp,Q$11,Pay_Key_Gps,"*"&amp;$A$8&amp;"*",Pay_Code,$A36,pp_Hrs_Wkd_Pay_Code,"&gt;="&amp;$V$1,pp_OT_Pay_Code,"&gt;="&amp;$V$2,pp_Bon_Pay_Code,"&gt;="&amp;$V$3,pp_Meal_Pay_Code,"&gt;="&amp;$V$4,pp_Sick_Pay_Code,"&gt;="&amp;$V$5,pp_Diff_Pay_Code,"&gt;="&amp;$V$6),_xlpm.calc2,COUNTIFS(Pay_Key_Gps,"*"&amp;$A$8&amp;"*",Pay_Code,$A36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36" s="138" t="e" cm="1">
        <f t="array" ref="R36">_xlfn.LET(_xlpm.calc,COUNTIFS(Rate_Gp,R$11,Pay_Key_Gps,"*"&amp;$A$8&amp;"*",Pay_Code,$A36,pp_Hrs_Wkd_Pay_Code,"&gt;="&amp;$V$1,pp_OT_Pay_Code,"&gt;="&amp;$V$2,pp_Bon_Pay_Code,"&gt;="&amp;$V$3,pp_Meal_Pay_Code,"&gt;="&amp;$V$4,pp_Sick_Pay_Code,"&gt;="&amp;$V$5,pp_Diff_Pay_Code,"&gt;="&amp;$V$6),_xlpm.calc2,COUNTIFS(Pay_Key_Gps,"*"&amp;$A$8&amp;"*",Pay_Code,$A36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36" s="138" t="e" cm="1">
        <f t="array" ref="S36">_xlfn.LET(_xlpm.calc,COUNTIFS(Rate_Gp,S$11,Pay_Key_Gps,"*"&amp;$A$8&amp;"*",Pay_Code,$A36,pp_Hrs_Wkd_Pay_Code,"&gt;="&amp;$V$1,pp_OT_Pay_Code,"&gt;="&amp;$V$2,pp_Bon_Pay_Code,"&gt;="&amp;$V$3,pp_Meal_Pay_Code,"&gt;="&amp;$V$4,pp_Sick_Pay_Code,"&gt;="&amp;$V$5,pp_Diff_Pay_Code,"&gt;="&amp;$V$6),_xlpm.calc2,COUNTIFS(Pay_Key_Gps,"*"&amp;$A$8&amp;"*",Pay_Code,$A36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36" s="138" t="e" cm="1">
        <f t="array" ref="T36">_xlfn.LET(_xlpm.calc,COUNTIFS(Rate_Gp,T$11,Pay_Key_Gps,"*"&amp;$A$8&amp;"*",Pay_Code,$A36,pp_Hrs_Wkd_Pay_Code,"&gt;="&amp;$V$1,pp_OT_Pay_Code,"&gt;="&amp;$V$2,pp_Bon_Pay_Code,"&gt;="&amp;$V$3,pp_Meal_Pay_Code,"&gt;="&amp;$V$4,pp_Sick_Pay_Code,"&gt;="&amp;$V$5,pp_Diff_Pay_Code,"&gt;="&amp;$V$6),_xlpm.calc2,COUNTIFS(Pay_Key_Gps,"*"&amp;$A$8&amp;"*",Pay_Code,$A36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36" s="139" t="e" cm="1">
        <f t="array" ref="U36">_xlfn.LET(_xlpm.calc,COUNTIFS(Pay_Key_Gps,"*"&amp;$A$8&amp;"*",Pay_Code,$A36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36" s="118"/>
      <c r="W36" s="118"/>
      <c r="X36" s="149"/>
      <c r="Y36" s="149"/>
      <c r="Z36" s="149"/>
      <c r="AA36" s="149"/>
      <c r="AB36" s="140" t="e">
        <f t="shared" si="3"/>
        <v>#NAME?</v>
      </c>
    </row>
    <row r="37" spans="1:28" s="122" customFormat="1" x14ac:dyDescent="0.25">
      <c r="A37" s="133"/>
      <c r="B37" s="134" t="e" cm="1">
        <f t="array" ref="B37">_xlfn.LET(_xlpm.calc,_xlfn.MINIFS(Pay_Period_End,Pay_Key_Gps,"*"&amp;$A$8&amp;"*",Pay_Code,$A37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37" s="134" t="e" cm="1">
        <f t="array" ref="C37">_xlfn.LET(_xlpm.calc,_xlfn.MAXIFS(Pay_Period_End,Pay_Key_Gps,"*"&amp;$A$8&amp;"*",Pay_Code,$A37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37" s="135" t="str" cm="1">
        <f t="array" ref="D37">_xlfn.LET(_xlpm.calc,IFERROR(ROWS(_xlfn.UNIQUE(_xlfn._xlws.FILTER(Pay_ID,(IFERROR(SEARCH($A$8,Pay_Key_Gps),0)&gt;0) * (Pay_Code=$A37) * (pp_Hrs_Wkd_Pay_Code &gt;= $V$1) * (pp_OT_Pay_Code &gt;= $V$2) * (pp_Bon_Pay_Code &gt;= $V$3) * (pp_Meal_Pay_Code &gt;= $V$4) * (pp_Sick_Pay_Code &gt;= $V$5) * (pp_Diff_Pay_Code &gt;= $V$6)))),0),_xlpm.perc,_xlpm.calc/D$69,IFERROR(IF(_xlpm.calc&gt;1000,_xlfn.CONCAT(TEXT(_xlpm.calc,"0,000")," (",TEXT(_xlpm.perc,"0.0%"),")"),_xlfn.CONCAT(_xlpm.calc," (",TEXT(_xlpm.perc,"0.0%"),")")),"-"))</f>
        <v>-</v>
      </c>
      <c r="E37" s="135" t="str" cm="1">
        <f t="array" ref="E37">_xlfn.LET(_xlpm.calc,IFERROR(ROWS(_xlfn.UNIQUE(_xlfn._xlws.FILTER(Pay_ID_Period_End,(IFERROR(SEARCH($A$8,Pay_Key_Gps),0)&gt;0) * (Pay_Code=$A37) * (pp_Hrs_Wkd_Pay_Code &gt;= $V$1) * (pp_OT_Pay_Code &gt;= $V$2) * (pp_Bon_Pay_Code &gt;= $V$3) * (pp_Meal_Pay_Code &gt;= $V$4) * (pp_Sick_Pay_Code &gt;= $V$5) * (pp_Diff_Pay_Code &gt;= $V$6)))),0),_xlpm.perc,_xlpm.calc/E$69,IFERROR(IF(_xlpm.calc&gt;1000,_xlfn.CONCAT(TEXT(_xlpm.calc,"0,000")," (",TEXT(_xlpm.perc,"0.0%"),")"),_xlfn.CONCAT(_xlpm.calc," (",TEXT(_xlpm.perc,"0.0%"),")")),"-"))</f>
        <v>-</v>
      </c>
      <c r="F37" s="136" t="e">
        <f t="shared" si="1"/>
        <v>#NAME?</v>
      </c>
      <c r="G37" s="137" t="e">
        <f t="shared" si="2"/>
        <v>#NAME?</v>
      </c>
      <c r="H37" s="137" t="str" cm="1">
        <f t="array" ref="H37">IFERROR(AVERAGEIFS(Pay_Amount,Pay_Key_Gps,"*"&amp;$A$8&amp;"*",Pay_Code,$A37,pp_Hrs_Wkd_Pay_Code,"&gt;="&amp;$V$1,pp_OT_Pay_Code,"&gt;="&amp;$V$2,pp_Bon_Pay_Code,"&gt;="&amp;$V$3,pp_Meal_Pay_Code,"&gt;="&amp;$V$4,pp_Sick_Pay_Code,"&gt;="&amp;$V$5,pp_Diff_Pay_Code,"&gt;="&amp;$V$6),"-")</f>
        <v>-</v>
      </c>
      <c r="J37" s="133">
        <f t="shared" si="4"/>
        <v>0</v>
      </c>
      <c r="K37" s="138" t="e" cm="1">
        <f t="array" ref="K37">_xlfn.LET(_xlpm.calc,COUNTIFS(Rate_Gp,K$11,Pay_Key_Gps,"*"&amp;$A$8&amp;"*",Pay_Code,$A37,pp_Hrs_Wkd_Pay_Code,"&gt;="&amp;$V$1,pp_OT_Pay_Code,"&gt;="&amp;$V$2,pp_Bon_Pay_Code,"&gt;="&amp;$V$3,pp_Meal_Pay_Code,"&gt;="&amp;$V$4,pp_Sick_Pay_Code,"&gt;="&amp;$V$5,pp_Diff_Pay_Code,"&gt;="&amp;$V$6),_xlpm.calc2,COUNTIFS(Pay_Key_Gps,"*"&amp;$A$8&amp;"*",Pay_Code,$A37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37" s="138" t="e" cm="1">
        <f t="array" ref="L37">_xlfn.LET(_xlpm.calc,COUNTIFS(Rate_Gp,L$11,Pay_Key_Gps,"*"&amp;$A$8&amp;"*",Pay_Code,$A37,pp_Hrs_Wkd_Pay_Code,"&gt;="&amp;$V$1,pp_OT_Pay_Code,"&gt;="&amp;$V$2,pp_Bon_Pay_Code,"&gt;="&amp;$V$3,pp_Meal_Pay_Code,"&gt;="&amp;$V$4,pp_Sick_Pay_Code,"&gt;="&amp;$V$5,pp_Diff_Pay_Code,"&gt;="&amp;$V$6),_xlpm.calc2,COUNTIFS(Pay_Key_Gps,"*"&amp;$A$8&amp;"*",Pay_Code,$A37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37" s="138" t="e" cm="1">
        <f t="array" ref="M37">_xlfn.LET(_xlpm.calc,COUNTIFS(Rate_Gp,M$11,Pay_Key_Gps,"*"&amp;$A$8&amp;"*",Pay_Code,$A37,pp_Hrs_Wkd_Pay_Code,"&gt;="&amp;$V$1,pp_OT_Pay_Code,"&gt;="&amp;$V$2,pp_Bon_Pay_Code,"&gt;="&amp;$V$3,pp_Meal_Pay_Code,"&gt;="&amp;$V$4,pp_Sick_Pay_Code,"&gt;="&amp;$V$5,pp_Diff_Pay_Code,"&gt;="&amp;$V$6),_xlpm.calc2,COUNTIFS(Pay_Key_Gps,"*"&amp;$A$8&amp;"*",Pay_Code,$A37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37" s="138" t="e" cm="1">
        <f t="array" ref="N37">_xlfn.LET(_xlpm.calc,COUNTIFS(Rate_Gp,N$11,Pay_Key_Gps,"*"&amp;$A$8&amp;"*",Pay_Code,$A37,pp_Hrs_Wkd_Pay_Code,"&gt;="&amp;$V$1,pp_OT_Pay_Code,"&gt;="&amp;$V$2,pp_Bon_Pay_Code,"&gt;="&amp;$V$3,pp_Meal_Pay_Code,"&gt;="&amp;$V$4,pp_Sick_Pay_Code,"&gt;="&amp;$V$5,pp_Diff_Pay_Code,"&gt;="&amp;$V$6),_xlpm.calc2,COUNTIFS(Pay_Key_Gps,"*"&amp;$A$8&amp;"*",Pay_Code,$A37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37" s="138" t="e" cm="1">
        <f t="array" ref="O37">_xlfn.LET(_xlpm.calc,COUNTIFS(Rate_Gp,O$11,Pay_Key_Gps,"*"&amp;$A$8&amp;"*",Pay_Code,$A37,pp_Hrs_Wkd_Pay_Code,"&gt;="&amp;$V$1,pp_OT_Pay_Code,"&gt;="&amp;$V$2,pp_Bon_Pay_Code,"&gt;="&amp;$V$3,pp_Meal_Pay_Code,"&gt;="&amp;$V$4,pp_Sick_Pay_Code,"&gt;="&amp;$V$5,pp_Diff_Pay_Code,"&gt;="&amp;$V$6),_xlpm.calc2,COUNTIFS(Pay_Key_Gps,"*"&amp;$A$8&amp;"*",Pay_Code,$A37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37" s="138" t="e" cm="1">
        <f t="array" ref="P37">_xlfn.LET(_xlpm.calc,COUNTIFS(Rate_Gp,P$11,Pay_Key_Gps,"*"&amp;$A$8&amp;"*",Pay_Code,$A37,pp_Hrs_Wkd_Pay_Code,"&gt;="&amp;$V$1,pp_OT_Pay_Code,"&gt;="&amp;$V$2,pp_Bon_Pay_Code,"&gt;="&amp;$V$3,pp_Meal_Pay_Code,"&gt;="&amp;$V$4,pp_Sick_Pay_Code,"&gt;="&amp;$V$5,pp_Diff_Pay_Code,"&gt;="&amp;$V$6),_xlpm.calc2,COUNTIFS(Pay_Key_Gps,"*"&amp;$A$8&amp;"*",Pay_Code,$A37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37" s="138" t="e" cm="1">
        <f t="array" ref="Q37">_xlfn.LET(_xlpm.calc,COUNTIFS(Rate_Gp,Q$11,Pay_Key_Gps,"*"&amp;$A$8&amp;"*",Pay_Code,$A37,pp_Hrs_Wkd_Pay_Code,"&gt;="&amp;$V$1,pp_OT_Pay_Code,"&gt;="&amp;$V$2,pp_Bon_Pay_Code,"&gt;="&amp;$V$3,pp_Meal_Pay_Code,"&gt;="&amp;$V$4,pp_Sick_Pay_Code,"&gt;="&amp;$V$5,pp_Diff_Pay_Code,"&gt;="&amp;$V$6),_xlpm.calc2,COUNTIFS(Pay_Key_Gps,"*"&amp;$A$8&amp;"*",Pay_Code,$A37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37" s="138" t="e" cm="1">
        <f t="array" ref="R37">_xlfn.LET(_xlpm.calc,COUNTIFS(Rate_Gp,R$11,Pay_Key_Gps,"*"&amp;$A$8&amp;"*",Pay_Code,$A37,pp_Hrs_Wkd_Pay_Code,"&gt;="&amp;$V$1,pp_OT_Pay_Code,"&gt;="&amp;$V$2,pp_Bon_Pay_Code,"&gt;="&amp;$V$3,pp_Meal_Pay_Code,"&gt;="&amp;$V$4,pp_Sick_Pay_Code,"&gt;="&amp;$V$5,pp_Diff_Pay_Code,"&gt;="&amp;$V$6),_xlpm.calc2,COUNTIFS(Pay_Key_Gps,"*"&amp;$A$8&amp;"*",Pay_Code,$A37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37" s="138" t="e" cm="1">
        <f t="array" ref="S37">_xlfn.LET(_xlpm.calc,COUNTIFS(Rate_Gp,S$11,Pay_Key_Gps,"*"&amp;$A$8&amp;"*",Pay_Code,$A37,pp_Hrs_Wkd_Pay_Code,"&gt;="&amp;$V$1,pp_OT_Pay_Code,"&gt;="&amp;$V$2,pp_Bon_Pay_Code,"&gt;="&amp;$V$3,pp_Meal_Pay_Code,"&gt;="&amp;$V$4,pp_Sick_Pay_Code,"&gt;="&amp;$V$5,pp_Diff_Pay_Code,"&gt;="&amp;$V$6),_xlpm.calc2,COUNTIFS(Pay_Key_Gps,"*"&amp;$A$8&amp;"*",Pay_Code,$A37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37" s="138" t="e" cm="1">
        <f t="array" ref="T37">_xlfn.LET(_xlpm.calc,COUNTIFS(Rate_Gp,T$11,Pay_Key_Gps,"*"&amp;$A$8&amp;"*",Pay_Code,$A37,pp_Hrs_Wkd_Pay_Code,"&gt;="&amp;$V$1,pp_OT_Pay_Code,"&gt;="&amp;$V$2,pp_Bon_Pay_Code,"&gt;="&amp;$V$3,pp_Meal_Pay_Code,"&gt;="&amp;$V$4,pp_Sick_Pay_Code,"&gt;="&amp;$V$5,pp_Diff_Pay_Code,"&gt;="&amp;$V$6),_xlpm.calc2,COUNTIFS(Pay_Key_Gps,"*"&amp;$A$8&amp;"*",Pay_Code,$A37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37" s="139" t="e" cm="1">
        <f t="array" ref="U37">_xlfn.LET(_xlpm.calc,COUNTIFS(Pay_Key_Gps,"*"&amp;$A$8&amp;"*",Pay_Code,$A37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37" s="118"/>
      <c r="W37" s="118"/>
      <c r="X37" s="149"/>
      <c r="Y37" s="149"/>
      <c r="Z37" s="149"/>
      <c r="AA37" s="149"/>
      <c r="AB37" s="140" t="e">
        <f t="shared" si="3"/>
        <v>#NAME?</v>
      </c>
    </row>
    <row r="38" spans="1:28" s="122" customFormat="1" x14ac:dyDescent="0.25">
      <c r="A38" s="133"/>
      <c r="B38" s="134" t="e" cm="1">
        <f t="array" ref="B38">_xlfn.LET(_xlpm.calc,_xlfn.MINIFS(Pay_Period_End,Pay_Key_Gps,"*"&amp;$A$8&amp;"*",Pay_Code,$A38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38" s="134" t="e" cm="1">
        <f t="array" ref="C38">_xlfn.LET(_xlpm.calc,_xlfn.MAXIFS(Pay_Period_End,Pay_Key_Gps,"*"&amp;$A$8&amp;"*",Pay_Code,$A38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38" s="135" t="str" cm="1">
        <f t="array" ref="D38">_xlfn.LET(_xlpm.calc,IFERROR(ROWS(_xlfn.UNIQUE(_xlfn._xlws.FILTER(Pay_ID,(IFERROR(SEARCH($A$8,Pay_Key_Gps),0)&gt;0) * (Pay_Code=$A38) * (pp_Hrs_Wkd_Pay_Code &gt;= $V$1) * (pp_OT_Pay_Code &gt;= $V$2) * (pp_Bon_Pay_Code &gt;= $V$3) * (pp_Meal_Pay_Code &gt;= $V$4) * (pp_Sick_Pay_Code &gt;= $V$5) * (pp_Diff_Pay_Code &gt;= $V$6)))),0),_xlpm.perc,_xlpm.calc/D$69,IFERROR(IF(_xlpm.calc&gt;1000,_xlfn.CONCAT(TEXT(_xlpm.calc,"0,000")," (",TEXT(_xlpm.perc,"0.0%"),")"),_xlfn.CONCAT(_xlpm.calc," (",TEXT(_xlpm.perc,"0.0%"),")")),"-"))</f>
        <v>-</v>
      </c>
      <c r="E38" s="135" t="str" cm="1">
        <f t="array" ref="E38">_xlfn.LET(_xlpm.calc,IFERROR(ROWS(_xlfn.UNIQUE(_xlfn._xlws.FILTER(Pay_ID_Period_End,(IFERROR(SEARCH($A$8,Pay_Key_Gps),0)&gt;0) * (Pay_Code=$A38) * (pp_Hrs_Wkd_Pay_Code &gt;= $V$1) * (pp_OT_Pay_Code &gt;= $V$2) * (pp_Bon_Pay_Code &gt;= $V$3) * (pp_Meal_Pay_Code &gt;= $V$4) * (pp_Sick_Pay_Code &gt;= $V$5) * (pp_Diff_Pay_Code &gt;= $V$6)))),0),_xlpm.perc,_xlpm.calc/E$69,IFERROR(IF(_xlpm.calc&gt;1000,_xlfn.CONCAT(TEXT(_xlpm.calc,"0,000")," (",TEXT(_xlpm.perc,"0.0%"),")"),_xlfn.CONCAT(_xlpm.calc," (",TEXT(_xlpm.perc,"0.0%"),")")),"-"))</f>
        <v>-</v>
      </c>
      <c r="F38" s="136" t="e">
        <f t="shared" si="1"/>
        <v>#NAME?</v>
      </c>
      <c r="G38" s="137" t="e">
        <f t="shared" si="2"/>
        <v>#NAME?</v>
      </c>
      <c r="H38" s="137" t="str" cm="1">
        <f t="array" ref="H38">IFERROR(AVERAGEIFS(Pay_Amount,Pay_Key_Gps,"*"&amp;$A$8&amp;"*",Pay_Code,$A38,pp_Hrs_Wkd_Pay_Code,"&gt;="&amp;$V$1,pp_OT_Pay_Code,"&gt;="&amp;$V$2,pp_Bon_Pay_Code,"&gt;="&amp;$V$3,pp_Meal_Pay_Code,"&gt;="&amp;$V$4,pp_Sick_Pay_Code,"&gt;="&amp;$V$5,pp_Diff_Pay_Code,"&gt;="&amp;$V$6),"-")</f>
        <v>-</v>
      </c>
      <c r="J38" s="133">
        <f t="shared" si="4"/>
        <v>0</v>
      </c>
      <c r="K38" s="138" t="e" cm="1">
        <f t="array" ref="K38">_xlfn.LET(_xlpm.calc,COUNTIFS(Rate_Gp,K$11,Pay_Key_Gps,"*"&amp;$A$8&amp;"*",Pay_Code,$A38,pp_Hrs_Wkd_Pay_Code,"&gt;="&amp;$V$1,pp_OT_Pay_Code,"&gt;="&amp;$V$2,pp_Bon_Pay_Code,"&gt;="&amp;$V$3,pp_Meal_Pay_Code,"&gt;="&amp;$V$4,pp_Sick_Pay_Code,"&gt;="&amp;$V$5,pp_Diff_Pay_Code,"&gt;="&amp;$V$6),_xlpm.calc2,COUNTIFS(Pay_Key_Gps,"*"&amp;$A$8&amp;"*",Pay_Code,$A38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38" s="138" t="e" cm="1">
        <f t="array" ref="L38">_xlfn.LET(_xlpm.calc,COUNTIFS(Rate_Gp,L$11,Pay_Key_Gps,"*"&amp;$A$8&amp;"*",Pay_Code,$A38,pp_Hrs_Wkd_Pay_Code,"&gt;="&amp;$V$1,pp_OT_Pay_Code,"&gt;="&amp;$V$2,pp_Bon_Pay_Code,"&gt;="&amp;$V$3,pp_Meal_Pay_Code,"&gt;="&amp;$V$4,pp_Sick_Pay_Code,"&gt;="&amp;$V$5,pp_Diff_Pay_Code,"&gt;="&amp;$V$6),_xlpm.calc2,COUNTIFS(Pay_Key_Gps,"*"&amp;$A$8&amp;"*",Pay_Code,$A38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38" s="138" t="e" cm="1">
        <f t="array" ref="M38">_xlfn.LET(_xlpm.calc,COUNTIFS(Rate_Gp,M$11,Pay_Key_Gps,"*"&amp;$A$8&amp;"*",Pay_Code,$A38,pp_Hrs_Wkd_Pay_Code,"&gt;="&amp;$V$1,pp_OT_Pay_Code,"&gt;="&amp;$V$2,pp_Bon_Pay_Code,"&gt;="&amp;$V$3,pp_Meal_Pay_Code,"&gt;="&amp;$V$4,pp_Sick_Pay_Code,"&gt;="&amp;$V$5,pp_Diff_Pay_Code,"&gt;="&amp;$V$6),_xlpm.calc2,COUNTIFS(Pay_Key_Gps,"*"&amp;$A$8&amp;"*",Pay_Code,$A38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38" s="138" t="e" cm="1">
        <f t="array" ref="N38">_xlfn.LET(_xlpm.calc,COUNTIFS(Rate_Gp,N$11,Pay_Key_Gps,"*"&amp;$A$8&amp;"*",Pay_Code,$A38,pp_Hrs_Wkd_Pay_Code,"&gt;="&amp;$V$1,pp_OT_Pay_Code,"&gt;="&amp;$V$2,pp_Bon_Pay_Code,"&gt;="&amp;$V$3,pp_Meal_Pay_Code,"&gt;="&amp;$V$4,pp_Sick_Pay_Code,"&gt;="&amp;$V$5,pp_Diff_Pay_Code,"&gt;="&amp;$V$6),_xlpm.calc2,COUNTIFS(Pay_Key_Gps,"*"&amp;$A$8&amp;"*",Pay_Code,$A38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38" s="138" t="e" cm="1">
        <f t="array" ref="O38">_xlfn.LET(_xlpm.calc,COUNTIFS(Rate_Gp,O$11,Pay_Key_Gps,"*"&amp;$A$8&amp;"*",Pay_Code,$A38,pp_Hrs_Wkd_Pay_Code,"&gt;="&amp;$V$1,pp_OT_Pay_Code,"&gt;="&amp;$V$2,pp_Bon_Pay_Code,"&gt;="&amp;$V$3,pp_Meal_Pay_Code,"&gt;="&amp;$V$4,pp_Sick_Pay_Code,"&gt;="&amp;$V$5,pp_Diff_Pay_Code,"&gt;="&amp;$V$6),_xlpm.calc2,COUNTIFS(Pay_Key_Gps,"*"&amp;$A$8&amp;"*",Pay_Code,$A38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38" s="138" t="e" cm="1">
        <f t="array" ref="P38">_xlfn.LET(_xlpm.calc,COUNTIFS(Rate_Gp,P$11,Pay_Key_Gps,"*"&amp;$A$8&amp;"*",Pay_Code,$A38,pp_Hrs_Wkd_Pay_Code,"&gt;="&amp;$V$1,pp_OT_Pay_Code,"&gt;="&amp;$V$2,pp_Bon_Pay_Code,"&gt;="&amp;$V$3,pp_Meal_Pay_Code,"&gt;="&amp;$V$4,pp_Sick_Pay_Code,"&gt;="&amp;$V$5,pp_Diff_Pay_Code,"&gt;="&amp;$V$6),_xlpm.calc2,COUNTIFS(Pay_Key_Gps,"*"&amp;$A$8&amp;"*",Pay_Code,$A38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38" s="138" t="e" cm="1">
        <f t="array" ref="Q38">_xlfn.LET(_xlpm.calc,COUNTIFS(Rate_Gp,Q$11,Pay_Key_Gps,"*"&amp;$A$8&amp;"*",Pay_Code,$A38,pp_Hrs_Wkd_Pay_Code,"&gt;="&amp;$V$1,pp_OT_Pay_Code,"&gt;="&amp;$V$2,pp_Bon_Pay_Code,"&gt;="&amp;$V$3,pp_Meal_Pay_Code,"&gt;="&amp;$V$4,pp_Sick_Pay_Code,"&gt;="&amp;$V$5,pp_Diff_Pay_Code,"&gt;="&amp;$V$6),_xlpm.calc2,COUNTIFS(Pay_Key_Gps,"*"&amp;$A$8&amp;"*",Pay_Code,$A38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38" s="138" t="e" cm="1">
        <f t="array" ref="R38">_xlfn.LET(_xlpm.calc,COUNTIFS(Rate_Gp,R$11,Pay_Key_Gps,"*"&amp;$A$8&amp;"*",Pay_Code,$A38,pp_Hrs_Wkd_Pay_Code,"&gt;="&amp;$V$1,pp_OT_Pay_Code,"&gt;="&amp;$V$2,pp_Bon_Pay_Code,"&gt;="&amp;$V$3,pp_Meal_Pay_Code,"&gt;="&amp;$V$4,pp_Sick_Pay_Code,"&gt;="&amp;$V$5,pp_Diff_Pay_Code,"&gt;="&amp;$V$6),_xlpm.calc2,COUNTIFS(Pay_Key_Gps,"*"&amp;$A$8&amp;"*",Pay_Code,$A38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38" s="138" t="e" cm="1">
        <f t="array" ref="S38">_xlfn.LET(_xlpm.calc,COUNTIFS(Rate_Gp,S$11,Pay_Key_Gps,"*"&amp;$A$8&amp;"*",Pay_Code,$A38,pp_Hrs_Wkd_Pay_Code,"&gt;="&amp;$V$1,pp_OT_Pay_Code,"&gt;="&amp;$V$2,pp_Bon_Pay_Code,"&gt;="&amp;$V$3,pp_Meal_Pay_Code,"&gt;="&amp;$V$4,pp_Sick_Pay_Code,"&gt;="&amp;$V$5,pp_Diff_Pay_Code,"&gt;="&amp;$V$6),_xlpm.calc2,COUNTIFS(Pay_Key_Gps,"*"&amp;$A$8&amp;"*",Pay_Code,$A38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38" s="138" t="e" cm="1">
        <f t="array" ref="T38">_xlfn.LET(_xlpm.calc,COUNTIFS(Rate_Gp,T$11,Pay_Key_Gps,"*"&amp;$A$8&amp;"*",Pay_Code,$A38,pp_Hrs_Wkd_Pay_Code,"&gt;="&amp;$V$1,pp_OT_Pay_Code,"&gt;="&amp;$V$2,pp_Bon_Pay_Code,"&gt;="&amp;$V$3,pp_Meal_Pay_Code,"&gt;="&amp;$V$4,pp_Sick_Pay_Code,"&gt;="&amp;$V$5,pp_Diff_Pay_Code,"&gt;="&amp;$V$6),_xlpm.calc2,COUNTIFS(Pay_Key_Gps,"*"&amp;$A$8&amp;"*",Pay_Code,$A38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38" s="139" t="e" cm="1">
        <f t="array" ref="U38">_xlfn.LET(_xlpm.calc,COUNTIFS(Pay_Key_Gps,"*"&amp;$A$8&amp;"*",Pay_Code,$A38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38" s="118"/>
      <c r="W38" s="118"/>
      <c r="X38" s="149"/>
      <c r="Y38" s="149"/>
      <c r="Z38" s="149"/>
      <c r="AA38" s="149"/>
      <c r="AB38" s="140" t="e">
        <f t="shared" si="3"/>
        <v>#NAME?</v>
      </c>
    </row>
    <row r="39" spans="1:28" s="122" customFormat="1" x14ac:dyDescent="0.25">
      <c r="A39" s="133"/>
      <c r="B39" s="134" t="e" cm="1">
        <f t="array" ref="B39">_xlfn.LET(_xlpm.calc,_xlfn.MINIFS(Pay_Period_End,Pay_Key_Gps,"*"&amp;$A$8&amp;"*",Pay_Code,$A39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39" s="134" t="e" cm="1">
        <f t="array" ref="C39">_xlfn.LET(_xlpm.calc,_xlfn.MAXIFS(Pay_Period_End,Pay_Key_Gps,"*"&amp;$A$8&amp;"*",Pay_Code,$A39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39" s="135" t="str" cm="1">
        <f t="array" ref="D39">_xlfn.LET(_xlpm.calc,IFERROR(ROWS(_xlfn.UNIQUE(_xlfn._xlws.FILTER(Pay_ID,(IFERROR(SEARCH($A$8,Pay_Key_Gps),0)&gt;0) * (Pay_Code=$A39) * (pp_Hrs_Wkd_Pay_Code &gt;= $V$1) * (pp_OT_Pay_Code &gt;= $V$2) * (pp_Bon_Pay_Code &gt;= $V$3) * (pp_Meal_Pay_Code &gt;= $V$4) * (pp_Sick_Pay_Code &gt;= $V$5) * (pp_Diff_Pay_Code &gt;= $V$6)))),0),_xlpm.perc,_xlpm.calc/D$69,IFERROR(IF(_xlpm.calc&gt;1000,_xlfn.CONCAT(TEXT(_xlpm.calc,"0,000")," (",TEXT(_xlpm.perc,"0.0%"),")"),_xlfn.CONCAT(_xlpm.calc," (",TEXT(_xlpm.perc,"0.0%"),")")),"-"))</f>
        <v>-</v>
      </c>
      <c r="E39" s="135" t="str" cm="1">
        <f t="array" ref="E39">_xlfn.LET(_xlpm.calc,IFERROR(ROWS(_xlfn.UNIQUE(_xlfn._xlws.FILTER(Pay_ID_Period_End,(IFERROR(SEARCH($A$8,Pay_Key_Gps),0)&gt;0) * (Pay_Code=$A39) * (pp_Hrs_Wkd_Pay_Code &gt;= $V$1) * (pp_OT_Pay_Code &gt;= $V$2) * (pp_Bon_Pay_Code &gt;= $V$3) * (pp_Meal_Pay_Code &gt;= $V$4) * (pp_Sick_Pay_Code &gt;= $V$5) * (pp_Diff_Pay_Code &gt;= $V$6)))),0),_xlpm.perc,_xlpm.calc/E$69,IFERROR(IF(_xlpm.calc&gt;1000,_xlfn.CONCAT(TEXT(_xlpm.calc,"0,000")," (",TEXT(_xlpm.perc,"0.0%"),")"),_xlfn.CONCAT(_xlpm.calc," (",TEXT(_xlpm.perc,"0.0%"),")")),"-"))</f>
        <v>-</v>
      </c>
      <c r="F39" s="136" t="e">
        <f t="shared" si="1"/>
        <v>#NAME?</v>
      </c>
      <c r="G39" s="137" t="e">
        <f t="shared" si="2"/>
        <v>#NAME?</v>
      </c>
      <c r="H39" s="137" t="str" cm="1">
        <f t="array" ref="H39">IFERROR(AVERAGEIFS(Pay_Amount,Pay_Key_Gps,"*"&amp;$A$8&amp;"*",Pay_Code,$A39,pp_Hrs_Wkd_Pay_Code,"&gt;="&amp;$V$1,pp_OT_Pay_Code,"&gt;="&amp;$V$2,pp_Bon_Pay_Code,"&gt;="&amp;$V$3,pp_Meal_Pay_Code,"&gt;="&amp;$V$4,pp_Sick_Pay_Code,"&gt;="&amp;$V$5,pp_Diff_Pay_Code,"&gt;="&amp;$V$6),"-")</f>
        <v>-</v>
      </c>
      <c r="J39" s="133">
        <f t="shared" si="4"/>
        <v>0</v>
      </c>
      <c r="K39" s="138" t="e" cm="1">
        <f t="array" ref="K39">_xlfn.LET(_xlpm.calc,COUNTIFS(Rate_Gp,K$11,Pay_Key_Gps,"*"&amp;$A$8&amp;"*",Pay_Code,$A39,pp_Hrs_Wkd_Pay_Code,"&gt;="&amp;$V$1,pp_OT_Pay_Code,"&gt;="&amp;$V$2,pp_Bon_Pay_Code,"&gt;="&amp;$V$3,pp_Meal_Pay_Code,"&gt;="&amp;$V$4,pp_Sick_Pay_Code,"&gt;="&amp;$V$5,pp_Diff_Pay_Code,"&gt;="&amp;$V$6),_xlpm.calc2,COUNTIFS(Pay_Key_Gps,"*"&amp;$A$8&amp;"*",Pay_Code,$A39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39" s="138" t="e" cm="1">
        <f t="array" ref="L39">_xlfn.LET(_xlpm.calc,COUNTIFS(Rate_Gp,L$11,Pay_Key_Gps,"*"&amp;$A$8&amp;"*",Pay_Code,$A39,pp_Hrs_Wkd_Pay_Code,"&gt;="&amp;$V$1,pp_OT_Pay_Code,"&gt;="&amp;$V$2,pp_Bon_Pay_Code,"&gt;="&amp;$V$3,pp_Meal_Pay_Code,"&gt;="&amp;$V$4,pp_Sick_Pay_Code,"&gt;="&amp;$V$5,pp_Diff_Pay_Code,"&gt;="&amp;$V$6),_xlpm.calc2,COUNTIFS(Pay_Key_Gps,"*"&amp;$A$8&amp;"*",Pay_Code,$A39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39" s="138" t="e" cm="1">
        <f t="array" ref="M39">_xlfn.LET(_xlpm.calc,COUNTIFS(Rate_Gp,M$11,Pay_Key_Gps,"*"&amp;$A$8&amp;"*",Pay_Code,$A39,pp_Hrs_Wkd_Pay_Code,"&gt;="&amp;$V$1,pp_OT_Pay_Code,"&gt;="&amp;$V$2,pp_Bon_Pay_Code,"&gt;="&amp;$V$3,pp_Meal_Pay_Code,"&gt;="&amp;$V$4,pp_Sick_Pay_Code,"&gt;="&amp;$V$5,pp_Diff_Pay_Code,"&gt;="&amp;$V$6),_xlpm.calc2,COUNTIFS(Pay_Key_Gps,"*"&amp;$A$8&amp;"*",Pay_Code,$A39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39" s="138" t="e" cm="1">
        <f t="array" ref="N39">_xlfn.LET(_xlpm.calc,COUNTIFS(Rate_Gp,N$11,Pay_Key_Gps,"*"&amp;$A$8&amp;"*",Pay_Code,$A39,pp_Hrs_Wkd_Pay_Code,"&gt;="&amp;$V$1,pp_OT_Pay_Code,"&gt;="&amp;$V$2,pp_Bon_Pay_Code,"&gt;="&amp;$V$3,pp_Meal_Pay_Code,"&gt;="&amp;$V$4,pp_Sick_Pay_Code,"&gt;="&amp;$V$5,pp_Diff_Pay_Code,"&gt;="&amp;$V$6),_xlpm.calc2,COUNTIFS(Pay_Key_Gps,"*"&amp;$A$8&amp;"*",Pay_Code,$A39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39" s="138" t="e" cm="1">
        <f t="array" ref="O39">_xlfn.LET(_xlpm.calc,COUNTIFS(Rate_Gp,O$11,Pay_Key_Gps,"*"&amp;$A$8&amp;"*",Pay_Code,$A39,pp_Hrs_Wkd_Pay_Code,"&gt;="&amp;$V$1,pp_OT_Pay_Code,"&gt;="&amp;$V$2,pp_Bon_Pay_Code,"&gt;="&amp;$V$3,pp_Meal_Pay_Code,"&gt;="&amp;$V$4,pp_Sick_Pay_Code,"&gt;="&amp;$V$5,pp_Diff_Pay_Code,"&gt;="&amp;$V$6),_xlpm.calc2,COUNTIFS(Pay_Key_Gps,"*"&amp;$A$8&amp;"*",Pay_Code,$A39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39" s="138" t="e" cm="1">
        <f t="array" ref="P39">_xlfn.LET(_xlpm.calc,COUNTIFS(Rate_Gp,P$11,Pay_Key_Gps,"*"&amp;$A$8&amp;"*",Pay_Code,$A39,pp_Hrs_Wkd_Pay_Code,"&gt;="&amp;$V$1,pp_OT_Pay_Code,"&gt;="&amp;$V$2,pp_Bon_Pay_Code,"&gt;="&amp;$V$3,pp_Meal_Pay_Code,"&gt;="&amp;$V$4,pp_Sick_Pay_Code,"&gt;="&amp;$V$5,pp_Diff_Pay_Code,"&gt;="&amp;$V$6),_xlpm.calc2,COUNTIFS(Pay_Key_Gps,"*"&amp;$A$8&amp;"*",Pay_Code,$A39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39" s="138" t="e" cm="1">
        <f t="array" ref="Q39">_xlfn.LET(_xlpm.calc,COUNTIFS(Rate_Gp,Q$11,Pay_Key_Gps,"*"&amp;$A$8&amp;"*",Pay_Code,$A39,pp_Hrs_Wkd_Pay_Code,"&gt;="&amp;$V$1,pp_OT_Pay_Code,"&gt;="&amp;$V$2,pp_Bon_Pay_Code,"&gt;="&amp;$V$3,pp_Meal_Pay_Code,"&gt;="&amp;$V$4,pp_Sick_Pay_Code,"&gt;="&amp;$V$5,pp_Diff_Pay_Code,"&gt;="&amp;$V$6),_xlpm.calc2,COUNTIFS(Pay_Key_Gps,"*"&amp;$A$8&amp;"*",Pay_Code,$A39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39" s="138" t="e" cm="1">
        <f t="array" ref="R39">_xlfn.LET(_xlpm.calc,COUNTIFS(Rate_Gp,R$11,Pay_Key_Gps,"*"&amp;$A$8&amp;"*",Pay_Code,$A39,pp_Hrs_Wkd_Pay_Code,"&gt;="&amp;$V$1,pp_OT_Pay_Code,"&gt;="&amp;$V$2,pp_Bon_Pay_Code,"&gt;="&amp;$V$3,pp_Meal_Pay_Code,"&gt;="&amp;$V$4,pp_Sick_Pay_Code,"&gt;="&amp;$V$5,pp_Diff_Pay_Code,"&gt;="&amp;$V$6),_xlpm.calc2,COUNTIFS(Pay_Key_Gps,"*"&amp;$A$8&amp;"*",Pay_Code,$A39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39" s="138" t="e" cm="1">
        <f t="array" ref="S39">_xlfn.LET(_xlpm.calc,COUNTIFS(Rate_Gp,S$11,Pay_Key_Gps,"*"&amp;$A$8&amp;"*",Pay_Code,$A39,pp_Hrs_Wkd_Pay_Code,"&gt;="&amp;$V$1,pp_OT_Pay_Code,"&gt;="&amp;$V$2,pp_Bon_Pay_Code,"&gt;="&amp;$V$3,pp_Meal_Pay_Code,"&gt;="&amp;$V$4,pp_Sick_Pay_Code,"&gt;="&amp;$V$5,pp_Diff_Pay_Code,"&gt;="&amp;$V$6),_xlpm.calc2,COUNTIFS(Pay_Key_Gps,"*"&amp;$A$8&amp;"*",Pay_Code,$A39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39" s="138" t="e" cm="1">
        <f t="array" ref="T39">_xlfn.LET(_xlpm.calc,COUNTIFS(Rate_Gp,T$11,Pay_Key_Gps,"*"&amp;$A$8&amp;"*",Pay_Code,$A39,pp_Hrs_Wkd_Pay_Code,"&gt;="&amp;$V$1,pp_OT_Pay_Code,"&gt;="&amp;$V$2,pp_Bon_Pay_Code,"&gt;="&amp;$V$3,pp_Meal_Pay_Code,"&gt;="&amp;$V$4,pp_Sick_Pay_Code,"&gt;="&amp;$V$5,pp_Diff_Pay_Code,"&gt;="&amp;$V$6),_xlpm.calc2,COUNTIFS(Pay_Key_Gps,"*"&amp;$A$8&amp;"*",Pay_Code,$A39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39" s="139" t="e" cm="1">
        <f t="array" ref="U39">_xlfn.LET(_xlpm.calc,COUNTIFS(Pay_Key_Gps,"*"&amp;$A$8&amp;"*",Pay_Code,$A39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39" s="118"/>
      <c r="W39" s="118"/>
      <c r="X39" s="149"/>
      <c r="Y39" s="149"/>
      <c r="Z39" s="149"/>
      <c r="AA39" s="149"/>
      <c r="AB39" s="140" t="e">
        <f t="shared" si="3"/>
        <v>#NAME?</v>
      </c>
    </row>
    <row r="40" spans="1:28" s="122" customFormat="1" x14ac:dyDescent="0.25">
      <c r="A40" s="133"/>
      <c r="B40" s="134" t="e" cm="1">
        <f t="array" ref="B40">_xlfn.LET(_xlpm.calc,_xlfn.MINIFS(Pay_Period_End,Pay_Key_Gps,"*"&amp;$A$8&amp;"*",Pay_Code,$A40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40" s="134" t="e" cm="1">
        <f t="array" ref="C40">_xlfn.LET(_xlpm.calc,_xlfn.MAXIFS(Pay_Period_End,Pay_Key_Gps,"*"&amp;$A$8&amp;"*",Pay_Code,$A40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40" s="135" t="str" cm="1">
        <f t="array" ref="D40">_xlfn.LET(_xlpm.calc,IFERROR(ROWS(_xlfn.UNIQUE(_xlfn._xlws.FILTER(Pay_ID,(IFERROR(SEARCH($A$8,Pay_Key_Gps),0)&gt;0) * (Pay_Code=$A40) * (pp_Hrs_Wkd_Pay_Code &gt;= $V$1) * (pp_OT_Pay_Code &gt;= $V$2) * (pp_Bon_Pay_Code &gt;= $V$3) * (pp_Meal_Pay_Code &gt;= $V$4) * (pp_Sick_Pay_Code &gt;= $V$5) * (pp_Diff_Pay_Code &gt;= $V$6)))),0),_xlpm.perc,_xlpm.calc/D$69,IFERROR(IF(_xlpm.calc&gt;1000,_xlfn.CONCAT(TEXT(_xlpm.calc,"0,000")," (",TEXT(_xlpm.perc,"0.0%"),")"),_xlfn.CONCAT(_xlpm.calc," (",TEXT(_xlpm.perc,"0.0%"),")")),"-"))</f>
        <v>-</v>
      </c>
      <c r="E40" s="135" t="str" cm="1">
        <f t="array" ref="E40">_xlfn.LET(_xlpm.calc,IFERROR(ROWS(_xlfn.UNIQUE(_xlfn._xlws.FILTER(Pay_ID_Period_End,(IFERROR(SEARCH($A$8,Pay_Key_Gps),0)&gt;0) * (Pay_Code=$A40) * (pp_Hrs_Wkd_Pay_Code &gt;= $V$1) * (pp_OT_Pay_Code &gt;= $V$2) * (pp_Bon_Pay_Code &gt;= $V$3) * (pp_Meal_Pay_Code &gt;= $V$4) * (pp_Sick_Pay_Code &gt;= $V$5) * (pp_Diff_Pay_Code &gt;= $V$6)))),0),_xlpm.perc,_xlpm.calc/E$69,IFERROR(IF(_xlpm.calc&gt;1000,_xlfn.CONCAT(TEXT(_xlpm.calc,"0,000")," (",TEXT(_xlpm.perc,"0.0%"),")"),_xlfn.CONCAT(_xlpm.calc," (",TEXT(_xlpm.perc,"0.0%"),")")),"-"))</f>
        <v>-</v>
      </c>
      <c r="F40" s="136" t="e">
        <f t="shared" si="1"/>
        <v>#NAME?</v>
      </c>
      <c r="G40" s="137" t="e">
        <f t="shared" si="2"/>
        <v>#NAME?</v>
      </c>
      <c r="H40" s="137" t="str" cm="1">
        <f t="array" ref="H40">IFERROR(AVERAGEIFS(Pay_Amount,Pay_Key_Gps,"*"&amp;$A$8&amp;"*",Pay_Code,$A40,pp_Hrs_Wkd_Pay_Code,"&gt;="&amp;$V$1,pp_OT_Pay_Code,"&gt;="&amp;$V$2,pp_Bon_Pay_Code,"&gt;="&amp;$V$3,pp_Meal_Pay_Code,"&gt;="&amp;$V$4,pp_Sick_Pay_Code,"&gt;="&amp;$V$5,pp_Diff_Pay_Code,"&gt;="&amp;$V$6),"-")</f>
        <v>-</v>
      </c>
      <c r="J40" s="133">
        <f t="shared" si="4"/>
        <v>0</v>
      </c>
      <c r="K40" s="138" t="e" cm="1">
        <f t="array" ref="K40">_xlfn.LET(_xlpm.calc,COUNTIFS(Rate_Gp,K$11,Pay_Key_Gps,"*"&amp;$A$8&amp;"*",Pay_Code,$A40,pp_Hrs_Wkd_Pay_Code,"&gt;="&amp;$V$1,pp_OT_Pay_Code,"&gt;="&amp;$V$2,pp_Bon_Pay_Code,"&gt;="&amp;$V$3,pp_Meal_Pay_Code,"&gt;="&amp;$V$4,pp_Sick_Pay_Code,"&gt;="&amp;$V$5,pp_Diff_Pay_Code,"&gt;="&amp;$V$6),_xlpm.calc2,COUNTIFS(Pay_Key_Gps,"*"&amp;$A$8&amp;"*",Pay_Code,$A40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40" s="138" t="e" cm="1">
        <f t="array" ref="L40">_xlfn.LET(_xlpm.calc,COUNTIFS(Rate_Gp,L$11,Pay_Key_Gps,"*"&amp;$A$8&amp;"*",Pay_Code,$A40,pp_Hrs_Wkd_Pay_Code,"&gt;="&amp;$V$1,pp_OT_Pay_Code,"&gt;="&amp;$V$2,pp_Bon_Pay_Code,"&gt;="&amp;$V$3,pp_Meal_Pay_Code,"&gt;="&amp;$V$4,pp_Sick_Pay_Code,"&gt;="&amp;$V$5,pp_Diff_Pay_Code,"&gt;="&amp;$V$6),_xlpm.calc2,COUNTIFS(Pay_Key_Gps,"*"&amp;$A$8&amp;"*",Pay_Code,$A40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40" s="138" t="e" cm="1">
        <f t="array" ref="M40">_xlfn.LET(_xlpm.calc,COUNTIFS(Rate_Gp,M$11,Pay_Key_Gps,"*"&amp;$A$8&amp;"*",Pay_Code,$A40,pp_Hrs_Wkd_Pay_Code,"&gt;="&amp;$V$1,pp_OT_Pay_Code,"&gt;="&amp;$V$2,pp_Bon_Pay_Code,"&gt;="&amp;$V$3,pp_Meal_Pay_Code,"&gt;="&amp;$V$4,pp_Sick_Pay_Code,"&gt;="&amp;$V$5,pp_Diff_Pay_Code,"&gt;="&amp;$V$6),_xlpm.calc2,COUNTIFS(Pay_Key_Gps,"*"&amp;$A$8&amp;"*",Pay_Code,$A40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40" s="138" t="e" cm="1">
        <f t="array" ref="N40">_xlfn.LET(_xlpm.calc,COUNTIFS(Rate_Gp,N$11,Pay_Key_Gps,"*"&amp;$A$8&amp;"*",Pay_Code,$A40,pp_Hrs_Wkd_Pay_Code,"&gt;="&amp;$V$1,pp_OT_Pay_Code,"&gt;="&amp;$V$2,pp_Bon_Pay_Code,"&gt;="&amp;$V$3,pp_Meal_Pay_Code,"&gt;="&amp;$V$4,pp_Sick_Pay_Code,"&gt;="&amp;$V$5,pp_Diff_Pay_Code,"&gt;="&amp;$V$6),_xlpm.calc2,COUNTIFS(Pay_Key_Gps,"*"&amp;$A$8&amp;"*",Pay_Code,$A40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40" s="138" t="e" cm="1">
        <f t="array" ref="O40">_xlfn.LET(_xlpm.calc,COUNTIFS(Rate_Gp,O$11,Pay_Key_Gps,"*"&amp;$A$8&amp;"*",Pay_Code,$A40,pp_Hrs_Wkd_Pay_Code,"&gt;="&amp;$V$1,pp_OT_Pay_Code,"&gt;="&amp;$V$2,pp_Bon_Pay_Code,"&gt;="&amp;$V$3,pp_Meal_Pay_Code,"&gt;="&amp;$V$4,pp_Sick_Pay_Code,"&gt;="&amp;$V$5,pp_Diff_Pay_Code,"&gt;="&amp;$V$6),_xlpm.calc2,COUNTIFS(Pay_Key_Gps,"*"&amp;$A$8&amp;"*",Pay_Code,$A40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40" s="138" t="e" cm="1">
        <f t="array" ref="P40">_xlfn.LET(_xlpm.calc,COUNTIFS(Rate_Gp,P$11,Pay_Key_Gps,"*"&amp;$A$8&amp;"*",Pay_Code,$A40,pp_Hrs_Wkd_Pay_Code,"&gt;="&amp;$V$1,pp_OT_Pay_Code,"&gt;="&amp;$V$2,pp_Bon_Pay_Code,"&gt;="&amp;$V$3,pp_Meal_Pay_Code,"&gt;="&amp;$V$4,pp_Sick_Pay_Code,"&gt;="&amp;$V$5,pp_Diff_Pay_Code,"&gt;="&amp;$V$6),_xlpm.calc2,COUNTIFS(Pay_Key_Gps,"*"&amp;$A$8&amp;"*",Pay_Code,$A40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40" s="138" t="e" cm="1">
        <f t="array" ref="Q40">_xlfn.LET(_xlpm.calc,COUNTIFS(Rate_Gp,Q$11,Pay_Key_Gps,"*"&amp;$A$8&amp;"*",Pay_Code,$A40,pp_Hrs_Wkd_Pay_Code,"&gt;="&amp;$V$1,pp_OT_Pay_Code,"&gt;="&amp;$V$2,pp_Bon_Pay_Code,"&gt;="&amp;$V$3,pp_Meal_Pay_Code,"&gt;="&amp;$V$4,pp_Sick_Pay_Code,"&gt;="&amp;$V$5,pp_Diff_Pay_Code,"&gt;="&amp;$V$6),_xlpm.calc2,COUNTIFS(Pay_Key_Gps,"*"&amp;$A$8&amp;"*",Pay_Code,$A40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40" s="138" t="e" cm="1">
        <f t="array" ref="R40">_xlfn.LET(_xlpm.calc,COUNTIFS(Rate_Gp,R$11,Pay_Key_Gps,"*"&amp;$A$8&amp;"*",Pay_Code,$A40,pp_Hrs_Wkd_Pay_Code,"&gt;="&amp;$V$1,pp_OT_Pay_Code,"&gt;="&amp;$V$2,pp_Bon_Pay_Code,"&gt;="&amp;$V$3,pp_Meal_Pay_Code,"&gt;="&amp;$V$4,pp_Sick_Pay_Code,"&gt;="&amp;$V$5,pp_Diff_Pay_Code,"&gt;="&amp;$V$6),_xlpm.calc2,COUNTIFS(Pay_Key_Gps,"*"&amp;$A$8&amp;"*",Pay_Code,$A40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40" s="138" t="e" cm="1">
        <f t="array" ref="S40">_xlfn.LET(_xlpm.calc,COUNTIFS(Rate_Gp,S$11,Pay_Key_Gps,"*"&amp;$A$8&amp;"*",Pay_Code,$A40,pp_Hrs_Wkd_Pay_Code,"&gt;="&amp;$V$1,pp_OT_Pay_Code,"&gt;="&amp;$V$2,pp_Bon_Pay_Code,"&gt;="&amp;$V$3,pp_Meal_Pay_Code,"&gt;="&amp;$V$4,pp_Sick_Pay_Code,"&gt;="&amp;$V$5,pp_Diff_Pay_Code,"&gt;="&amp;$V$6),_xlpm.calc2,COUNTIFS(Pay_Key_Gps,"*"&amp;$A$8&amp;"*",Pay_Code,$A40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40" s="138" t="e" cm="1">
        <f t="array" ref="T40">_xlfn.LET(_xlpm.calc,COUNTIFS(Rate_Gp,T$11,Pay_Key_Gps,"*"&amp;$A$8&amp;"*",Pay_Code,$A40,pp_Hrs_Wkd_Pay_Code,"&gt;="&amp;$V$1,pp_OT_Pay_Code,"&gt;="&amp;$V$2,pp_Bon_Pay_Code,"&gt;="&amp;$V$3,pp_Meal_Pay_Code,"&gt;="&amp;$V$4,pp_Sick_Pay_Code,"&gt;="&amp;$V$5,pp_Diff_Pay_Code,"&gt;="&amp;$V$6),_xlpm.calc2,COUNTIFS(Pay_Key_Gps,"*"&amp;$A$8&amp;"*",Pay_Code,$A40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40" s="139" t="e" cm="1">
        <f t="array" ref="U40">_xlfn.LET(_xlpm.calc,COUNTIFS(Pay_Key_Gps,"*"&amp;$A$8&amp;"*",Pay_Code,$A40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40" s="118"/>
      <c r="W40" s="118"/>
      <c r="X40" s="149"/>
      <c r="Y40" s="149"/>
      <c r="Z40" s="149"/>
      <c r="AA40" s="149"/>
      <c r="AB40" s="140" t="e">
        <f t="shared" si="3"/>
        <v>#NAME?</v>
      </c>
    </row>
    <row r="41" spans="1:28" s="123" customFormat="1" x14ac:dyDescent="0.25">
      <c r="A41" s="133"/>
      <c r="B41" s="134" t="e" cm="1">
        <f t="array" ref="B41">_xlfn.LET(_xlpm.calc,_xlfn.MINIFS(Pay_Period_End,Pay_Key_Gps,"*"&amp;$A$8&amp;"*",Pay_Code,$A41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41" s="134" t="e" cm="1">
        <f t="array" ref="C41">_xlfn.LET(_xlpm.calc,_xlfn.MAXIFS(Pay_Period_End,Pay_Key_Gps,"*"&amp;$A$8&amp;"*",Pay_Code,$A41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41" s="135" t="str" cm="1">
        <f t="array" ref="D41">_xlfn.LET(_xlpm.calc,IFERROR(ROWS(_xlfn.UNIQUE(_xlfn._xlws.FILTER(Pay_ID,(IFERROR(SEARCH($A$8,Pay_Key_Gps),0)&gt;0) * (Pay_Code=$A41) * (pp_Hrs_Wkd_Pay_Code &gt;= $V$1) * (pp_OT_Pay_Code &gt;= $V$2) * (pp_Bon_Pay_Code &gt;= $V$3) * (pp_Meal_Pay_Code &gt;= $V$4) * (pp_Sick_Pay_Code &gt;= $V$5) * (pp_Diff_Pay_Code &gt;= $V$6)))),0),_xlpm.perc,_xlpm.calc/D$69,IFERROR(IF(_xlpm.calc&gt;1000,_xlfn.CONCAT(TEXT(_xlpm.calc,"0,000")," (",TEXT(_xlpm.perc,"0.0%"),")"),_xlfn.CONCAT(_xlpm.calc," (",TEXT(_xlpm.perc,"0.0%"),")")),"-"))</f>
        <v>-</v>
      </c>
      <c r="E41" s="135" t="str" cm="1">
        <f t="array" ref="E41">_xlfn.LET(_xlpm.calc,IFERROR(ROWS(_xlfn.UNIQUE(_xlfn._xlws.FILTER(Pay_ID_Period_End,(IFERROR(SEARCH($A$8,Pay_Key_Gps),0)&gt;0) * (Pay_Code=$A41) * (pp_Hrs_Wkd_Pay_Code &gt;= $V$1) * (pp_OT_Pay_Code &gt;= $V$2) * (pp_Bon_Pay_Code &gt;= $V$3) * (pp_Meal_Pay_Code &gt;= $V$4) * (pp_Sick_Pay_Code &gt;= $V$5) * (pp_Diff_Pay_Code &gt;= $V$6)))),0),_xlpm.perc,_xlpm.calc/E$69,IFERROR(IF(_xlpm.calc&gt;1000,_xlfn.CONCAT(TEXT(_xlpm.calc,"0,000")," (",TEXT(_xlpm.perc,"0.0%"),")"),_xlfn.CONCAT(_xlpm.calc," (",TEXT(_xlpm.perc,"0.0%"),")")),"-"))</f>
        <v>-</v>
      </c>
      <c r="F41" s="136" t="e">
        <f t="shared" si="1"/>
        <v>#NAME?</v>
      </c>
      <c r="G41" s="137" t="e">
        <f t="shared" si="2"/>
        <v>#NAME?</v>
      </c>
      <c r="H41" s="137" t="str" cm="1">
        <f t="array" ref="H41">IFERROR(AVERAGEIFS(Pay_Amount,Pay_Key_Gps,"*"&amp;$A$8&amp;"*",Pay_Code,$A41,pp_Hrs_Wkd_Pay_Code,"&gt;="&amp;$V$1,pp_OT_Pay_Code,"&gt;="&amp;$V$2,pp_Bon_Pay_Code,"&gt;="&amp;$V$3,pp_Meal_Pay_Code,"&gt;="&amp;$V$4,pp_Sick_Pay_Code,"&gt;="&amp;$V$5,pp_Diff_Pay_Code,"&gt;="&amp;$V$6),"-")</f>
        <v>-</v>
      </c>
      <c r="I41" s="122"/>
      <c r="J41" s="133">
        <f t="shared" ref="J41:J58" si="5">A41</f>
        <v>0</v>
      </c>
      <c r="K41" s="138" t="e" cm="1">
        <f t="array" ref="K41">_xlfn.LET(_xlpm.calc,COUNTIFS(Rate_Gp,K$11,Pay_Key_Gps,"*"&amp;$A$8&amp;"*",Pay_Code,$A41,pp_Hrs_Wkd_Pay_Code,"&gt;="&amp;$V$1,pp_OT_Pay_Code,"&gt;="&amp;$V$2,pp_Bon_Pay_Code,"&gt;="&amp;$V$3,pp_Meal_Pay_Code,"&gt;="&amp;$V$4,pp_Sick_Pay_Code,"&gt;="&amp;$V$5,pp_Diff_Pay_Code,"&gt;="&amp;$V$6),_xlpm.calc2,COUNTIFS(Pay_Key_Gps,"*"&amp;$A$8&amp;"*",Pay_Code,$A41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41" s="138" t="e" cm="1">
        <f t="array" ref="L41">_xlfn.LET(_xlpm.calc,COUNTIFS(Rate_Gp,L$11,Pay_Key_Gps,"*"&amp;$A$8&amp;"*",Pay_Code,$A41,pp_Hrs_Wkd_Pay_Code,"&gt;="&amp;$V$1,pp_OT_Pay_Code,"&gt;="&amp;$V$2,pp_Bon_Pay_Code,"&gt;="&amp;$V$3,pp_Meal_Pay_Code,"&gt;="&amp;$V$4,pp_Sick_Pay_Code,"&gt;="&amp;$V$5,pp_Diff_Pay_Code,"&gt;="&amp;$V$6),_xlpm.calc2,COUNTIFS(Pay_Key_Gps,"*"&amp;$A$8&amp;"*",Pay_Code,$A41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41" s="138" t="e" cm="1">
        <f t="array" ref="M41">_xlfn.LET(_xlpm.calc,COUNTIFS(Rate_Gp,M$11,Pay_Key_Gps,"*"&amp;$A$8&amp;"*",Pay_Code,$A41,pp_Hrs_Wkd_Pay_Code,"&gt;="&amp;$V$1,pp_OT_Pay_Code,"&gt;="&amp;$V$2,pp_Bon_Pay_Code,"&gt;="&amp;$V$3,pp_Meal_Pay_Code,"&gt;="&amp;$V$4,pp_Sick_Pay_Code,"&gt;="&amp;$V$5,pp_Diff_Pay_Code,"&gt;="&amp;$V$6),_xlpm.calc2,COUNTIFS(Pay_Key_Gps,"*"&amp;$A$8&amp;"*",Pay_Code,$A41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41" s="138" t="e" cm="1">
        <f t="array" ref="N41">_xlfn.LET(_xlpm.calc,COUNTIFS(Rate_Gp,N$11,Pay_Key_Gps,"*"&amp;$A$8&amp;"*",Pay_Code,$A41,pp_Hrs_Wkd_Pay_Code,"&gt;="&amp;$V$1,pp_OT_Pay_Code,"&gt;="&amp;$V$2,pp_Bon_Pay_Code,"&gt;="&amp;$V$3,pp_Meal_Pay_Code,"&gt;="&amp;$V$4,pp_Sick_Pay_Code,"&gt;="&amp;$V$5,pp_Diff_Pay_Code,"&gt;="&amp;$V$6),_xlpm.calc2,COUNTIFS(Pay_Key_Gps,"*"&amp;$A$8&amp;"*",Pay_Code,$A41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41" s="138" t="e" cm="1">
        <f t="array" ref="O41">_xlfn.LET(_xlpm.calc,COUNTIFS(Rate_Gp,O$11,Pay_Key_Gps,"*"&amp;$A$8&amp;"*",Pay_Code,$A41,pp_Hrs_Wkd_Pay_Code,"&gt;="&amp;$V$1,pp_OT_Pay_Code,"&gt;="&amp;$V$2,pp_Bon_Pay_Code,"&gt;="&amp;$V$3,pp_Meal_Pay_Code,"&gt;="&amp;$V$4,pp_Sick_Pay_Code,"&gt;="&amp;$V$5,pp_Diff_Pay_Code,"&gt;="&amp;$V$6),_xlpm.calc2,COUNTIFS(Pay_Key_Gps,"*"&amp;$A$8&amp;"*",Pay_Code,$A41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41" s="138" t="e" cm="1">
        <f t="array" ref="P41">_xlfn.LET(_xlpm.calc,COUNTIFS(Rate_Gp,P$11,Pay_Key_Gps,"*"&amp;$A$8&amp;"*",Pay_Code,$A41,pp_Hrs_Wkd_Pay_Code,"&gt;="&amp;$V$1,pp_OT_Pay_Code,"&gt;="&amp;$V$2,pp_Bon_Pay_Code,"&gt;="&amp;$V$3,pp_Meal_Pay_Code,"&gt;="&amp;$V$4,pp_Sick_Pay_Code,"&gt;="&amp;$V$5,pp_Diff_Pay_Code,"&gt;="&amp;$V$6),_xlpm.calc2,COUNTIFS(Pay_Key_Gps,"*"&amp;$A$8&amp;"*",Pay_Code,$A41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41" s="138" t="e" cm="1">
        <f t="array" ref="Q41">_xlfn.LET(_xlpm.calc,COUNTIFS(Rate_Gp,Q$11,Pay_Key_Gps,"*"&amp;$A$8&amp;"*",Pay_Code,$A41,pp_Hrs_Wkd_Pay_Code,"&gt;="&amp;$V$1,pp_OT_Pay_Code,"&gt;="&amp;$V$2,pp_Bon_Pay_Code,"&gt;="&amp;$V$3,pp_Meal_Pay_Code,"&gt;="&amp;$V$4,pp_Sick_Pay_Code,"&gt;="&amp;$V$5,pp_Diff_Pay_Code,"&gt;="&amp;$V$6),_xlpm.calc2,COUNTIFS(Pay_Key_Gps,"*"&amp;$A$8&amp;"*",Pay_Code,$A41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41" s="138" t="e" cm="1">
        <f t="array" ref="R41">_xlfn.LET(_xlpm.calc,COUNTIFS(Rate_Gp,R$11,Pay_Key_Gps,"*"&amp;$A$8&amp;"*",Pay_Code,$A41,pp_Hrs_Wkd_Pay_Code,"&gt;="&amp;$V$1,pp_OT_Pay_Code,"&gt;="&amp;$V$2,pp_Bon_Pay_Code,"&gt;="&amp;$V$3,pp_Meal_Pay_Code,"&gt;="&amp;$V$4,pp_Sick_Pay_Code,"&gt;="&amp;$V$5,pp_Diff_Pay_Code,"&gt;="&amp;$V$6),_xlpm.calc2,COUNTIFS(Pay_Key_Gps,"*"&amp;$A$8&amp;"*",Pay_Code,$A41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41" s="138" t="e" cm="1">
        <f t="array" ref="S41">_xlfn.LET(_xlpm.calc,COUNTIFS(Rate_Gp,S$11,Pay_Key_Gps,"*"&amp;$A$8&amp;"*",Pay_Code,$A41,pp_Hrs_Wkd_Pay_Code,"&gt;="&amp;$V$1,pp_OT_Pay_Code,"&gt;="&amp;$V$2,pp_Bon_Pay_Code,"&gt;="&amp;$V$3,pp_Meal_Pay_Code,"&gt;="&amp;$V$4,pp_Sick_Pay_Code,"&gt;="&amp;$V$5,pp_Diff_Pay_Code,"&gt;="&amp;$V$6),_xlpm.calc2,COUNTIFS(Pay_Key_Gps,"*"&amp;$A$8&amp;"*",Pay_Code,$A41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41" s="138" t="e" cm="1">
        <f t="array" ref="T41">_xlfn.LET(_xlpm.calc,COUNTIFS(Rate_Gp,T$11,Pay_Key_Gps,"*"&amp;$A$8&amp;"*",Pay_Code,$A41,pp_Hrs_Wkd_Pay_Code,"&gt;="&amp;$V$1,pp_OT_Pay_Code,"&gt;="&amp;$V$2,pp_Bon_Pay_Code,"&gt;="&amp;$V$3,pp_Meal_Pay_Code,"&gt;="&amp;$V$4,pp_Sick_Pay_Code,"&gt;="&amp;$V$5,pp_Diff_Pay_Code,"&gt;="&amp;$V$6),_xlpm.calc2,COUNTIFS(Pay_Key_Gps,"*"&amp;$A$8&amp;"*",Pay_Code,$A41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41" s="139" t="e" cm="1">
        <f t="array" ref="U41">_xlfn.LET(_xlpm.calc,COUNTIFS(Pay_Key_Gps,"*"&amp;$A$8&amp;"*",Pay_Code,$A41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41" s="118"/>
      <c r="W41" s="121"/>
      <c r="X41" s="149"/>
      <c r="Y41" s="149"/>
      <c r="Z41" s="149"/>
      <c r="AA41" s="149"/>
      <c r="AB41" s="140" t="e">
        <f t="shared" si="3"/>
        <v>#NAME?</v>
      </c>
    </row>
    <row r="42" spans="1:28" s="122" customFormat="1" x14ac:dyDescent="0.25">
      <c r="A42" s="133"/>
      <c r="B42" s="134" t="e" cm="1">
        <f t="array" ref="B42">_xlfn.LET(_xlpm.calc,_xlfn.MINIFS(Pay_Period_End,Pay_Key_Gps,"*"&amp;$A$8&amp;"*",Pay_Code,$A42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42" s="134" t="e" cm="1">
        <f t="array" ref="C42">_xlfn.LET(_xlpm.calc,_xlfn.MAXIFS(Pay_Period_End,Pay_Key_Gps,"*"&amp;$A$8&amp;"*",Pay_Code,$A42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42" s="135" t="str" cm="1">
        <f t="array" ref="D42">_xlfn.LET(_xlpm.calc,IFERROR(ROWS(_xlfn.UNIQUE(_xlfn._xlws.FILTER(Pay_ID,(IFERROR(SEARCH($A$8,Pay_Key_Gps),0)&gt;0) * (Pay_Code=$A42) * (pp_Hrs_Wkd_Pay_Code &gt;= $V$1) * (pp_OT_Pay_Code &gt;= $V$2) * (pp_Bon_Pay_Code &gt;= $V$3) * (pp_Meal_Pay_Code &gt;= $V$4) * (pp_Sick_Pay_Code &gt;= $V$5) * (pp_Diff_Pay_Code &gt;= $V$6)))),0),_xlpm.perc,_xlpm.calc/D$69,IFERROR(IF(_xlpm.calc&gt;1000,_xlfn.CONCAT(TEXT(_xlpm.calc,"0,000")," (",TEXT(_xlpm.perc,"0.0%"),")"),_xlfn.CONCAT(_xlpm.calc," (",TEXT(_xlpm.perc,"0.0%"),")")),"-"))</f>
        <v>-</v>
      </c>
      <c r="E42" s="135" t="str" cm="1">
        <f t="array" ref="E42">_xlfn.LET(_xlpm.calc,IFERROR(ROWS(_xlfn.UNIQUE(_xlfn._xlws.FILTER(Pay_ID_Period_End,(IFERROR(SEARCH($A$8,Pay_Key_Gps),0)&gt;0) * (Pay_Code=$A42) * (pp_Hrs_Wkd_Pay_Code &gt;= $V$1) * (pp_OT_Pay_Code &gt;= $V$2) * (pp_Bon_Pay_Code &gt;= $V$3) * (pp_Meal_Pay_Code &gt;= $V$4) * (pp_Sick_Pay_Code &gt;= $V$5) * (pp_Diff_Pay_Code &gt;= $V$6)))),0),_xlpm.perc,_xlpm.calc/E$69,IFERROR(IF(_xlpm.calc&gt;1000,_xlfn.CONCAT(TEXT(_xlpm.calc,"0,000")," (",TEXT(_xlpm.perc,"0.0%"),")"),_xlfn.CONCAT(_xlpm.calc," (",TEXT(_xlpm.perc,"0.0%"),")")),"-"))</f>
        <v>-</v>
      </c>
      <c r="F42" s="136" t="e">
        <f t="shared" si="1"/>
        <v>#NAME?</v>
      </c>
      <c r="G42" s="137" t="e">
        <f t="shared" si="2"/>
        <v>#NAME?</v>
      </c>
      <c r="H42" s="137" t="str" cm="1">
        <f t="array" ref="H42">IFERROR(AVERAGEIFS(Pay_Amount,Pay_Key_Gps,"*"&amp;$A$8&amp;"*",Pay_Code,$A42,pp_Hrs_Wkd_Pay_Code,"&gt;="&amp;$V$1,pp_OT_Pay_Code,"&gt;="&amp;$V$2,pp_Bon_Pay_Code,"&gt;="&amp;$V$3,pp_Meal_Pay_Code,"&gt;="&amp;$V$4,pp_Sick_Pay_Code,"&gt;="&amp;$V$5,pp_Diff_Pay_Code,"&gt;="&amp;$V$6),"-")</f>
        <v>-</v>
      </c>
      <c r="J42" s="133">
        <f t="shared" si="5"/>
        <v>0</v>
      </c>
      <c r="K42" s="138" t="e" cm="1">
        <f t="array" ref="K42">_xlfn.LET(_xlpm.calc,COUNTIFS(Rate_Gp,K$11,Pay_Key_Gps,"*"&amp;$A$8&amp;"*",Pay_Code,$A42,pp_Hrs_Wkd_Pay_Code,"&gt;="&amp;$V$1,pp_OT_Pay_Code,"&gt;="&amp;$V$2,pp_Bon_Pay_Code,"&gt;="&amp;$V$3,pp_Meal_Pay_Code,"&gt;="&amp;$V$4,pp_Sick_Pay_Code,"&gt;="&amp;$V$5,pp_Diff_Pay_Code,"&gt;="&amp;$V$6),_xlpm.calc2,COUNTIFS(Pay_Key_Gps,"*"&amp;$A$8&amp;"*",Pay_Code,$A42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42" s="138" t="e" cm="1">
        <f t="array" ref="L42">_xlfn.LET(_xlpm.calc,COUNTIFS(Rate_Gp,L$11,Pay_Key_Gps,"*"&amp;$A$8&amp;"*",Pay_Code,$A42,pp_Hrs_Wkd_Pay_Code,"&gt;="&amp;$V$1,pp_OT_Pay_Code,"&gt;="&amp;$V$2,pp_Bon_Pay_Code,"&gt;="&amp;$V$3,pp_Meal_Pay_Code,"&gt;="&amp;$V$4,pp_Sick_Pay_Code,"&gt;="&amp;$V$5,pp_Diff_Pay_Code,"&gt;="&amp;$V$6),_xlpm.calc2,COUNTIFS(Pay_Key_Gps,"*"&amp;$A$8&amp;"*",Pay_Code,$A42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42" s="138" t="e" cm="1">
        <f t="array" ref="M42">_xlfn.LET(_xlpm.calc,COUNTIFS(Rate_Gp,M$11,Pay_Key_Gps,"*"&amp;$A$8&amp;"*",Pay_Code,$A42,pp_Hrs_Wkd_Pay_Code,"&gt;="&amp;$V$1,pp_OT_Pay_Code,"&gt;="&amp;$V$2,pp_Bon_Pay_Code,"&gt;="&amp;$V$3,pp_Meal_Pay_Code,"&gt;="&amp;$V$4,pp_Sick_Pay_Code,"&gt;="&amp;$V$5,pp_Diff_Pay_Code,"&gt;="&amp;$V$6),_xlpm.calc2,COUNTIFS(Pay_Key_Gps,"*"&amp;$A$8&amp;"*",Pay_Code,$A42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42" s="138" t="e" cm="1">
        <f t="array" ref="N42">_xlfn.LET(_xlpm.calc,COUNTIFS(Rate_Gp,N$11,Pay_Key_Gps,"*"&amp;$A$8&amp;"*",Pay_Code,$A42,pp_Hrs_Wkd_Pay_Code,"&gt;="&amp;$V$1,pp_OT_Pay_Code,"&gt;="&amp;$V$2,pp_Bon_Pay_Code,"&gt;="&amp;$V$3,pp_Meal_Pay_Code,"&gt;="&amp;$V$4,pp_Sick_Pay_Code,"&gt;="&amp;$V$5,pp_Diff_Pay_Code,"&gt;="&amp;$V$6),_xlpm.calc2,COUNTIFS(Pay_Key_Gps,"*"&amp;$A$8&amp;"*",Pay_Code,$A42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42" s="138" t="e" cm="1">
        <f t="array" ref="O42">_xlfn.LET(_xlpm.calc,COUNTIFS(Rate_Gp,O$11,Pay_Key_Gps,"*"&amp;$A$8&amp;"*",Pay_Code,$A42,pp_Hrs_Wkd_Pay_Code,"&gt;="&amp;$V$1,pp_OT_Pay_Code,"&gt;="&amp;$V$2,pp_Bon_Pay_Code,"&gt;="&amp;$V$3,pp_Meal_Pay_Code,"&gt;="&amp;$V$4,pp_Sick_Pay_Code,"&gt;="&amp;$V$5,pp_Diff_Pay_Code,"&gt;="&amp;$V$6),_xlpm.calc2,COUNTIFS(Pay_Key_Gps,"*"&amp;$A$8&amp;"*",Pay_Code,$A42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42" s="138" t="e" cm="1">
        <f t="array" ref="P42">_xlfn.LET(_xlpm.calc,COUNTIFS(Rate_Gp,P$11,Pay_Key_Gps,"*"&amp;$A$8&amp;"*",Pay_Code,$A42,pp_Hrs_Wkd_Pay_Code,"&gt;="&amp;$V$1,pp_OT_Pay_Code,"&gt;="&amp;$V$2,pp_Bon_Pay_Code,"&gt;="&amp;$V$3,pp_Meal_Pay_Code,"&gt;="&amp;$V$4,pp_Sick_Pay_Code,"&gt;="&amp;$V$5,pp_Diff_Pay_Code,"&gt;="&amp;$V$6),_xlpm.calc2,COUNTIFS(Pay_Key_Gps,"*"&amp;$A$8&amp;"*",Pay_Code,$A42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42" s="138" t="e" cm="1">
        <f t="array" ref="Q42">_xlfn.LET(_xlpm.calc,COUNTIFS(Rate_Gp,Q$11,Pay_Key_Gps,"*"&amp;$A$8&amp;"*",Pay_Code,$A42,pp_Hrs_Wkd_Pay_Code,"&gt;="&amp;$V$1,pp_OT_Pay_Code,"&gt;="&amp;$V$2,pp_Bon_Pay_Code,"&gt;="&amp;$V$3,pp_Meal_Pay_Code,"&gt;="&amp;$V$4,pp_Sick_Pay_Code,"&gt;="&amp;$V$5,pp_Diff_Pay_Code,"&gt;="&amp;$V$6),_xlpm.calc2,COUNTIFS(Pay_Key_Gps,"*"&amp;$A$8&amp;"*",Pay_Code,$A42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42" s="138" t="e" cm="1">
        <f t="array" ref="R42">_xlfn.LET(_xlpm.calc,COUNTIFS(Rate_Gp,R$11,Pay_Key_Gps,"*"&amp;$A$8&amp;"*",Pay_Code,$A42,pp_Hrs_Wkd_Pay_Code,"&gt;="&amp;$V$1,pp_OT_Pay_Code,"&gt;="&amp;$V$2,pp_Bon_Pay_Code,"&gt;="&amp;$V$3,pp_Meal_Pay_Code,"&gt;="&amp;$V$4,pp_Sick_Pay_Code,"&gt;="&amp;$V$5,pp_Diff_Pay_Code,"&gt;="&amp;$V$6),_xlpm.calc2,COUNTIFS(Pay_Key_Gps,"*"&amp;$A$8&amp;"*",Pay_Code,$A42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42" s="138" t="e" cm="1">
        <f t="array" ref="S42">_xlfn.LET(_xlpm.calc,COUNTIFS(Rate_Gp,S$11,Pay_Key_Gps,"*"&amp;$A$8&amp;"*",Pay_Code,$A42,pp_Hrs_Wkd_Pay_Code,"&gt;="&amp;$V$1,pp_OT_Pay_Code,"&gt;="&amp;$V$2,pp_Bon_Pay_Code,"&gt;="&amp;$V$3,pp_Meal_Pay_Code,"&gt;="&amp;$V$4,pp_Sick_Pay_Code,"&gt;="&amp;$V$5,pp_Diff_Pay_Code,"&gt;="&amp;$V$6),_xlpm.calc2,COUNTIFS(Pay_Key_Gps,"*"&amp;$A$8&amp;"*",Pay_Code,$A42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42" s="138" t="e" cm="1">
        <f t="array" ref="T42">_xlfn.LET(_xlpm.calc,COUNTIFS(Rate_Gp,T$11,Pay_Key_Gps,"*"&amp;$A$8&amp;"*",Pay_Code,$A42,pp_Hrs_Wkd_Pay_Code,"&gt;="&amp;$V$1,pp_OT_Pay_Code,"&gt;="&amp;$V$2,pp_Bon_Pay_Code,"&gt;="&amp;$V$3,pp_Meal_Pay_Code,"&gt;="&amp;$V$4,pp_Sick_Pay_Code,"&gt;="&amp;$V$5,pp_Diff_Pay_Code,"&gt;="&amp;$V$6),_xlpm.calc2,COUNTIFS(Pay_Key_Gps,"*"&amp;$A$8&amp;"*",Pay_Code,$A42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42" s="139" t="e" cm="1">
        <f t="array" ref="U42">_xlfn.LET(_xlpm.calc,COUNTIFS(Pay_Key_Gps,"*"&amp;$A$8&amp;"*",Pay_Code,$A42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42" s="118"/>
      <c r="W42" s="118"/>
      <c r="X42" s="149"/>
      <c r="Y42" s="149"/>
      <c r="Z42" s="149"/>
      <c r="AA42" s="149"/>
      <c r="AB42" s="140" t="e">
        <f t="shared" si="3"/>
        <v>#NAME?</v>
      </c>
    </row>
    <row r="43" spans="1:28" s="122" customFormat="1" x14ac:dyDescent="0.25">
      <c r="A43" s="133"/>
      <c r="B43" s="134" t="e" cm="1">
        <f t="array" ref="B43">_xlfn.LET(_xlpm.calc,_xlfn.MINIFS(Pay_Period_End,Pay_Key_Gps,"*"&amp;$A$8&amp;"*",Pay_Code,$A43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43" s="134" t="e" cm="1">
        <f t="array" ref="C43">_xlfn.LET(_xlpm.calc,_xlfn.MAXIFS(Pay_Period_End,Pay_Key_Gps,"*"&amp;$A$8&amp;"*",Pay_Code,$A43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43" s="135" t="str" cm="1">
        <f t="array" ref="D43">_xlfn.LET(_xlpm.calc,IFERROR(ROWS(_xlfn.UNIQUE(_xlfn._xlws.FILTER(Pay_ID,(IFERROR(SEARCH($A$8,Pay_Key_Gps),0)&gt;0) * (Pay_Code=$A43) * (pp_Hrs_Wkd_Pay_Code &gt;= $V$1) * (pp_OT_Pay_Code &gt;= $V$2) * (pp_Bon_Pay_Code &gt;= $V$3) * (pp_Meal_Pay_Code &gt;= $V$4) * (pp_Sick_Pay_Code &gt;= $V$5) * (pp_Diff_Pay_Code &gt;= $V$6)))),0),_xlpm.perc,_xlpm.calc/D$69,IFERROR(IF(_xlpm.calc&gt;1000,_xlfn.CONCAT(TEXT(_xlpm.calc,"0,000")," (",TEXT(_xlpm.perc,"0.0%"),")"),_xlfn.CONCAT(_xlpm.calc," (",TEXT(_xlpm.perc,"0.0%"),")")),"-"))</f>
        <v>-</v>
      </c>
      <c r="E43" s="135" t="str" cm="1">
        <f t="array" ref="E43">_xlfn.LET(_xlpm.calc,IFERROR(ROWS(_xlfn.UNIQUE(_xlfn._xlws.FILTER(Pay_ID_Period_End,(IFERROR(SEARCH($A$8,Pay_Key_Gps),0)&gt;0) * (Pay_Code=$A43) * (pp_Hrs_Wkd_Pay_Code &gt;= $V$1) * (pp_OT_Pay_Code &gt;= $V$2) * (pp_Bon_Pay_Code &gt;= $V$3) * (pp_Meal_Pay_Code &gt;= $V$4) * (pp_Sick_Pay_Code &gt;= $V$5) * (pp_Diff_Pay_Code &gt;= $V$6)))),0),_xlpm.perc,_xlpm.calc/E$69,IFERROR(IF(_xlpm.calc&gt;1000,_xlfn.CONCAT(TEXT(_xlpm.calc,"0,000")," (",TEXT(_xlpm.perc,"0.0%"),")"),_xlfn.CONCAT(_xlpm.calc," (",TEXT(_xlpm.perc,"0.0%"),")")),"-"))</f>
        <v>-</v>
      </c>
      <c r="F43" s="136" t="e">
        <f t="shared" si="1"/>
        <v>#NAME?</v>
      </c>
      <c r="G43" s="137" t="e">
        <f t="shared" si="2"/>
        <v>#NAME?</v>
      </c>
      <c r="H43" s="137" t="str" cm="1">
        <f t="array" ref="H43">IFERROR(AVERAGEIFS(Pay_Amount,Pay_Key_Gps,"*"&amp;$A$8&amp;"*",Pay_Code,$A43,pp_Hrs_Wkd_Pay_Code,"&gt;="&amp;$V$1,pp_OT_Pay_Code,"&gt;="&amp;$V$2,pp_Bon_Pay_Code,"&gt;="&amp;$V$3,pp_Meal_Pay_Code,"&gt;="&amp;$V$4,pp_Sick_Pay_Code,"&gt;="&amp;$V$5,pp_Diff_Pay_Code,"&gt;="&amp;$V$6),"-")</f>
        <v>-</v>
      </c>
      <c r="J43" s="133">
        <f t="shared" si="5"/>
        <v>0</v>
      </c>
      <c r="K43" s="138" t="e" cm="1">
        <f t="array" ref="K43">_xlfn.LET(_xlpm.calc,COUNTIFS(Rate_Gp,K$11,Pay_Key_Gps,"*"&amp;$A$8&amp;"*",Pay_Code,$A43,pp_Hrs_Wkd_Pay_Code,"&gt;="&amp;$V$1,pp_OT_Pay_Code,"&gt;="&amp;$V$2,pp_Bon_Pay_Code,"&gt;="&amp;$V$3,pp_Meal_Pay_Code,"&gt;="&amp;$V$4,pp_Sick_Pay_Code,"&gt;="&amp;$V$5,pp_Diff_Pay_Code,"&gt;="&amp;$V$6),_xlpm.calc2,COUNTIFS(Pay_Key_Gps,"*"&amp;$A$8&amp;"*",Pay_Code,$A43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43" s="138" t="e" cm="1">
        <f t="array" ref="L43">_xlfn.LET(_xlpm.calc,COUNTIFS(Rate_Gp,L$11,Pay_Key_Gps,"*"&amp;$A$8&amp;"*",Pay_Code,$A43,pp_Hrs_Wkd_Pay_Code,"&gt;="&amp;$V$1,pp_OT_Pay_Code,"&gt;="&amp;$V$2,pp_Bon_Pay_Code,"&gt;="&amp;$V$3,pp_Meal_Pay_Code,"&gt;="&amp;$V$4,pp_Sick_Pay_Code,"&gt;="&amp;$V$5,pp_Diff_Pay_Code,"&gt;="&amp;$V$6),_xlpm.calc2,COUNTIFS(Pay_Key_Gps,"*"&amp;$A$8&amp;"*",Pay_Code,$A43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43" s="138" t="e" cm="1">
        <f t="array" ref="M43">_xlfn.LET(_xlpm.calc,COUNTIFS(Rate_Gp,M$11,Pay_Key_Gps,"*"&amp;$A$8&amp;"*",Pay_Code,$A43,pp_Hrs_Wkd_Pay_Code,"&gt;="&amp;$V$1,pp_OT_Pay_Code,"&gt;="&amp;$V$2,pp_Bon_Pay_Code,"&gt;="&amp;$V$3,pp_Meal_Pay_Code,"&gt;="&amp;$V$4,pp_Sick_Pay_Code,"&gt;="&amp;$V$5,pp_Diff_Pay_Code,"&gt;="&amp;$V$6),_xlpm.calc2,COUNTIFS(Pay_Key_Gps,"*"&amp;$A$8&amp;"*",Pay_Code,$A43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43" s="138" t="e" cm="1">
        <f t="array" ref="N43">_xlfn.LET(_xlpm.calc,COUNTIFS(Rate_Gp,N$11,Pay_Key_Gps,"*"&amp;$A$8&amp;"*",Pay_Code,$A43,pp_Hrs_Wkd_Pay_Code,"&gt;="&amp;$V$1,pp_OT_Pay_Code,"&gt;="&amp;$V$2,pp_Bon_Pay_Code,"&gt;="&amp;$V$3,pp_Meal_Pay_Code,"&gt;="&amp;$V$4,pp_Sick_Pay_Code,"&gt;="&amp;$V$5,pp_Diff_Pay_Code,"&gt;="&amp;$V$6),_xlpm.calc2,COUNTIFS(Pay_Key_Gps,"*"&amp;$A$8&amp;"*",Pay_Code,$A43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43" s="138" t="e" cm="1">
        <f t="array" ref="O43">_xlfn.LET(_xlpm.calc,COUNTIFS(Rate_Gp,O$11,Pay_Key_Gps,"*"&amp;$A$8&amp;"*",Pay_Code,$A43,pp_Hrs_Wkd_Pay_Code,"&gt;="&amp;$V$1,pp_OT_Pay_Code,"&gt;="&amp;$V$2,pp_Bon_Pay_Code,"&gt;="&amp;$V$3,pp_Meal_Pay_Code,"&gt;="&amp;$V$4,pp_Sick_Pay_Code,"&gt;="&amp;$V$5,pp_Diff_Pay_Code,"&gt;="&amp;$V$6),_xlpm.calc2,COUNTIFS(Pay_Key_Gps,"*"&amp;$A$8&amp;"*",Pay_Code,$A43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43" s="138" t="e" cm="1">
        <f t="array" ref="P43">_xlfn.LET(_xlpm.calc,COUNTIFS(Rate_Gp,P$11,Pay_Key_Gps,"*"&amp;$A$8&amp;"*",Pay_Code,$A43,pp_Hrs_Wkd_Pay_Code,"&gt;="&amp;$V$1,pp_OT_Pay_Code,"&gt;="&amp;$V$2,pp_Bon_Pay_Code,"&gt;="&amp;$V$3,pp_Meal_Pay_Code,"&gt;="&amp;$V$4,pp_Sick_Pay_Code,"&gt;="&amp;$V$5,pp_Diff_Pay_Code,"&gt;="&amp;$V$6),_xlpm.calc2,COUNTIFS(Pay_Key_Gps,"*"&amp;$A$8&amp;"*",Pay_Code,$A43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43" s="138" t="e" cm="1">
        <f t="array" ref="Q43">_xlfn.LET(_xlpm.calc,COUNTIFS(Rate_Gp,Q$11,Pay_Key_Gps,"*"&amp;$A$8&amp;"*",Pay_Code,$A43,pp_Hrs_Wkd_Pay_Code,"&gt;="&amp;$V$1,pp_OT_Pay_Code,"&gt;="&amp;$V$2,pp_Bon_Pay_Code,"&gt;="&amp;$V$3,pp_Meal_Pay_Code,"&gt;="&amp;$V$4,pp_Sick_Pay_Code,"&gt;="&amp;$V$5,pp_Diff_Pay_Code,"&gt;="&amp;$V$6),_xlpm.calc2,COUNTIFS(Pay_Key_Gps,"*"&amp;$A$8&amp;"*",Pay_Code,$A43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43" s="138" t="e" cm="1">
        <f t="array" ref="R43">_xlfn.LET(_xlpm.calc,COUNTIFS(Rate_Gp,R$11,Pay_Key_Gps,"*"&amp;$A$8&amp;"*",Pay_Code,$A43,pp_Hrs_Wkd_Pay_Code,"&gt;="&amp;$V$1,pp_OT_Pay_Code,"&gt;="&amp;$V$2,pp_Bon_Pay_Code,"&gt;="&amp;$V$3,pp_Meal_Pay_Code,"&gt;="&amp;$V$4,pp_Sick_Pay_Code,"&gt;="&amp;$V$5,pp_Diff_Pay_Code,"&gt;="&amp;$V$6),_xlpm.calc2,COUNTIFS(Pay_Key_Gps,"*"&amp;$A$8&amp;"*",Pay_Code,$A43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43" s="138" t="e" cm="1">
        <f t="array" ref="S43">_xlfn.LET(_xlpm.calc,COUNTIFS(Rate_Gp,S$11,Pay_Key_Gps,"*"&amp;$A$8&amp;"*",Pay_Code,$A43,pp_Hrs_Wkd_Pay_Code,"&gt;="&amp;$V$1,pp_OT_Pay_Code,"&gt;="&amp;$V$2,pp_Bon_Pay_Code,"&gt;="&amp;$V$3,pp_Meal_Pay_Code,"&gt;="&amp;$V$4,pp_Sick_Pay_Code,"&gt;="&amp;$V$5,pp_Diff_Pay_Code,"&gt;="&amp;$V$6),_xlpm.calc2,COUNTIFS(Pay_Key_Gps,"*"&amp;$A$8&amp;"*",Pay_Code,$A43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43" s="138" t="e" cm="1">
        <f t="array" ref="T43">_xlfn.LET(_xlpm.calc,COUNTIFS(Rate_Gp,T$11,Pay_Key_Gps,"*"&amp;$A$8&amp;"*",Pay_Code,$A43,pp_Hrs_Wkd_Pay_Code,"&gt;="&amp;$V$1,pp_OT_Pay_Code,"&gt;="&amp;$V$2,pp_Bon_Pay_Code,"&gt;="&amp;$V$3,pp_Meal_Pay_Code,"&gt;="&amp;$V$4,pp_Sick_Pay_Code,"&gt;="&amp;$V$5,pp_Diff_Pay_Code,"&gt;="&amp;$V$6),_xlpm.calc2,COUNTIFS(Pay_Key_Gps,"*"&amp;$A$8&amp;"*",Pay_Code,$A43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43" s="139" t="e" cm="1">
        <f t="array" ref="U43">_xlfn.LET(_xlpm.calc,COUNTIFS(Pay_Key_Gps,"*"&amp;$A$8&amp;"*",Pay_Code,$A43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43" s="118"/>
      <c r="W43" s="118"/>
      <c r="X43" s="149"/>
      <c r="Y43" s="149"/>
      <c r="Z43" s="149"/>
      <c r="AA43" s="149"/>
      <c r="AB43" s="140" t="e">
        <f t="shared" si="3"/>
        <v>#NAME?</v>
      </c>
    </row>
    <row r="44" spans="1:28" s="122" customFormat="1" x14ac:dyDescent="0.25">
      <c r="A44" s="133"/>
      <c r="B44" s="134" t="e" cm="1">
        <f t="array" ref="B44">_xlfn.LET(_xlpm.calc,_xlfn.MINIFS(Pay_Period_End,Pay_Key_Gps,"*"&amp;$A$8&amp;"*",Pay_Code,$A44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44" s="134" t="e" cm="1">
        <f t="array" ref="C44">_xlfn.LET(_xlpm.calc,_xlfn.MAXIFS(Pay_Period_End,Pay_Key_Gps,"*"&amp;$A$8&amp;"*",Pay_Code,$A44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44" s="135" t="str" cm="1">
        <f t="array" ref="D44">_xlfn.LET(_xlpm.calc,IFERROR(ROWS(_xlfn.UNIQUE(_xlfn._xlws.FILTER(Pay_ID,(IFERROR(SEARCH($A$8,Pay_Key_Gps),0)&gt;0) * (Pay_Code=$A44) * (pp_Hrs_Wkd_Pay_Code &gt;= $V$1) * (pp_OT_Pay_Code &gt;= $V$2) * (pp_Bon_Pay_Code &gt;= $V$3) * (pp_Meal_Pay_Code &gt;= $V$4) * (pp_Sick_Pay_Code &gt;= $V$5) * (pp_Diff_Pay_Code &gt;= $V$6)))),0),_xlpm.perc,_xlpm.calc/D$69,IFERROR(IF(_xlpm.calc&gt;1000,_xlfn.CONCAT(TEXT(_xlpm.calc,"0,000")," (",TEXT(_xlpm.perc,"0.0%"),")"),_xlfn.CONCAT(_xlpm.calc," (",TEXT(_xlpm.perc,"0.0%"),")")),"-"))</f>
        <v>-</v>
      </c>
      <c r="E44" s="135" t="str" cm="1">
        <f t="array" ref="E44">_xlfn.LET(_xlpm.calc,IFERROR(ROWS(_xlfn.UNIQUE(_xlfn._xlws.FILTER(Pay_ID_Period_End,(IFERROR(SEARCH($A$8,Pay_Key_Gps),0)&gt;0) * (Pay_Code=$A44) * (pp_Hrs_Wkd_Pay_Code &gt;= $V$1) * (pp_OT_Pay_Code &gt;= $V$2) * (pp_Bon_Pay_Code &gt;= $V$3) * (pp_Meal_Pay_Code &gt;= $V$4) * (pp_Sick_Pay_Code &gt;= $V$5) * (pp_Diff_Pay_Code &gt;= $V$6)))),0),_xlpm.perc,_xlpm.calc/E$69,IFERROR(IF(_xlpm.calc&gt;1000,_xlfn.CONCAT(TEXT(_xlpm.calc,"0,000")," (",TEXT(_xlpm.perc,"0.0%"),")"),_xlfn.CONCAT(_xlpm.calc," (",TEXT(_xlpm.perc,"0.0%"),")")),"-"))</f>
        <v>-</v>
      </c>
      <c r="F44" s="136" t="e">
        <f t="shared" si="1"/>
        <v>#NAME?</v>
      </c>
      <c r="G44" s="137" t="e">
        <f t="shared" si="2"/>
        <v>#NAME?</v>
      </c>
      <c r="H44" s="137" t="str" cm="1">
        <f t="array" ref="H44">IFERROR(AVERAGEIFS(Pay_Amount,Pay_Key_Gps,"*"&amp;$A$8&amp;"*",Pay_Code,$A44,pp_Hrs_Wkd_Pay_Code,"&gt;="&amp;$V$1,pp_OT_Pay_Code,"&gt;="&amp;$V$2,pp_Bon_Pay_Code,"&gt;="&amp;$V$3,pp_Meal_Pay_Code,"&gt;="&amp;$V$4,pp_Sick_Pay_Code,"&gt;="&amp;$V$5,pp_Diff_Pay_Code,"&gt;="&amp;$V$6),"-")</f>
        <v>-</v>
      </c>
      <c r="J44" s="133">
        <f t="shared" si="5"/>
        <v>0</v>
      </c>
      <c r="K44" s="138" t="e" cm="1">
        <f t="array" ref="K44">_xlfn.LET(_xlpm.calc,COUNTIFS(Rate_Gp,K$11,Pay_Key_Gps,"*"&amp;$A$8&amp;"*",Pay_Code,$A44,pp_Hrs_Wkd_Pay_Code,"&gt;="&amp;$V$1,pp_OT_Pay_Code,"&gt;="&amp;$V$2,pp_Bon_Pay_Code,"&gt;="&amp;$V$3,pp_Meal_Pay_Code,"&gt;="&amp;$V$4,pp_Sick_Pay_Code,"&gt;="&amp;$V$5,pp_Diff_Pay_Code,"&gt;="&amp;$V$6),_xlpm.calc2,COUNTIFS(Pay_Key_Gps,"*"&amp;$A$8&amp;"*",Pay_Code,$A44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44" s="138" t="e" cm="1">
        <f t="array" ref="L44">_xlfn.LET(_xlpm.calc,COUNTIFS(Rate_Gp,L$11,Pay_Key_Gps,"*"&amp;$A$8&amp;"*",Pay_Code,$A44,pp_Hrs_Wkd_Pay_Code,"&gt;="&amp;$V$1,pp_OT_Pay_Code,"&gt;="&amp;$V$2,pp_Bon_Pay_Code,"&gt;="&amp;$V$3,pp_Meal_Pay_Code,"&gt;="&amp;$V$4,pp_Sick_Pay_Code,"&gt;="&amp;$V$5,pp_Diff_Pay_Code,"&gt;="&amp;$V$6),_xlpm.calc2,COUNTIFS(Pay_Key_Gps,"*"&amp;$A$8&amp;"*",Pay_Code,$A44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44" s="138" t="e" cm="1">
        <f t="array" ref="M44">_xlfn.LET(_xlpm.calc,COUNTIFS(Rate_Gp,M$11,Pay_Key_Gps,"*"&amp;$A$8&amp;"*",Pay_Code,$A44,pp_Hrs_Wkd_Pay_Code,"&gt;="&amp;$V$1,pp_OT_Pay_Code,"&gt;="&amp;$V$2,pp_Bon_Pay_Code,"&gt;="&amp;$V$3,pp_Meal_Pay_Code,"&gt;="&amp;$V$4,pp_Sick_Pay_Code,"&gt;="&amp;$V$5,pp_Diff_Pay_Code,"&gt;="&amp;$V$6),_xlpm.calc2,COUNTIFS(Pay_Key_Gps,"*"&amp;$A$8&amp;"*",Pay_Code,$A44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44" s="138" t="e" cm="1">
        <f t="array" ref="N44">_xlfn.LET(_xlpm.calc,COUNTIFS(Rate_Gp,N$11,Pay_Key_Gps,"*"&amp;$A$8&amp;"*",Pay_Code,$A44,pp_Hrs_Wkd_Pay_Code,"&gt;="&amp;$V$1,pp_OT_Pay_Code,"&gt;="&amp;$V$2,pp_Bon_Pay_Code,"&gt;="&amp;$V$3,pp_Meal_Pay_Code,"&gt;="&amp;$V$4,pp_Sick_Pay_Code,"&gt;="&amp;$V$5,pp_Diff_Pay_Code,"&gt;="&amp;$V$6),_xlpm.calc2,COUNTIFS(Pay_Key_Gps,"*"&amp;$A$8&amp;"*",Pay_Code,$A44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44" s="138" t="e" cm="1">
        <f t="array" ref="O44">_xlfn.LET(_xlpm.calc,COUNTIFS(Rate_Gp,O$11,Pay_Key_Gps,"*"&amp;$A$8&amp;"*",Pay_Code,$A44,pp_Hrs_Wkd_Pay_Code,"&gt;="&amp;$V$1,pp_OT_Pay_Code,"&gt;="&amp;$V$2,pp_Bon_Pay_Code,"&gt;="&amp;$V$3,pp_Meal_Pay_Code,"&gt;="&amp;$V$4,pp_Sick_Pay_Code,"&gt;="&amp;$V$5,pp_Diff_Pay_Code,"&gt;="&amp;$V$6),_xlpm.calc2,COUNTIFS(Pay_Key_Gps,"*"&amp;$A$8&amp;"*",Pay_Code,$A44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44" s="138" t="e" cm="1">
        <f t="array" ref="P44">_xlfn.LET(_xlpm.calc,COUNTIFS(Rate_Gp,P$11,Pay_Key_Gps,"*"&amp;$A$8&amp;"*",Pay_Code,$A44,pp_Hrs_Wkd_Pay_Code,"&gt;="&amp;$V$1,pp_OT_Pay_Code,"&gt;="&amp;$V$2,pp_Bon_Pay_Code,"&gt;="&amp;$V$3,pp_Meal_Pay_Code,"&gt;="&amp;$V$4,pp_Sick_Pay_Code,"&gt;="&amp;$V$5,pp_Diff_Pay_Code,"&gt;="&amp;$V$6),_xlpm.calc2,COUNTIFS(Pay_Key_Gps,"*"&amp;$A$8&amp;"*",Pay_Code,$A44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44" s="138" t="e" cm="1">
        <f t="array" ref="Q44">_xlfn.LET(_xlpm.calc,COUNTIFS(Rate_Gp,Q$11,Pay_Key_Gps,"*"&amp;$A$8&amp;"*",Pay_Code,$A44,pp_Hrs_Wkd_Pay_Code,"&gt;="&amp;$V$1,pp_OT_Pay_Code,"&gt;="&amp;$V$2,pp_Bon_Pay_Code,"&gt;="&amp;$V$3,pp_Meal_Pay_Code,"&gt;="&amp;$V$4,pp_Sick_Pay_Code,"&gt;="&amp;$V$5,pp_Diff_Pay_Code,"&gt;="&amp;$V$6),_xlpm.calc2,COUNTIFS(Pay_Key_Gps,"*"&amp;$A$8&amp;"*",Pay_Code,$A44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44" s="138" t="e" cm="1">
        <f t="array" ref="R44">_xlfn.LET(_xlpm.calc,COUNTIFS(Rate_Gp,R$11,Pay_Key_Gps,"*"&amp;$A$8&amp;"*",Pay_Code,$A44,pp_Hrs_Wkd_Pay_Code,"&gt;="&amp;$V$1,pp_OT_Pay_Code,"&gt;="&amp;$V$2,pp_Bon_Pay_Code,"&gt;="&amp;$V$3,pp_Meal_Pay_Code,"&gt;="&amp;$V$4,pp_Sick_Pay_Code,"&gt;="&amp;$V$5,pp_Diff_Pay_Code,"&gt;="&amp;$V$6),_xlpm.calc2,COUNTIFS(Pay_Key_Gps,"*"&amp;$A$8&amp;"*",Pay_Code,$A44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44" s="138" t="e" cm="1">
        <f t="array" ref="S44">_xlfn.LET(_xlpm.calc,COUNTIFS(Rate_Gp,S$11,Pay_Key_Gps,"*"&amp;$A$8&amp;"*",Pay_Code,$A44,pp_Hrs_Wkd_Pay_Code,"&gt;="&amp;$V$1,pp_OT_Pay_Code,"&gt;="&amp;$V$2,pp_Bon_Pay_Code,"&gt;="&amp;$V$3,pp_Meal_Pay_Code,"&gt;="&amp;$V$4,pp_Sick_Pay_Code,"&gt;="&amp;$V$5,pp_Diff_Pay_Code,"&gt;="&amp;$V$6),_xlpm.calc2,COUNTIFS(Pay_Key_Gps,"*"&amp;$A$8&amp;"*",Pay_Code,$A44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44" s="138" t="e" cm="1">
        <f t="array" ref="T44">_xlfn.LET(_xlpm.calc,COUNTIFS(Rate_Gp,T$11,Pay_Key_Gps,"*"&amp;$A$8&amp;"*",Pay_Code,$A44,pp_Hrs_Wkd_Pay_Code,"&gt;="&amp;$V$1,pp_OT_Pay_Code,"&gt;="&amp;$V$2,pp_Bon_Pay_Code,"&gt;="&amp;$V$3,pp_Meal_Pay_Code,"&gt;="&amp;$V$4,pp_Sick_Pay_Code,"&gt;="&amp;$V$5,pp_Diff_Pay_Code,"&gt;="&amp;$V$6),_xlpm.calc2,COUNTIFS(Pay_Key_Gps,"*"&amp;$A$8&amp;"*",Pay_Code,$A44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44" s="139" t="e" cm="1">
        <f t="array" ref="U44">_xlfn.LET(_xlpm.calc,COUNTIFS(Pay_Key_Gps,"*"&amp;$A$8&amp;"*",Pay_Code,$A44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44" s="118"/>
      <c r="W44" s="118"/>
      <c r="X44" s="149"/>
      <c r="Y44" s="149"/>
      <c r="Z44" s="149"/>
      <c r="AA44" s="149"/>
      <c r="AB44" s="140" t="e">
        <f t="shared" si="3"/>
        <v>#NAME?</v>
      </c>
    </row>
    <row r="45" spans="1:28" s="122" customFormat="1" x14ac:dyDescent="0.25">
      <c r="A45" s="133"/>
      <c r="B45" s="134" t="e" cm="1">
        <f t="array" ref="B45">_xlfn.LET(_xlpm.calc,_xlfn.MINIFS(Pay_Period_End,Pay_Key_Gps,"*"&amp;$A$8&amp;"*",Pay_Code,$A45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45" s="134" t="e" cm="1">
        <f t="array" ref="C45">_xlfn.LET(_xlpm.calc,_xlfn.MAXIFS(Pay_Period_End,Pay_Key_Gps,"*"&amp;$A$8&amp;"*",Pay_Code,$A45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45" s="135" t="str" cm="1">
        <f t="array" ref="D45">_xlfn.LET(_xlpm.calc,IFERROR(ROWS(_xlfn.UNIQUE(_xlfn._xlws.FILTER(Pay_ID,(IFERROR(SEARCH($A$8,Pay_Key_Gps),0)&gt;0) * (Pay_Code=$A45) * (pp_Hrs_Wkd_Pay_Code &gt;= $V$1) * (pp_OT_Pay_Code &gt;= $V$2) * (pp_Bon_Pay_Code &gt;= $V$3) * (pp_Meal_Pay_Code &gt;= $V$4) * (pp_Sick_Pay_Code &gt;= $V$5) * (pp_Diff_Pay_Code &gt;= $V$6)))),0),_xlpm.perc,_xlpm.calc/D$69,IFERROR(IF(_xlpm.calc&gt;1000,_xlfn.CONCAT(TEXT(_xlpm.calc,"0,000")," (",TEXT(_xlpm.perc,"0.0%"),")"),_xlfn.CONCAT(_xlpm.calc," (",TEXT(_xlpm.perc,"0.0%"),")")),"-"))</f>
        <v>-</v>
      </c>
      <c r="E45" s="135" t="str" cm="1">
        <f t="array" ref="E45">_xlfn.LET(_xlpm.calc,IFERROR(ROWS(_xlfn.UNIQUE(_xlfn._xlws.FILTER(Pay_ID_Period_End,(IFERROR(SEARCH($A$8,Pay_Key_Gps),0)&gt;0) * (Pay_Code=$A45) * (pp_Hrs_Wkd_Pay_Code &gt;= $V$1) * (pp_OT_Pay_Code &gt;= $V$2) * (pp_Bon_Pay_Code &gt;= $V$3) * (pp_Meal_Pay_Code &gt;= $V$4) * (pp_Sick_Pay_Code &gt;= $V$5) * (pp_Diff_Pay_Code &gt;= $V$6)))),0),_xlpm.perc,_xlpm.calc/E$69,IFERROR(IF(_xlpm.calc&gt;1000,_xlfn.CONCAT(TEXT(_xlpm.calc,"0,000")," (",TEXT(_xlpm.perc,"0.0%"),")"),_xlfn.CONCAT(_xlpm.calc," (",TEXT(_xlpm.perc,"0.0%"),")")),"-"))</f>
        <v>-</v>
      </c>
      <c r="F45" s="136" t="e">
        <f t="shared" si="1"/>
        <v>#NAME?</v>
      </c>
      <c r="G45" s="137" t="e">
        <f t="shared" si="2"/>
        <v>#NAME?</v>
      </c>
      <c r="H45" s="137" t="str" cm="1">
        <f t="array" ref="H45">IFERROR(AVERAGEIFS(Pay_Amount,Pay_Key_Gps,"*"&amp;$A$8&amp;"*",Pay_Code,$A45,pp_Hrs_Wkd_Pay_Code,"&gt;="&amp;$V$1,pp_OT_Pay_Code,"&gt;="&amp;$V$2,pp_Bon_Pay_Code,"&gt;="&amp;$V$3,pp_Meal_Pay_Code,"&gt;="&amp;$V$4,pp_Sick_Pay_Code,"&gt;="&amp;$V$5,pp_Diff_Pay_Code,"&gt;="&amp;$V$6),"-")</f>
        <v>-</v>
      </c>
      <c r="J45" s="133">
        <f t="shared" si="5"/>
        <v>0</v>
      </c>
      <c r="K45" s="138" t="e" cm="1">
        <f t="array" ref="K45">_xlfn.LET(_xlpm.calc,COUNTIFS(Rate_Gp,K$11,Pay_Key_Gps,"*"&amp;$A$8&amp;"*",Pay_Code,$A45,pp_Hrs_Wkd_Pay_Code,"&gt;="&amp;$V$1,pp_OT_Pay_Code,"&gt;="&amp;$V$2,pp_Bon_Pay_Code,"&gt;="&amp;$V$3,pp_Meal_Pay_Code,"&gt;="&amp;$V$4,pp_Sick_Pay_Code,"&gt;="&amp;$V$5,pp_Diff_Pay_Code,"&gt;="&amp;$V$6),_xlpm.calc2,COUNTIFS(Pay_Key_Gps,"*"&amp;$A$8&amp;"*",Pay_Code,$A45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45" s="138" t="e" cm="1">
        <f t="array" ref="L45">_xlfn.LET(_xlpm.calc,COUNTIFS(Rate_Gp,L$11,Pay_Key_Gps,"*"&amp;$A$8&amp;"*",Pay_Code,$A45,pp_Hrs_Wkd_Pay_Code,"&gt;="&amp;$V$1,pp_OT_Pay_Code,"&gt;="&amp;$V$2,pp_Bon_Pay_Code,"&gt;="&amp;$V$3,pp_Meal_Pay_Code,"&gt;="&amp;$V$4,pp_Sick_Pay_Code,"&gt;="&amp;$V$5,pp_Diff_Pay_Code,"&gt;="&amp;$V$6),_xlpm.calc2,COUNTIFS(Pay_Key_Gps,"*"&amp;$A$8&amp;"*",Pay_Code,$A45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45" s="138" t="e" cm="1">
        <f t="array" ref="M45">_xlfn.LET(_xlpm.calc,COUNTIFS(Rate_Gp,M$11,Pay_Key_Gps,"*"&amp;$A$8&amp;"*",Pay_Code,$A45,pp_Hrs_Wkd_Pay_Code,"&gt;="&amp;$V$1,pp_OT_Pay_Code,"&gt;="&amp;$V$2,pp_Bon_Pay_Code,"&gt;="&amp;$V$3,pp_Meal_Pay_Code,"&gt;="&amp;$V$4,pp_Sick_Pay_Code,"&gt;="&amp;$V$5,pp_Diff_Pay_Code,"&gt;="&amp;$V$6),_xlpm.calc2,COUNTIFS(Pay_Key_Gps,"*"&amp;$A$8&amp;"*",Pay_Code,$A45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45" s="138" t="e" cm="1">
        <f t="array" ref="N45">_xlfn.LET(_xlpm.calc,COUNTIFS(Rate_Gp,N$11,Pay_Key_Gps,"*"&amp;$A$8&amp;"*",Pay_Code,$A45,pp_Hrs_Wkd_Pay_Code,"&gt;="&amp;$V$1,pp_OT_Pay_Code,"&gt;="&amp;$V$2,pp_Bon_Pay_Code,"&gt;="&amp;$V$3,pp_Meal_Pay_Code,"&gt;="&amp;$V$4,pp_Sick_Pay_Code,"&gt;="&amp;$V$5,pp_Diff_Pay_Code,"&gt;="&amp;$V$6),_xlpm.calc2,COUNTIFS(Pay_Key_Gps,"*"&amp;$A$8&amp;"*",Pay_Code,$A45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45" s="138" t="e" cm="1">
        <f t="array" ref="O45">_xlfn.LET(_xlpm.calc,COUNTIFS(Rate_Gp,O$11,Pay_Key_Gps,"*"&amp;$A$8&amp;"*",Pay_Code,$A45,pp_Hrs_Wkd_Pay_Code,"&gt;="&amp;$V$1,pp_OT_Pay_Code,"&gt;="&amp;$V$2,pp_Bon_Pay_Code,"&gt;="&amp;$V$3,pp_Meal_Pay_Code,"&gt;="&amp;$V$4,pp_Sick_Pay_Code,"&gt;="&amp;$V$5,pp_Diff_Pay_Code,"&gt;="&amp;$V$6),_xlpm.calc2,COUNTIFS(Pay_Key_Gps,"*"&amp;$A$8&amp;"*",Pay_Code,$A45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45" s="138" t="e" cm="1">
        <f t="array" ref="P45">_xlfn.LET(_xlpm.calc,COUNTIFS(Rate_Gp,P$11,Pay_Key_Gps,"*"&amp;$A$8&amp;"*",Pay_Code,$A45,pp_Hrs_Wkd_Pay_Code,"&gt;="&amp;$V$1,pp_OT_Pay_Code,"&gt;="&amp;$V$2,pp_Bon_Pay_Code,"&gt;="&amp;$V$3,pp_Meal_Pay_Code,"&gt;="&amp;$V$4,pp_Sick_Pay_Code,"&gt;="&amp;$V$5,pp_Diff_Pay_Code,"&gt;="&amp;$V$6),_xlpm.calc2,COUNTIFS(Pay_Key_Gps,"*"&amp;$A$8&amp;"*",Pay_Code,$A45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45" s="138" t="e" cm="1">
        <f t="array" ref="Q45">_xlfn.LET(_xlpm.calc,COUNTIFS(Rate_Gp,Q$11,Pay_Key_Gps,"*"&amp;$A$8&amp;"*",Pay_Code,$A45,pp_Hrs_Wkd_Pay_Code,"&gt;="&amp;$V$1,pp_OT_Pay_Code,"&gt;="&amp;$V$2,pp_Bon_Pay_Code,"&gt;="&amp;$V$3,pp_Meal_Pay_Code,"&gt;="&amp;$V$4,pp_Sick_Pay_Code,"&gt;="&amp;$V$5,pp_Diff_Pay_Code,"&gt;="&amp;$V$6),_xlpm.calc2,COUNTIFS(Pay_Key_Gps,"*"&amp;$A$8&amp;"*",Pay_Code,$A45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45" s="138" t="e" cm="1">
        <f t="array" ref="R45">_xlfn.LET(_xlpm.calc,COUNTIFS(Rate_Gp,R$11,Pay_Key_Gps,"*"&amp;$A$8&amp;"*",Pay_Code,$A45,pp_Hrs_Wkd_Pay_Code,"&gt;="&amp;$V$1,pp_OT_Pay_Code,"&gt;="&amp;$V$2,pp_Bon_Pay_Code,"&gt;="&amp;$V$3,pp_Meal_Pay_Code,"&gt;="&amp;$V$4,pp_Sick_Pay_Code,"&gt;="&amp;$V$5,pp_Diff_Pay_Code,"&gt;="&amp;$V$6),_xlpm.calc2,COUNTIFS(Pay_Key_Gps,"*"&amp;$A$8&amp;"*",Pay_Code,$A45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45" s="138" t="e" cm="1">
        <f t="array" ref="S45">_xlfn.LET(_xlpm.calc,COUNTIFS(Rate_Gp,S$11,Pay_Key_Gps,"*"&amp;$A$8&amp;"*",Pay_Code,$A45,pp_Hrs_Wkd_Pay_Code,"&gt;="&amp;$V$1,pp_OT_Pay_Code,"&gt;="&amp;$V$2,pp_Bon_Pay_Code,"&gt;="&amp;$V$3,pp_Meal_Pay_Code,"&gt;="&amp;$V$4,pp_Sick_Pay_Code,"&gt;="&amp;$V$5,pp_Diff_Pay_Code,"&gt;="&amp;$V$6),_xlpm.calc2,COUNTIFS(Pay_Key_Gps,"*"&amp;$A$8&amp;"*",Pay_Code,$A45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45" s="138" t="e" cm="1">
        <f t="array" ref="T45">_xlfn.LET(_xlpm.calc,COUNTIFS(Rate_Gp,T$11,Pay_Key_Gps,"*"&amp;$A$8&amp;"*",Pay_Code,$A45,pp_Hrs_Wkd_Pay_Code,"&gt;="&amp;$V$1,pp_OT_Pay_Code,"&gt;="&amp;$V$2,pp_Bon_Pay_Code,"&gt;="&amp;$V$3,pp_Meal_Pay_Code,"&gt;="&amp;$V$4,pp_Sick_Pay_Code,"&gt;="&amp;$V$5,pp_Diff_Pay_Code,"&gt;="&amp;$V$6),_xlpm.calc2,COUNTIFS(Pay_Key_Gps,"*"&amp;$A$8&amp;"*",Pay_Code,$A45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45" s="139" t="e" cm="1">
        <f t="array" ref="U45">_xlfn.LET(_xlpm.calc,COUNTIFS(Pay_Key_Gps,"*"&amp;$A$8&amp;"*",Pay_Code,$A45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45" s="118"/>
      <c r="W45" s="118"/>
      <c r="X45" s="149"/>
      <c r="Y45" s="149"/>
      <c r="Z45" s="149"/>
      <c r="AA45" s="149"/>
      <c r="AB45" s="140" t="e">
        <f t="shared" si="3"/>
        <v>#NAME?</v>
      </c>
    </row>
    <row r="46" spans="1:28" s="122" customFormat="1" x14ac:dyDescent="0.25">
      <c r="A46" s="133"/>
      <c r="B46" s="134" t="e" cm="1">
        <f t="array" ref="B46">_xlfn.LET(_xlpm.calc,_xlfn.MINIFS(Pay_Period_End,Pay_Key_Gps,"*"&amp;$A$8&amp;"*",Pay_Code,$A46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46" s="134" t="e" cm="1">
        <f t="array" ref="C46">_xlfn.LET(_xlpm.calc,_xlfn.MAXIFS(Pay_Period_End,Pay_Key_Gps,"*"&amp;$A$8&amp;"*",Pay_Code,$A46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46" s="135" t="str" cm="1">
        <f t="array" ref="D46">_xlfn.LET(_xlpm.calc,IFERROR(ROWS(_xlfn.UNIQUE(_xlfn._xlws.FILTER(Pay_ID,(IFERROR(SEARCH($A$8,Pay_Key_Gps),0)&gt;0) * (Pay_Code=$A46) * (pp_Hrs_Wkd_Pay_Code &gt;= $V$1) * (pp_OT_Pay_Code &gt;= $V$2) * (pp_Bon_Pay_Code &gt;= $V$3) * (pp_Meal_Pay_Code &gt;= $V$4) * (pp_Sick_Pay_Code &gt;= $V$5) * (pp_Diff_Pay_Code &gt;= $V$6)))),0),_xlpm.perc,_xlpm.calc/D$69,IFERROR(IF(_xlpm.calc&gt;1000,_xlfn.CONCAT(TEXT(_xlpm.calc,"0,000")," (",TEXT(_xlpm.perc,"0.0%"),")"),_xlfn.CONCAT(_xlpm.calc," (",TEXT(_xlpm.perc,"0.0%"),")")),"-"))</f>
        <v>-</v>
      </c>
      <c r="E46" s="135" t="str" cm="1">
        <f t="array" ref="E46">_xlfn.LET(_xlpm.calc,IFERROR(ROWS(_xlfn.UNIQUE(_xlfn._xlws.FILTER(Pay_ID_Period_End,(IFERROR(SEARCH($A$8,Pay_Key_Gps),0)&gt;0) * (Pay_Code=$A46) * (pp_Hrs_Wkd_Pay_Code &gt;= $V$1) * (pp_OT_Pay_Code &gt;= $V$2) * (pp_Bon_Pay_Code &gt;= $V$3) * (pp_Meal_Pay_Code &gt;= $V$4) * (pp_Sick_Pay_Code &gt;= $V$5) * (pp_Diff_Pay_Code &gt;= $V$6)))),0),_xlpm.perc,_xlpm.calc/E$69,IFERROR(IF(_xlpm.calc&gt;1000,_xlfn.CONCAT(TEXT(_xlpm.calc,"0,000")," (",TEXT(_xlpm.perc,"0.0%"),")"),_xlfn.CONCAT(_xlpm.calc," (",TEXT(_xlpm.perc,"0.0%"),")")),"-"))</f>
        <v>-</v>
      </c>
      <c r="F46" s="136" t="e">
        <f t="shared" si="1"/>
        <v>#NAME?</v>
      </c>
      <c r="G46" s="137" t="e">
        <f t="shared" si="2"/>
        <v>#NAME?</v>
      </c>
      <c r="H46" s="137" t="str" cm="1">
        <f t="array" ref="H46">IFERROR(AVERAGEIFS(Pay_Amount,Pay_Key_Gps,"*"&amp;$A$8&amp;"*",Pay_Code,$A46,pp_Hrs_Wkd_Pay_Code,"&gt;="&amp;$V$1,pp_OT_Pay_Code,"&gt;="&amp;$V$2,pp_Bon_Pay_Code,"&gt;="&amp;$V$3,pp_Meal_Pay_Code,"&gt;="&amp;$V$4,pp_Sick_Pay_Code,"&gt;="&amp;$V$5,pp_Diff_Pay_Code,"&gt;="&amp;$V$6),"-")</f>
        <v>-</v>
      </c>
      <c r="J46" s="133">
        <f t="shared" si="5"/>
        <v>0</v>
      </c>
      <c r="K46" s="138" t="e" cm="1">
        <f t="array" ref="K46">_xlfn.LET(_xlpm.calc,COUNTIFS(Rate_Gp,K$11,Pay_Key_Gps,"*"&amp;$A$8&amp;"*",Pay_Code,$A46,pp_Hrs_Wkd_Pay_Code,"&gt;="&amp;$V$1,pp_OT_Pay_Code,"&gt;="&amp;$V$2,pp_Bon_Pay_Code,"&gt;="&amp;$V$3,pp_Meal_Pay_Code,"&gt;="&amp;$V$4,pp_Sick_Pay_Code,"&gt;="&amp;$V$5,pp_Diff_Pay_Code,"&gt;="&amp;$V$6),_xlpm.calc2,COUNTIFS(Pay_Key_Gps,"*"&amp;$A$8&amp;"*",Pay_Code,$A46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46" s="138" t="e" cm="1">
        <f t="array" ref="L46">_xlfn.LET(_xlpm.calc,COUNTIFS(Rate_Gp,L$11,Pay_Key_Gps,"*"&amp;$A$8&amp;"*",Pay_Code,$A46,pp_Hrs_Wkd_Pay_Code,"&gt;="&amp;$V$1,pp_OT_Pay_Code,"&gt;="&amp;$V$2,pp_Bon_Pay_Code,"&gt;="&amp;$V$3,pp_Meal_Pay_Code,"&gt;="&amp;$V$4,pp_Sick_Pay_Code,"&gt;="&amp;$V$5,pp_Diff_Pay_Code,"&gt;="&amp;$V$6),_xlpm.calc2,COUNTIFS(Pay_Key_Gps,"*"&amp;$A$8&amp;"*",Pay_Code,$A46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46" s="138" t="e" cm="1">
        <f t="array" ref="M46">_xlfn.LET(_xlpm.calc,COUNTIFS(Rate_Gp,M$11,Pay_Key_Gps,"*"&amp;$A$8&amp;"*",Pay_Code,$A46,pp_Hrs_Wkd_Pay_Code,"&gt;="&amp;$V$1,pp_OT_Pay_Code,"&gt;="&amp;$V$2,pp_Bon_Pay_Code,"&gt;="&amp;$V$3,pp_Meal_Pay_Code,"&gt;="&amp;$V$4,pp_Sick_Pay_Code,"&gt;="&amp;$V$5,pp_Diff_Pay_Code,"&gt;="&amp;$V$6),_xlpm.calc2,COUNTIFS(Pay_Key_Gps,"*"&amp;$A$8&amp;"*",Pay_Code,$A46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46" s="138" t="e" cm="1">
        <f t="array" ref="N46">_xlfn.LET(_xlpm.calc,COUNTIFS(Rate_Gp,N$11,Pay_Key_Gps,"*"&amp;$A$8&amp;"*",Pay_Code,$A46,pp_Hrs_Wkd_Pay_Code,"&gt;="&amp;$V$1,pp_OT_Pay_Code,"&gt;="&amp;$V$2,pp_Bon_Pay_Code,"&gt;="&amp;$V$3,pp_Meal_Pay_Code,"&gt;="&amp;$V$4,pp_Sick_Pay_Code,"&gt;="&amp;$V$5,pp_Diff_Pay_Code,"&gt;="&amp;$V$6),_xlpm.calc2,COUNTIFS(Pay_Key_Gps,"*"&amp;$A$8&amp;"*",Pay_Code,$A46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46" s="138" t="e" cm="1">
        <f t="array" ref="O46">_xlfn.LET(_xlpm.calc,COUNTIFS(Rate_Gp,O$11,Pay_Key_Gps,"*"&amp;$A$8&amp;"*",Pay_Code,$A46,pp_Hrs_Wkd_Pay_Code,"&gt;="&amp;$V$1,pp_OT_Pay_Code,"&gt;="&amp;$V$2,pp_Bon_Pay_Code,"&gt;="&amp;$V$3,pp_Meal_Pay_Code,"&gt;="&amp;$V$4,pp_Sick_Pay_Code,"&gt;="&amp;$V$5,pp_Diff_Pay_Code,"&gt;="&amp;$V$6),_xlpm.calc2,COUNTIFS(Pay_Key_Gps,"*"&amp;$A$8&amp;"*",Pay_Code,$A46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46" s="138" t="e" cm="1">
        <f t="array" ref="P46">_xlfn.LET(_xlpm.calc,COUNTIFS(Rate_Gp,P$11,Pay_Key_Gps,"*"&amp;$A$8&amp;"*",Pay_Code,$A46,pp_Hrs_Wkd_Pay_Code,"&gt;="&amp;$V$1,pp_OT_Pay_Code,"&gt;="&amp;$V$2,pp_Bon_Pay_Code,"&gt;="&amp;$V$3,pp_Meal_Pay_Code,"&gt;="&amp;$V$4,pp_Sick_Pay_Code,"&gt;="&amp;$V$5,pp_Diff_Pay_Code,"&gt;="&amp;$V$6),_xlpm.calc2,COUNTIFS(Pay_Key_Gps,"*"&amp;$A$8&amp;"*",Pay_Code,$A46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46" s="138" t="e" cm="1">
        <f t="array" ref="Q46">_xlfn.LET(_xlpm.calc,COUNTIFS(Rate_Gp,Q$11,Pay_Key_Gps,"*"&amp;$A$8&amp;"*",Pay_Code,$A46,pp_Hrs_Wkd_Pay_Code,"&gt;="&amp;$V$1,pp_OT_Pay_Code,"&gt;="&amp;$V$2,pp_Bon_Pay_Code,"&gt;="&amp;$V$3,pp_Meal_Pay_Code,"&gt;="&amp;$V$4,pp_Sick_Pay_Code,"&gt;="&amp;$V$5,pp_Diff_Pay_Code,"&gt;="&amp;$V$6),_xlpm.calc2,COUNTIFS(Pay_Key_Gps,"*"&amp;$A$8&amp;"*",Pay_Code,$A46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46" s="138" t="e" cm="1">
        <f t="array" ref="R46">_xlfn.LET(_xlpm.calc,COUNTIFS(Rate_Gp,R$11,Pay_Key_Gps,"*"&amp;$A$8&amp;"*",Pay_Code,$A46,pp_Hrs_Wkd_Pay_Code,"&gt;="&amp;$V$1,pp_OT_Pay_Code,"&gt;="&amp;$V$2,pp_Bon_Pay_Code,"&gt;="&amp;$V$3,pp_Meal_Pay_Code,"&gt;="&amp;$V$4,pp_Sick_Pay_Code,"&gt;="&amp;$V$5,pp_Diff_Pay_Code,"&gt;="&amp;$V$6),_xlpm.calc2,COUNTIFS(Pay_Key_Gps,"*"&amp;$A$8&amp;"*",Pay_Code,$A46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46" s="138" t="e" cm="1">
        <f t="array" ref="S46">_xlfn.LET(_xlpm.calc,COUNTIFS(Rate_Gp,S$11,Pay_Key_Gps,"*"&amp;$A$8&amp;"*",Pay_Code,$A46,pp_Hrs_Wkd_Pay_Code,"&gt;="&amp;$V$1,pp_OT_Pay_Code,"&gt;="&amp;$V$2,pp_Bon_Pay_Code,"&gt;="&amp;$V$3,pp_Meal_Pay_Code,"&gt;="&amp;$V$4,pp_Sick_Pay_Code,"&gt;="&amp;$V$5,pp_Diff_Pay_Code,"&gt;="&amp;$V$6),_xlpm.calc2,COUNTIFS(Pay_Key_Gps,"*"&amp;$A$8&amp;"*",Pay_Code,$A46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46" s="138" t="e" cm="1">
        <f t="array" ref="T46">_xlfn.LET(_xlpm.calc,COUNTIFS(Rate_Gp,T$11,Pay_Key_Gps,"*"&amp;$A$8&amp;"*",Pay_Code,$A46,pp_Hrs_Wkd_Pay_Code,"&gt;="&amp;$V$1,pp_OT_Pay_Code,"&gt;="&amp;$V$2,pp_Bon_Pay_Code,"&gt;="&amp;$V$3,pp_Meal_Pay_Code,"&gt;="&amp;$V$4,pp_Sick_Pay_Code,"&gt;="&amp;$V$5,pp_Diff_Pay_Code,"&gt;="&amp;$V$6),_xlpm.calc2,COUNTIFS(Pay_Key_Gps,"*"&amp;$A$8&amp;"*",Pay_Code,$A46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46" s="139" t="e" cm="1">
        <f t="array" ref="U46">_xlfn.LET(_xlpm.calc,COUNTIFS(Pay_Key_Gps,"*"&amp;$A$8&amp;"*",Pay_Code,$A46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46" s="118"/>
      <c r="W46" s="118"/>
      <c r="X46" s="149"/>
      <c r="Y46" s="149"/>
      <c r="Z46" s="149"/>
      <c r="AA46" s="149"/>
      <c r="AB46" s="140" t="e">
        <f t="shared" si="3"/>
        <v>#NAME?</v>
      </c>
    </row>
    <row r="47" spans="1:28" s="122" customFormat="1" x14ac:dyDescent="0.25">
      <c r="A47" s="133"/>
      <c r="B47" s="134" t="e" cm="1">
        <f t="array" ref="B47">_xlfn.LET(_xlpm.calc,_xlfn.MINIFS(Pay_Period_End,Pay_Key_Gps,"*"&amp;$A$8&amp;"*",Pay_Code,$A47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47" s="134" t="e" cm="1">
        <f t="array" ref="C47">_xlfn.LET(_xlpm.calc,_xlfn.MAXIFS(Pay_Period_End,Pay_Key_Gps,"*"&amp;$A$8&amp;"*",Pay_Code,$A47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47" s="135" t="str" cm="1">
        <f t="array" ref="D47">_xlfn.LET(_xlpm.calc,IFERROR(ROWS(_xlfn.UNIQUE(_xlfn._xlws.FILTER(Pay_ID,(IFERROR(SEARCH($A$8,Pay_Key_Gps),0)&gt;0) * (Pay_Code=$A47) * (pp_Hrs_Wkd_Pay_Code &gt;= $V$1) * (pp_OT_Pay_Code &gt;= $V$2) * (pp_Bon_Pay_Code &gt;= $V$3) * (pp_Meal_Pay_Code &gt;= $V$4) * (pp_Sick_Pay_Code &gt;= $V$5) * (pp_Diff_Pay_Code &gt;= $V$6)))),0),_xlpm.perc,_xlpm.calc/D$69,IFERROR(IF(_xlpm.calc&gt;1000,_xlfn.CONCAT(TEXT(_xlpm.calc,"0,000")," (",TEXT(_xlpm.perc,"0.0%"),")"),_xlfn.CONCAT(_xlpm.calc," (",TEXT(_xlpm.perc,"0.0%"),")")),"-"))</f>
        <v>-</v>
      </c>
      <c r="E47" s="135" t="str" cm="1">
        <f t="array" ref="E47">_xlfn.LET(_xlpm.calc,IFERROR(ROWS(_xlfn.UNIQUE(_xlfn._xlws.FILTER(Pay_ID_Period_End,(IFERROR(SEARCH($A$8,Pay_Key_Gps),0)&gt;0) * (Pay_Code=$A47) * (pp_Hrs_Wkd_Pay_Code &gt;= $V$1) * (pp_OT_Pay_Code &gt;= $V$2) * (pp_Bon_Pay_Code &gt;= $V$3) * (pp_Meal_Pay_Code &gt;= $V$4) * (pp_Sick_Pay_Code &gt;= $V$5) * (pp_Diff_Pay_Code &gt;= $V$6)))),0),_xlpm.perc,_xlpm.calc/E$69,IFERROR(IF(_xlpm.calc&gt;1000,_xlfn.CONCAT(TEXT(_xlpm.calc,"0,000")," (",TEXT(_xlpm.perc,"0.0%"),")"),_xlfn.CONCAT(_xlpm.calc," (",TEXT(_xlpm.perc,"0.0%"),")")),"-"))</f>
        <v>-</v>
      </c>
      <c r="F47" s="136" t="e">
        <f t="shared" si="1"/>
        <v>#NAME?</v>
      </c>
      <c r="G47" s="137" t="e">
        <f t="shared" si="2"/>
        <v>#NAME?</v>
      </c>
      <c r="H47" s="137" t="str" cm="1">
        <f t="array" ref="H47">IFERROR(AVERAGEIFS(Pay_Amount,Pay_Key_Gps,"*"&amp;$A$8&amp;"*",Pay_Code,$A47,pp_Hrs_Wkd_Pay_Code,"&gt;="&amp;$V$1,pp_OT_Pay_Code,"&gt;="&amp;$V$2,pp_Bon_Pay_Code,"&gt;="&amp;$V$3,pp_Meal_Pay_Code,"&gt;="&amp;$V$4,pp_Sick_Pay_Code,"&gt;="&amp;$V$5,pp_Diff_Pay_Code,"&gt;="&amp;$V$6),"-")</f>
        <v>-</v>
      </c>
      <c r="J47" s="133">
        <f t="shared" si="5"/>
        <v>0</v>
      </c>
      <c r="K47" s="138" t="e" cm="1">
        <f t="array" ref="K47">_xlfn.LET(_xlpm.calc,COUNTIFS(Rate_Gp,K$11,Pay_Key_Gps,"*"&amp;$A$8&amp;"*",Pay_Code,$A47,pp_Hrs_Wkd_Pay_Code,"&gt;="&amp;$V$1,pp_OT_Pay_Code,"&gt;="&amp;$V$2,pp_Bon_Pay_Code,"&gt;="&amp;$V$3,pp_Meal_Pay_Code,"&gt;="&amp;$V$4,pp_Sick_Pay_Code,"&gt;="&amp;$V$5,pp_Diff_Pay_Code,"&gt;="&amp;$V$6),_xlpm.calc2,COUNTIFS(Pay_Key_Gps,"*"&amp;$A$8&amp;"*",Pay_Code,$A47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47" s="138" t="e" cm="1">
        <f t="array" ref="L47">_xlfn.LET(_xlpm.calc,COUNTIFS(Rate_Gp,L$11,Pay_Key_Gps,"*"&amp;$A$8&amp;"*",Pay_Code,$A47,pp_Hrs_Wkd_Pay_Code,"&gt;="&amp;$V$1,pp_OT_Pay_Code,"&gt;="&amp;$V$2,pp_Bon_Pay_Code,"&gt;="&amp;$V$3,pp_Meal_Pay_Code,"&gt;="&amp;$V$4,pp_Sick_Pay_Code,"&gt;="&amp;$V$5,pp_Diff_Pay_Code,"&gt;="&amp;$V$6),_xlpm.calc2,COUNTIFS(Pay_Key_Gps,"*"&amp;$A$8&amp;"*",Pay_Code,$A47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47" s="138" t="e" cm="1">
        <f t="array" ref="M47">_xlfn.LET(_xlpm.calc,COUNTIFS(Rate_Gp,M$11,Pay_Key_Gps,"*"&amp;$A$8&amp;"*",Pay_Code,$A47,pp_Hrs_Wkd_Pay_Code,"&gt;="&amp;$V$1,pp_OT_Pay_Code,"&gt;="&amp;$V$2,pp_Bon_Pay_Code,"&gt;="&amp;$V$3,pp_Meal_Pay_Code,"&gt;="&amp;$V$4,pp_Sick_Pay_Code,"&gt;="&amp;$V$5,pp_Diff_Pay_Code,"&gt;="&amp;$V$6),_xlpm.calc2,COUNTIFS(Pay_Key_Gps,"*"&amp;$A$8&amp;"*",Pay_Code,$A47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47" s="138" t="e" cm="1">
        <f t="array" ref="N47">_xlfn.LET(_xlpm.calc,COUNTIFS(Rate_Gp,N$11,Pay_Key_Gps,"*"&amp;$A$8&amp;"*",Pay_Code,$A47,pp_Hrs_Wkd_Pay_Code,"&gt;="&amp;$V$1,pp_OT_Pay_Code,"&gt;="&amp;$V$2,pp_Bon_Pay_Code,"&gt;="&amp;$V$3,pp_Meal_Pay_Code,"&gt;="&amp;$V$4,pp_Sick_Pay_Code,"&gt;="&amp;$V$5,pp_Diff_Pay_Code,"&gt;="&amp;$V$6),_xlpm.calc2,COUNTIFS(Pay_Key_Gps,"*"&amp;$A$8&amp;"*",Pay_Code,$A47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47" s="138" t="e" cm="1">
        <f t="array" ref="O47">_xlfn.LET(_xlpm.calc,COUNTIFS(Rate_Gp,O$11,Pay_Key_Gps,"*"&amp;$A$8&amp;"*",Pay_Code,$A47,pp_Hrs_Wkd_Pay_Code,"&gt;="&amp;$V$1,pp_OT_Pay_Code,"&gt;="&amp;$V$2,pp_Bon_Pay_Code,"&gt;="&amp;$V$3,pp_Meal_Pay_Code,"&gt;="&amp;$V$4,pp_Sick_Pay_Code,"&gt;="&amp;$V$5,pp_Diff_Pay_Code,"&gt;="&amp;$V$6),_xlpm.calc2,COUNTIFS(Pay_Key_Gps,"*"&amp;$A$8&amp;"*",Pay_Code,$A47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47" s="138" t="e" cm="1">
        <f t="array" ref="P47">_xlfn.LET(_xlpm.calc,COUNTIFS(Rate_Gp,P$11,Pay_Key_Gps,"*"&amp;$A$8&amp;"*",Pay_Code,$A47,pp_Hrs_Wkd_Pay_Code,"&gt;="&amp;$V$1,pp_OT_Pay_Code,"&gt;="&amp;$V$2,pp_Bon_Pay_Code,"&gt;="&amp;$V$3,pp_Meal_Pay_Code,"&gt;="&amp;$V$4,pp_Sick_Pay_Code,"&gt;="&amp;$V$5,pp_Diff_Pay_Code,"&gt;="&amp;$V$6),_xlpm.calc2,COUNTIFS(Pay_Key_Gps,"*"&amp;$A$8&amp;"*",Pay_Code,$A47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47" s="138" t="e" cm="1">
        <f t="array" ref="Q47">_xlfn.LET(_xlpm.calc,COUNTIFS(Rate_Gp,Q$11,Pay_Key_Gps,"*"&amp;$A$8&amp;"*",Pay_Code,$A47,pp_Hrs_Wkd_Pay_Code,"&gt;="&amp;$V$1,pp_OT_Pay_Code,"&gt;="&amp;$V$2,pp_Bon_Pay_Code,"&gt;="&amp;$V$3,pp_Meal_Pay_Code,"&gt;="&amp;$V$4,pp_Sick_Pay_Code,"&gt;="&amp;$V$5,pp_Diff_Pay_Code,"&gt;="&amp;$V$6),_xlpm.calc2,COUNTIFS(Pay_Key_Gps,"*"&amp;$A$8&amp;"*",Pay_Code,$A47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47" s="138" t="e" cm="1">
        <f t="array" ref="R47">_xlfn.LET(_xlpm.calc,COUNTIFS(Rate_Gp,R$11,Pay_Key_Gps,"*"&amp;$A$8&amp;"*",Pay_Code,$A47,pp_Hrs_Wkd_Pay_Code,"&gt;="&amp;$V$1,pp_OT_Pay_Code,"&gt;="&amp;$V$2,pp_Bon_Pay_Code,"&gt;="&amp;$V$3,pp_Meal_Pay_Code,"&gt;="&amp;$V$4,pp_Sick_Pay_Code,"&gt;="&amp;$V$5,pp_Diff_Pay_Code,"&gt;="&amp;$V$6),_xlpm.calc2,COUNTIFS(Pay_Key_Gps,"*"&amp;$A$8&amp;"*",Pay_Code,$A47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47" s="138" t="e" cm="1">
        <f t="array" ref="S47">_xlfn.LET(_xlpm.calc,COUNTIFS(Rate_Gp,S$11,Pay_Key_Gps,"*"&amp;$A$8&amp;"*",Pay_Code,$A47,pp_Hrs_Wkd_Pay_Code,"&gt;="&amp;$V$1,pp_OT_Pay_Code,"&gt;="&amp;$V$2,pp_Bon_Pay_Code,"&gt;="&amp;$V$3,pp_Meal_Pay_Code,"&gt;="&amp;$V$4,pp_Sick_Pay_Code,"&gt;="&amp;$V$5,pp_Diff_Pay_Code,"&gt;="&amp;$V$6),_xlpm.calc2,COUNTIFS(Pay_Key_Gps,"*"&amp;$A$8&amp;"*",Pay_Code,$A47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47" s="138" t="e" cm="1">
        <f t="array" ref="T47">_xlfn.LET(_xlpm.calc,COUNTIFS(Rate_Gp,T$11,Pay_Key_Gps,"*"&amp;$A$8&amp;"*",Pay_Code,$A47,pp_Hrs_Wkd_Pay_Code,"&gt;="&amp;$V$1,pp_OT_Pay_Code,"&gt;="&amp;$V$2,pp_Bon_Pay_Code,"&gt;="&amp;$V$3,pp_Meal_Pay_Code,"&gt;="&amp;$V$4,pp_Sick_Pay_Code,"&gt;="&amp;$V$5,pp_Diff_Pay_Code,"&gt;="&amp;$V$6),_xlpm.calc2,COUNTIFS(Pay_Key_Gps,"*"&amp;$A$8&amp;"*",Pay_Code,$A47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47" s="139" t="e" cm="1">
        <f t="array" ref="U47">_xlfn.LET(_xlpm.calc,COUNTIFS(Pay_Key_Gps,"*"&amp;$A$8&amp;"*",Pay_Code,$A47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47" s="118"/>
      <c r="W47" s="118"/>
      <c r="X47" s="149"/>
      <c r="Y47" s="149"/>
      <c r="Z47" s="149"/>
      <c r="AA47" s="149"/>
      <c r="AB47" s="140" t="e">
        <f t="shared" si="3"/>
        <v>#NAME?</v>
      </c>
    </row>
    <row r="48" spans="1:28" s="122" customFormat="1" x14ac:dyDescent="0.25">
      <c r="A48" s="133"/>
      <c r="B48" s="134" t="e" cm="1">
        <f t="array" ref="B48">_xlfn.LET(_xlpm.calc,_xlfn.MINIFS(Pay_Period_End,Pay_Key_Gps,"*"&amp;$A$8&amp;"*",Pay_Code,$A48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48" s="134" t="e" cm="1">
        <f t="array" ref="C48">_xlfn.LET(_xlpm.calc,_xlfn.MAXIFS(Pay_Period_End,Pay_Key_Gps,"*"&amp;$A$8&amp;"*",Pay_Code,$A48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48" s="135" t="str" cm="1">
        <f t="array" ref="D48">_xlfn.LET(_xlpm.calc,IFERROR(ROWS(_xlfn.UNIQUE(_xlfn._xlws.FILTER(Pay_ID,(IFERROR(SEARCH($A$8,Pay_Key_Gps),0)&gt;0) * (Pay_Code=$A48) * (pp_Hrs_Wkd_Pay_Code &gt;= $V$1) * (pp_OT_Pay_Code &gt;= $V$2) * (pp_Bon_Pay_Code &gt;= $V$3) * (pp_Meal_Pay_Code &gt;= $V$4) * (pp_Sick_Pay_Code &gt;= $V$5) * (pp_Diff_Pay_Code &gt;= $V$6)))),0),_xlpm.perc,_xlpm.calc/D$69,IFERROR(IF(_xlpm.calc&gt;1000,_xlfn.CONCAT(TEXT(_xlpm.calc,"0,000")," (",TEXT(_xlpm.perc,"0.0%"),")"),_xlfn.CONCAT(_xlpm.calc," (",TEXT(_xlpm.perc,"0.0%"),")")),"-"))</f>
        <v>-</v>
      </c>
      <c r="E48" s="135" t="str" cm="1">
        <f t="array" ref="E48">_xlfn.LET(_xlpm.calc,IFERROR(ROWS(_xlfn.UNIQUE(_xlfn._xlws.FILTER(Pay_ID_Period_End,(IFERROR(SEARCH($A$8,Pay_Key_Gps),0)&gt;0) * (Pay_Code=$A48) * (pp_Hrs_Wkd_Pay_Code &gt;= $V$1) * (pp_OT_Pay_Code &gt;= $V$2) * (pp_Bon_Pay_Code &gt;= $V$3) * (pp_Meal_Pay_Code &gt;= $V$4) * (pp_Sick_Pay_Code &gt;= $V$5) * (pp_Diff_Pay_Code &gt;= $V$6)))),0),_xlpm.perc,_xlpm.calc/E$69,IFERROR(IF(_xlpm.calc&gt;1000,_xlfn.CONCAT(TEXT(_xlpm.calc,"0,000")," (",TEXT(_xlpm.perc,"0.0%"),")"),_xlfn.CONCAT(_xlpm.calc," (",TEXT(_xlpm.perc,"0.0%"),")")),"-"))</f>
        <v>-</v>
      </c>
      <c r="F48" s="136" t="e">
        <f t="shared" si="1"/>
        <v>#NAME?</v>
      </c>
      <c r="G48" s="137" t="e">
        <f t="shared" si="2"/>
        <v>#NAME?</v>
      </c>
      <c r="H48" s="137" t="str" cm="1">
        <f t="array" ref="H48">IFERROR(AVERAGEIFS(Pay_Amount,Pay_Key_Gps,"*"&amp;$A$8&amp;"*",Pay_Code,$A48,pp_Hrs_Wkd_Pay_Code,"&gt;="&amp;$V$1,pp_OT_Pay_Code,"&gt;="&amp;$V$2,pp_Bon_Pay_Code,"&gt;="&amp;$V$3,pp_Meal_Pay_Code,"&gt;="&amp;$V$4,pp_Sick_Pay_Code,"&gt;="&amp;$V$5,pp_Diff_Pay_Code,"&gt;="&amp;$V$6),"-")</f>
        <v>-</v>
      </c>
      <c r="J48" s="133">
        <f t="shared" si="5"/>
        <v>0</v>
      </c>
      <c r="K48" s="138" t="e" cm="1">
        <f t="array" ref="K48">_xlfn.LET(_xlpm.calc,COUNTIFS(Rate_Gp,K$11,Pay_Key_Gps,"*"&amp;$A$8&amp;"*",Pay_Code,$A48,pp_Hrs_Wkd_Pay_Code,"&gt;="&amp;$V$1,pp_OT_Pay_Code,"&gt;="&amp;$V$2,pp_Bon_Pay_Code,"&gt;="&amp;$V$3,pp_Meal_Pay_Code,"&gt;="&amp;$V$4,pp_Sick_Pay_Code,"&gt;="&amp;$V$5,pp_Diff_Pay_Code,"&gt;="&amp;$V$6),_xlpm.calc2,COUNTIFS(Pay_Key_Gps,"*"&amp;$A$8&amp;"*",Pay_Code,$A48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48" s="138" t="e" cm="1">
        <f t="array" ref="L48">_xlfn.LET(_xlpm.calc,COUNTIFS(Rate_Gp,L$11,Pay_Key_Gps,"*"&amp;$A$8&amp;"*",Pay_Code,$A48,pp_Hrs_Wkd_Pay_Code,"&gt;="&amp;$V$1,pp_OT_Pay_Code,"&gt;="&amp;$V$2,pp_Bon_Pay_Code,"&gt;="&amp;$V$3,pp_Meal_Pay_Code,"&gt;="&amp;$V$4,pp_Sick_Pay_Code,"&gt;="&amp;$V$5,pp_Diff_Pay_Code,"&gt;="&amp;$V$6),_xlpm.calc2,COUNTIFS(Pay_Key_Gps,"*"&amp;$A$8&amp;"*",Pay_Code,$A48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48" s="138" t="e" cm="1">
        <f t="array" ref="M48">_xlfn.LET(_xlpm.calc,COUNTIFS(Rate_Gp,M$11,Pay_Key_Gps,"*"&amp;$A$8&amp;"*",Pay_Code,$A48,pp_Hrs_Wkd_Pay_Code,"&gt;="&amp;$V$1,pp_OT_Pay_Code,"&gt;="&amp;$V$2,pp_Bon_Pay_Code,"&gt;="&amp;$V$3,pp_Meal_Pay_Code,"&gt;="&amp;$V$4,pp_Sick_Pay_Code,"&gt;="&amp;$V$5,pp_Diff_Pay_Code,"&gt;="&amp;$V$6),_xlpm.calc2,COUNTIFS(Pay_Key_Gps,"*"&amp;$A$8&amp;"*",Pay_Code,$A48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48" s="138" t="e" cm="1">
        <f t="array" ref="N48">_xlfn.LET(_xlpm.calc,COUNTIFS(Rate_Gp,N$11,Pay_Key_Gps,"*"&amp;$A$8&amp;"*",Pay_Code,$A48,pp_Hrs_Wkd_Pay_Code,"&gt;="&amp;$V$1,pp_OT_Pay_Code,"&gt;="&amp;$V$2,pp_Bon_Pay_Code,"&gt;="&amp;$V$3,pp_Meal_Pay_Code,"&gt;="&amp;$V$4,pp_Sick_Pay_Code,"&gt;="&amp;$V$5,pp_Diff_Pay_Code,"&gt;="&amp;$V$6),_xlpm.calc2,COUNTIFS(Pay_Key_Gps,"*"&amp;$A$8&amp;"*",Pay_Code,$A48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48" s="138" t="e" cm="1">
        <f t="array" ref="O48">_xlfn.LET(_xlpm.calc,COUNTIFS(Rate_Gp,O$11,Pay_Key_Gps,"*"&amp;$A$8&amp;"*",Pay_Code,$A48,pp_Hrs_Wkd_Pay_Code,"&gt;="&amp;$V$1,pp_OT_Pay_Code,"&gt;="&amp;$V$2,pp_Bon_Pay_Code,"&gt;="&amp;$V$3,pp_Meal_Pay_Code,"&gt;="&amp;$V$4,pp_Sick_Pay_Code,"&gt;="&amp;$V$5,pp_Diff_Pay_Code,"&gt;="&amp;$V$6),_xlpm.calc2,COUNTIFS(Pay_Key_Gps,"*"&amp;$A$8&amp;"*",Pay_Code,$A48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48" s="138" t="e" cm="1">
        <f t="array" ref="P48">_xlfn.LET(_xlpm.calc,COUNTIFS(Rate_Gp,P$11,Pay_Key_Gps,"*"&amp;$A$8&amp;"*",Pay_Code,$A48,pp_Hrs_Wkd_Pay_Code,"&gt;="&amp;$V$1,pp_OT_Pay_Code,"&gt;="&amp;$V$2,pp_Bon_Pay_Code,"&gt;="&amp;$V$3,pp_Meal_Pay_Code,"&gt;="&amp;$V$4,pp_Sick_Pay_Code,"&gt;="&amp;$V$5,pp_Diff_Pay_Code,"&gt;="&amp;$V$6),_xlpm.calc2,COUNTIFS(Pay_Key_Gps,"*"&amp;$A$8&amp;"*",Pay_Code,$A48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48" s="138" t="e" cm="1">
        <f t="array" ref="Q48">_xlfn.LET(_xlpm.calc,COUNTIFS(Rate_Gp,Q$11,Pay_Key_Gps,"*"&amp;$A$8&amp;"*",Pay_Code,$A48,pp_Hrs_Wkd_Pay_Code,"&gt;="&amp;$V$1,pp_OT_Pay_Code,"&gt;="&amp;$V$2,pp_Bon_Pay_Code,"&gt;="&amp;$V$3,pp_Meal_Pay_Code,"&gt;="&amp;$V$4,pp_Sick_Pay_Code,"&gt;="&amp;$V$5,pp_Diff_Pay_Code,"&gt;="&amp;$V$6),_xlpm.calc2,COUNTIFS(Pay_Key_Gps,"*"&amp;$A$8&amp;"*",Pay_Code,$A48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48" s="138" t="e" cm="1">
        <f t="array" ref="R48">_xlfn.LET(_xlpm.calc,COUNTIFS(Rate_Gp,R$11,Pay_Key_Gps,"*"&amp;$A$8&amp;"*",Pay_Code,$A48,pp_Hrs_Wkd_Pay_Code,"&gt;="&amp;$V$1,pp_OT_Pay_Code,"&gt;="&amp;$V$2,pp_Bon_Pay_Code,"&gt;="&amp;$V$3,pp_Meal_Pay_Code,"&gt;="&amp;$V$4,pp_Sick_Pay_Code,"&gt;="&amp;$V$5,pp_Diff_Pay_Code,"&gt;="&amp;$V$6),_xlpm.calc2,COUNTIFS(Pay_Key_Gps,"*"&amp;$A$8&amp;"*",Pay_Code,$A48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48" s="138" t="e" cm="1">
        <f t="array" ref="S48">_xlfn.LET(_xlpm.calc,COUNTIFS(Rate_Gp,S$11,Pay_Key_Gps,"*"&amp;$A$8&amp;"*",Pay_Code,$A48,pp_Hrs_Wkd_Pay_Code,"&gt;="&amp;$V$1,pp_OT_Pay_Code,"&gt;="&amp;$V$2,pp_Bon_Pay_Code,"&gt;="&amp;$V$3,pp_Meal_Pay_Code,"&gt;="&amp;$V$4,pp_Sick_Pay_Code,"&gt;="&amp;$V$5,pp_Diff_Pay_Code,"&gt;="&amp;$V$6),_xlpm.calc2,COUNTIFS(Pay_Key_Gps,"*"&amp;$A$8&amp;"*",Pay_Code,$A48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48" s="138" t="e" cm="1">
        <f t="array" ref="T48">_xlfn.LET(_xlpm.calc,COUNTIFS(Rate_Gp,T$11,Pay_Key_Gps,"*"&amp;$A$8&amp;"*",Pay_Code,$A48,pp_Hrs_Wkd_Pay_Code,"&gt;="&amp;$V$1,pp_OT_Pay_Code,"&gt;="&amp;$V$2,pp_Bon_Pay_Code,"&gt;="&amp;$V$3,pp_Meal_Pay_Code,"&gt;="&amp;$V$4,pp_Sick_Pay_Code,"&gt;="&amp;$V$5,pp_Diff_Pay_Code,"&gt;="&amp;$V$6),_xlpm.calc2,COUNTIFS(Pay_Key_Gps,"*"&amp;$A$8&amp;"*",Pay_Code,$A48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48" s="139" t="e" cm="1">
        <f t="array" ref="U48">_xlfn.LET(_xlpm.calc,COUNTIFS(Pay_Key_Gps,"*"&amp;$A$8&amp;"*",Pay_Code,$A48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48" s="118"/>
      <c r="W48" s="118"/>
      <c r="X48" s="149"/>
      <c r="Y48" s="149"/>
      <c r="Z48" s="149"/>
      <c r="AA48" s="149"/>
      <c r="AB48" s="140" t="e">
        <f t="shared" si="3"/>
        <v>#NAME?</v>
      </c>
    </row>
    <row r="49" spans="1:28" s="122" customFormat="1" x14ac:dyDescent="0.25">
      <c r="A49" s="133"/>
      <c r="B49" s="134" t="e" cm="1">
        <f t="array" ref="B49">_xlfn.LET(_xlpm.calc,_xlfn.MINIFS(Pay_Period_End,Pay_Key_Gps,"*"&amp;$A$8&amp;"*",Pay_Code,$A49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49" s="134" t="e" cm="1">
        <f t="array" ref="C49">_xlfn.LET(_xlpm.calc,_xlfn.MAXIFS(Pay_Period_End,Pay_Key_Gps,"*"&amp;$A$8&amp;"*",Pay_Code,$A49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49" s="135" t="str" cm="1">
        <f t="array" ref="D49">_xlfn.LET(_xlpm.calc,IFERROR(ROWS(_xlfn.UNIQUE(_xlfn._xlws.FILTER(Pay_ID,(IFERROR(SEARCH($A$8,Pay_Key_Gps),0)&gt;0) * (Pay_Code=$A49) * (pp_Hrs_Wkd_Pay_Code &gt;= $V$1) * (pp_OT_Pay_Code &gt;= $V$2) * (pp_Bon_Pay_Code &gt;= $V$3) * (pp_Meal_Pay_Code &gt;= $V$4) * (pp_Sick_Pay_Code &gt;= $V$5) * (pp_Diff_Pay_Code &gt;= $V$6)))),0),_xlpm.perc,_xlpm.calc/D$69,IFERROR(IF(_xlpm.calc&gt;1000,_xlfn.CONCAT(TEXT(_xlpm.calc,"0,000")," (",TEXT(_xlpm.perc,"0.0%"),")"),_xlfn.CONCAT(_xlpm.calc," (",TEXT(_xlpm.perc,"0.0%"),")")),"-"))</f>
        <v>-</v>
      </c>
      <c r="E49" s="135" t="str" cm="1">
        <f t="array" ref="E49">_xlfn.LET(_xlpm.calc,IFERROR(ROWS(_xlfn.UNIQUE(_xlfn._xlws.FILTER(Pay_ID_Period_End,(IFERROR(SEARCH($A$8,Pay_Key_Gps),0)&gt;0) * (Pay_Code=$A49) * (pp_Hrs_Wkd_Pay_Code &gt;= $V$1) * (pp_OT_Pay_Code &gt;= $V$2) * (pp_Bon_Pay_Code &gt;= $V$3) * (pp_Meal_Pay_Code &gt;= $V$4) * (pp_Sick_Pay_Code &gt;= $V$5) * (pp_Diff_Pay_Code &gt;= $V$6)))),0),_xlpm.perc,_xlpm.calc/E$69,IFERROR(IF(_xlpm.calc&gt;1000,_xlfn.CONCAT(TEXT(_xlpm.calc,"0,000")," (",TEXT(_xlpm.perc,"0.0%"),")"),_xlfn.CONCAT(_xlpm.calc," (",TEXT(_xlpm.perc,"0.0%"),")")),"-"))</f>
        <v>-</v>
      </c>
      <c r="F49" s="136" t="e">
        <f t="shared" si="1"/>
        <v>#NAME?</v>
      </c>
      <c r="G49" s="137" t="e">
        <f t="shared" si="2"/>
        <v>#NAME?</v>
      </c>
      <c r="H49" s="137" t="str" cm="1">
        <f t="array" ref="H49">IFERROR(AVERAGEIFS(Pay_Amount,Pay_Key_Gps,"*"&amp;$A$8&amp;"*",Pay_Code,$A49,pp_Hrs_Wkd_Pay_Code,"&gt;="&amp;$V$1,pp_OT_Pay_Code,"&gt;="&amp;$V$2,pp_Bon_Pay_Code,"&gt;="&amp;$V$3,pp_Meal_Pay_Code,"&gt;="&amp;$V$4,pp_Sick_Pay_Code,"&gt;="&amp;$V$5,pp_Diff_Pay_Code,"&gt;="&amp;$V$6),"-")</f>
        <v>-</v>
      </c>
      <c r="J49" s="133">
        <f t="shared" si="5"/>
        <v>0</v>
      </c>
      <c r="K49" s="138" t="e" cm="1">
        <f t="array" ref="K49">_xlfn.LET(_xlpm.calc,COUNTIFS(Rate_Gp,K$11,Pay_Key_Gps,"*"&amp;$A$8&amp;"*",Pay_Code,$A49,pp_Hrs_Wkd_Pay_Code,"&gt;="&amp;$V$1,pp_OT_Pay_Code,"&gt;="&amp;$V$2,pp_Bon_Pay_Code,"&gt;="&amp;$V$3,pp_Meal_Pay_Code,"&gt;="&amp;$V$4,pp_Sick_Pay_Code,"&gt;="&amp;$V$5,pp_Diff_Pay_Code,"&gt;="&amp;$V$6),_xlpm.calc2,COUNTIFS(Pay_Key_Gps,"*"&amp;$A$8&amp;"*",Pay_Code,$A49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49" s="138" t="e" cm="1">
        <f t="array" ref="L49">_xlfn.LET(_xlpm.calc,COUNTIFS(Rate_Gp,L$11,Pay_Key_Gps,"*"&amp;$A$8&amp;"*",Pay_Code,$A49,pp_Hrs_Wkd_Pay_Code,"&gt;="&amp;$V$1,pp_OT_Pay_Code,"&gt;="&amp;$V$2,pp_Bon_Pay_Code,"&gt;="&amp;$V$3,pp_Meal_Pay_Code,"&gt;="&amp;$V$4,pp_Sick_Pay_Code,"&gt;="&amp;$V$5,pp_Diff_Pay_Code,"&gt;="&amp;$V$6),_xlpm.calc2,COUNTIFS(Pay_Key_Gps,"*"&amp;$A$8&amp;"*",Pay_Code,$A49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49" s="138" t="e" cm="1">
        <f t="array" ref="M49">_xlfn.LET(_xlpm.calc,COUNTIFS(Rate_Gp,M$11,Pay_Key_Gps,"*"&amp;$A$8&amp;"*",Pay_Code,$A49,pp_Hrs_Wkd_Pay_Code,"&gt;="&amp;$V$1,pp_OT_Pay_Code,"&gt;="&amp;$V$2,pp_Bon_Pay_Code,"&gt;="&amp;$V$3,pp_Meal_Pay_Code,"&gt;="&amp;$V$4,pp_Sick_Pay_Code,"&gt;="&amp;$V$5,pp_Diff_Pay_Code,"&gt;="&amp;$V$6),_xlpm.calc2,COUNTIFS(Pay_Key_Gps,"*"&amp;$A$8&amp;"*",Pay_Code,$A49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49" s="138" t="e" cm="1">
        <f t="array" ref="N49">_xlfn.LET(_xlpm.calc,COUNTIFS(Rate_Gp,N$11,Pay_Key_Gps,"*"&amp;$A$8&amp;"*",Pay_Code,$A49,pp_Hrs_Wkd_Pay_Code,"&gt;="&amp;$V$1,pp_OT_Pay_Code,"&gt;="&amp;$V$2,pp_Bon_Pay_Code,"&gt;="&amp;$V$3,pp_Meal_Pay_Code,"&gt;="&amp;$V$4,pp_Sick_Pay_Code,"&gt;="&amp;$V$5,pp_Diff_Pay_Code,"&gt;="&amp;$V$6),_xlpm.calc2,COUNTIFS(Pay_Key_Gps,"*"&amp;$A$8&amp;"*",Pay_Code,$A49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49" s="138" t="e" cm="1">
        <f t="array" ref="O49">_xlfn.LET(_xlpm.calc,COUNTIFS(Rate_Gp,O$11,Pay_Key_Gps,"*"&amp;$A$8&amp;"*",Pay_Code,$A49,pp_Hrs_Wkd_Pay_Code,"&gt;="&amp;$V$1,pp_OT_Pay_Code,"&gt;="&amp;$V$2,pp_Bon_Pay_Code,"&gt;="&amp;$V$3,pp_Meal_Pay_Code,"&gt;="&amp;$V$4,pp_Sick_Pay_Code,"&gt;="&amp;$V$5,pp_Diff_Pay_Code,"&gt;="&amp;$V$6),_xlpm.calc2,COUNTIFS(Pay_Key_Gps,"*"&amp;$A$8&amp;"*",Pay_Code,$A49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49" s="138" t="e" cm="1">
        <f t="array" ref="P49">_xlfn.LET(_xlpm.calc,COUNTIFS(Rate_Gp,P$11,Pay_Key_Gps,"*"&amp;$A$8&amp;"*",Pay_Code,$A49,pp_Hrs_Wkd_Pay_Code,"&gt;="&amp;$V$1,pp_OT_Pay_Code,"&gt;="&amp;$V$2,pp_Bon_Pay_Code,"&gt;="&amp;$V$3,pp_Meal_Pay_Code,"&gt;="&amp;$V$4,pp_Sick_Pay_Code,"&gt;="&amp;$V$5,pp_Diff_Pay_Code,"&gt;="&amp;$V$6),_xlpm.calc2,COUNTIFS(Pay_Key_Gps,"*"&amp;$A$8&amp;"*",Pay_Code,$A49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49" s="138" t="e" cm="1">
        <f t="array" ref="Q49">_xlfn.LET(_xlpm.calc,COUNTIFS(Rate_Gp,Q$11,Pay_Key_Gps,"*"&amp;$A$8&amp;"*",Pay_Code,$A49,pp_Hrs_Wkd_Pay_Code,"&gt;="&amp;$V$1,pp_OT_Pay_Code,"&gt;="&amp;$V$2,pp_Bon_Pay_Code,"&gt;="&amp;$V$3,pp_Meal_Pay_Code,"&gt;="&amp;$V$4,pp_Sick_Pay_Code,"&gt;="&amp;$V$5,pp_Diff_Pay_Code,"&gt;="&amp;$V$6),_xlpm.calc2,COUNTIFS(Pay_Key_Gps,"*"&amp;$A$8&amp;"*",Pay_Code,$A49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49" s="138" t="e" cm="1">
        <f t="array" ref="R49">_xlfn.LET(_xlpm.calc,COUNTIFS(Rate_Gp,R$11,Pay_Key_Gps,"*"&amp;$A$8&amp;"*",Pay_Code,$A49,pp_Hrs_Wkd_Pay_Code,"&gt;="&amp;$V$1,pp_OT_Pay_Code,"&gt;="&amp;$V$2,pp_Bon_Pay_Code,"&gt;="&amp;$V$3,pp_Meal_Pay_Code,"&gt;="&amp;$V$4,pp_Sick_Pay_Code,"&gt;="&amp;$V$5,pp_Diff_Pay_Code,"&gt;="&amp;$V$6),_xlpm.calc2,COUNTIFS(Pay_Key_Gps,"*"&amp;$A$8&amp;"*",Pay_Code,$A49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49" s="138" t="e" cm="1">
        <f t="array" ref="S49">_xlfn.LET(_xlpm.calc,COUNTIFS(Rate_Gp,S$11,Pay_Key_Gps,"*"&amp;$A$8&amp;"*",Pay_Code,$A49,pp_Hrs_Wkd_Pay_Code,"&gt;="&amp;$V$1,pp_OT_Pay_Code,"&gt;="&amp;$V$2,pp_Bon_Pay_Code,"&gt;="&amp;$V$3,pp_Meal_Pay_Code,"&gt;="&amp;$V$4,pp_Sick_Pay_Code,"&gt;="&amp;$V$5,pp_Diff_Pay_Code,"&gt;="&amp;$V$6),_xlpm.calc2,COUNTIFS(Pay_Key_Gps,"*"&amp;$A$8&amp;"*",Pay_Code,$A49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49" s="138" t="e" cm="1">
        <f t="array" ref="T49">_xlfn.LET(_xlpm.calc,COUNTIFS(Rate_Gp,T$11,Pay_Key_Gps,"*"&amp;$A$8&amp;"*",Pay_Code,$A49,pp_Hrs_Wkd_Pay_Code,"&gt;="&amp;$V$1,pp_OT_Pay_Code,"&gt;="&amp;$V$2,pp_Bon_Pay_Code,"&gt;="&amp;$V$3,pp_Meal_Pay_Code,"&gt;="&amp;$V$4,pp_Sick_Pay_Code,"&gt;="&amp;$V$5,pp_Diff_Pay_Code,"&gt;="&amp;$V$6),_xlpm.calc2,COUNTIFS(Pay_Key_Gps,"*"&amp;$A$8&amp;"*",Pay_Code,$A49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49" s="139" t="e" cm="1">
        <f t="array" ref="U49">_xlfn.LET(_xlpm.calc,COUNTIFS(Pay_Key_Gps,"*"&amp;$A$8&amp;"*",Pay_Code,$A49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49" s="118"/>
      <c r="W49" s="118"/>
      <c r="X49" s="149"/>
      <c r="Y49" s="149"/>
      <c r="Z49" s="149"/>
      <c r="AA49" s="149"/>
      <c r="AB49" s="140" t="e">
        <f t="shared" si="3"/>
        <v>#NAME?</v>
      </c>
    </row>
    <row r="50" spans="1:28" s="122" customFormat="1" x14ac:dyDescent="0.25">
      <c r="A50" s="133"/>
      <c r="B50" s="134" t="e" cm="1">
        <f t="array" ref="B50">_xlfn.LET(_xlpm.calc,_xlfn.MINIFS(Pay_Period_End,Pay_Key_Gps,"*"&amp;$A$8&amp;"*",Pay_Code,$A50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50" s="134" t="e" cm="1">
        <f t="array" ref="C50">_xlfn.LET(_xlpm.calc,_xlfn.MAXIFS(Pay_Period_End,Pay_Key_Gps,"*"&amp;$A$8&amp;"*",Pay_Code,$A50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50" s="135" t="str" cm="1">
        <f t="array" ref="D50">_xlfn.LET(_xlpm.calc,IFERROR(ROWS(_xlfn.UNIQUE(_xlfn._xlws.FILTER(Pay_ID,(IFERROR(SEARCH($A$8,Pay_Key_Gps),0)&gt;0) * (Pay_Code=$A50) * (pp_Hrs_Wkd_Pay_Code &gt;= $V$1) * (pp_OT_Pay_Code &gt;= $V$2) * (pp_Bon_Pay_Code &gt;= $V$3) * (pp_Meal_Pay_Code &gt;= $V$4) * (pp_Sick_Pay_Code &gt;= $V$5) * (pp_Diff_Pay_Code &gt;= $V$6)))),0),_xlpm.perc,_xlpm.calc/D$69,IFERROR(IF(_xlpm.calc&gt;1000,_xlfn.CONCAT(TEXT(_xlpm.calc,"0,000")," (",TEXT(_xlpm.perc,"0.0%"),")"),_xlfn.CONCAT(_xlpm.calc," (",TEXT(_xlpm.perc,"0.0%"),")")),"-"))</f>
        <v>-</v>
      </c>
      <c r="E50" s="135" t="str" cm="1">
        <f t="array" ref="E50">_xlfn.LET(_xlpm.calc,IFERROR(ROWS(_xlfn.UNIQUE(_xlfn._xlws.FILTER(Pay_ID_Period_End,(IFERROR(SEARCH($A$8,Pay_Key_Gps),0)&gt;0) * (Pay_Code=$A50) * (pp_Hrs_Wkd_Pay_Code &gt;= $V$1) * (pp_OT_Pay_Code &gt;= $V$2) * (pp_Bon_Pay_Code &gt;= $V$3) * (pp_Meal_Pay_Code &gt;= $V$4) * (pp_Sick_Pay_Code &gt;= $V$5) * (pp_Diff_Pay_Code &gt;= $V$6)))),0),_xlpm.perc,_xlpm.calc/E$69,IFERROR(IF(_xlpm.calc&gt;1000,_xlfn.CONCAT(TEXT(_xlpm.calc,"0,000")," (",TEXT(_xlpm.perc,"0.0%"),")"),_xlfn.CONCAT(_xlpm.calc," (",TEXT(_xlpm.perc,"0.0%"),")")),"-"))</f>
        <v>-</v>
      </c>
      <c r="F50" s="136" t="e">
        <f t="shared" si="1"/>
        <v>#NAME?</v>
      </c>
      <c r="G50" s="137" t="e">
        <f t="shared" si="2"/>
        <v>#NAME?</v>
      </c>
      <c r="H50" s="137" t="str" cm="1">
        <f t="array" ref="H50">IFERROR(AVERAGEIFS(Pay_Amount,Pay_Key_Gps,"*"&amp;$A$8&amp;"*",Pay_Code,$A50,pp_Hrs_Wkd_Pay_Code,"&gt;="&amp;$V$1,pp_OT_Pay_Code,"&gt;="&amp;$V$2,pp_Bon_Pay_Code,"&gt;="&amp;$V$3,pp_Meal_Pay_Code,"&gt;="&amp;$V$4,pp_Sick_Pay_Code,"&gt;="&amp;$V$5,pp_Diff_Pay_Code,"&gt;="&amp;$V$6),"-")</f>
        <v>-</v>
      </c>
      <c r="J50" s="133">
        <f t="shared" si="5"/>
        <v>0</v>
      </c>
      <c r="K50" s="138" t="e" cm="1">
        <f t="array" ref="K50">_xlfn.LET(_xlpm.calc,COUNTIFS(Rate_Gp,K$11,Pay_Key_Gps,"*"&amp;$A$8&amp;"*",Pay_Code,$A50,pp_Hrs_Wkd_Pay_Code,"&gt;="&amp;$V$1,pp_OT_Pay_Code,"&gt;="&amp;$V$2,pp_Bon_Pay_Code,"&gt;="&amp;$V$3,pp_Meal_Pay_Code,"&gt;="&amp;$V$4,pp_Sick_Pay_Code,"&gt;="&amp;$V$5,pp_Diff_Pay_Code,"&gt;="&amp;$V$6),_xlpm.calc2,COUNTIFS(Pay_Key_Gps,"*"&amp;$A$8&amp;"*",Pay_Code,$A50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50" s="138" t="e" cm="1">
        <f t="array" ref="L50">_xlfn.LET(_xlpm.calc,COUNTIFS(Rate_Gp,L$11,Pay_Key_Gps,"*"&amp;$A$8&amp;"*",Pay_Code,$A50,pp_Hrs_Wkd_Pay_Code,"&gt;="&amp;$V$1,pp_OT_Pay_Code,"&gt;="&amp;$V$2,pp_Bon_Pay_Code,"&gt;="&amp;$V$3,pp_Meal_Pay_Code,"&gt;="&amp;$V$4,pp_Sick_Pay_Code,"&gt;="&amp;$V$5,pp_Diff_Pay_Code,"&gt;="&amp;$V$6),_xlpm.calc2,COUNTIFS(Pay_Key_Gps,"*"&amp;$A$8&amp;"*",Pay_Code,$A50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50" s="138" t="e" cm="1">
        <f t="array" ref="M50">_xlfn.LET(_xlpm.calc,COUNTIFS(Rate_Gp,M$11,Pay_Key_Gps,"*"&amp;$A$8&amp;"*",Pay_Code,$A50,pp_Hrs_Wkd_Pay_Code,"&gt;="&amp;$V$1,pp_OT_Pay_Code,"&gt;="&amp;$V$2,pp_Bon_Pay_Code,"&gt;="&amp;$V$3,pp_Meal_Pay_Code,"&gt;="&amp;$V$4,pp_Sick_Pay_Code,"&gt;="&amp;$V$5,pp_Diff_Pay_Code,"&gt;="&amp;$V$6),_xlpm.calc2,COUNTIFS(Pay_Key_Gps,"*"&amp;$A$8&amp;"*",Pay_Code,$A50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50" s="138" t="e" cm="1">
        <f t="array" ref="N50">_xlfn.LET(_xlpm.calc,COUNTIFS(Rate_Gp,N$11,Pay_Key_Gps,"*"&amp;$A$8&amp;"*",Pay_Code,$A50,pp_Hrs_Wkd_Pay_Code,"&gt;="&amp;$V$1,pp_OT_Pay_Code,"&gt;="&amp;$V$2,pp_Bon_Pay_Code,"&gt;="&amp;$V$3,pp_Meal_Pay_Code,"&gt;="&amp;$V$4,pp_Sick_Pay_Code,"&gt;="&amp;$V$5,pp_Diff_Pay_Code,"&gt;="&amp;$V$6),_xlpm.calc2,COUNTIFS(Pay_Key_Gps,"*"&amp;$A$8&amp;"*",Pay_Code,$A50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50" s="138" t="e" cm="1">
        <f t="array" ref="O50">_xlfn.LET(_xlpm.calc,COUNTIFS(Rate_Gp,O$11,Pay_Key_Gps,"*"&amp;$A$8&amp;"*",Pay_Code,$A50,pp_Hrs_Wkd_Pay_Code,"&gt;="&amp;$V$1,pp_OT_Pay_Code,"&gt;="&amp;$V$2,pp_Bon_Pay_Code,"&gt;="&amp;$V$3,pp_Meal_Pay_Code,"&gt;="&amp;$V$4,pp_Sick_Pay_Code,"&gt;="&amp;$V$5,pp_Diff_Pay_Code,"&gt;="&amp;$V$6),_xlpm.calc2,COUNTIFS(Pay_Key_Gps,"*"&amp;$A$8&amp;"*",Pay_Code,$A50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50" s="138" t="e" cm="1">
        <f t="array" ref="P50">_xlfn.LET(_xlpm.calc,COUNTIFS(Rate_Gp,P$11,Pay_Key_Gps,"*"&amp;$A$8&amp;"*",Pay_Code,$A50,pp_Hrs_Wkd_Pay_Code,"&gt;="&amp;$V$1,pp_OT_Pay_Code,"&gt;="&amp;$V$2,pp_Bon_Pay_Code,"&gt;="&amp;$V$3,pp_Meal_Pay_Code,"&gt;="&amp;$V$4,pp_Sick_Pay_Code,"&gt;="&amp;$V$5,pp_Diff_Pay_Code,"&gt;="&amp;$V$6),_xlpm.calc2,COUNTIFS(Pay_Key_Gps,"*"&amp;$A$8&amp;"*",Pay_Code,$A50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50" s="138" t="e" cm="1">
        <f t="array" ref="Q50">_xlfn.LET(_xlpm.calc,COUNTIFS(Rate_Gp,Q$11,Pay_Key_Gps,"*"&amp;$A$8&amp;"*",Pay_Code,$A50,pp_Hrs_Wkd_Pay_Code,"&gt;="&amp;$V$1,pp_OT_Pay_Code,"&gt;="&amp;$V$2,pp_Bon_Pay_Code,"&gt;="&amp;$V$3,pp_Meal_Pay_Code,"&gt;="&amp;$V$4,pp_Sick_Pay_Code,"&gt;="&amp;$V$5,pp_Diff_Pay_Code,"&gt;="&amp;$V$6),_xlpm.calc2,COUNTIFS(Pay_Key_Gps,"*"&amp;$A$8&amp;"*",Pay_Code,$A50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50" s="138" t="e" cm="1">
        <f t="array" ref="R50">_xlfn.LET(_xlpm.calc,COUNTIFS(Rate_Gp,R$11,Pay_Key_Gps,"*"&amp;$A$8&amp;"*",Pay_Code,$A50,pp_Hrs_Wkd_Pay_Code,"&gt;="&amp;$V$1,pp_OT_Pay_Code,"&gt;="&amp;$V$2,pp_Bon_Pay_Code,"&gt;="&amp;$V$3,pp_Meal_Pay_Code,"&gt;="&amp;$V$4,pp_Sick_Pay_Code,"&gt;="&amp;$V$5,pp_Diff_Pay_Code,"&gt;="&amp;$V$6),_xlpm.calc2,COUNTIFS(Pay_Key_Gps,"*"&amp;$A$8&amp;"*",Pay_Code,$A50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50" s="138" t="e" cm="1">
        <f t="array" ref="S50">_xlfn.LET(_xlpm.calc,COUNTIFS(Rate_Gp,S$11,Pay_Key_Gps,"*"&amp;$A$8&amp;"*",Pay_Code,$A50,pp_Hrs_Wkd_Pay_Code,"&gt;="&amp;$V$1,pp_OT_Pay_Code,"&gt;="&amp;$V$2,pp_Bon_Pay_Code,"&gt;="&amp;$V$3,pp_Meal_Pay_Code,"&gt;="&amp;$V$4,pp_Sick_Pay_Code,"&gt;="&amp;$V$5,pp_Diff_Pay_Code,"&gt;="&amp;$V$6),_xlpm.calc2,COUNTIFS(Pay_Key_Gps,"*"&amp;$A$8&amp;"*",Pay_Code,$A50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50" s="138" t="e" cm="1">
        <f t="array" ref="T50">_xlfn.LET(_xlpm.calc,COUNTIFS(Rate_Gp,T$11,Pay_Key_Gps,"*"&amp;$A$8&amp;"*",Pay_Code,$A50,pp_Hrs_Wkd_Pay_Code,"&gt;="&amp;$V$1,pp_OT_Pay_Code,"&gt;="&amp;$V$2,pp_Bon_Pay_Code,"&gt;="&amp;$V$3,pp_Meal_Pay_Code,"&gt;="&amp;$V$4,pp_Sick_Pay_Code,"&gt;="&amp;$V$5,pp_Diff_Pay_Code,"&gt;="&amp;$V$6),_xlpm.calc2,COUNTIFS(Pay_Key_Gps,"*"&amp;$A$8&amp;"*",Pay_Code,$A50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50" s="139" t="e" cm="1">
        <f t="array" ref="U50">_xlfn.LET(_xlpm.calc,COUNTIFS(Pay_Key_Gps,"*"&amp;$A$8&amp;"*",Pay_Code,$A50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50" s="118"/>
      <c r="W50" s="118"/>
      <c r="X50" s="149"/>
      <c r="Y50" s="149"/>
      <c r="Z50" s="149"/>
      <c r="AA50" s="149"/>
      <c r="AB50" s="140" t="e">
        <f t="shared" si="3"/>
        <v>#NAME?</v>
      </c>
    </row>
    <row r="51" spans="1:28" s="122" customFormat="1" x14ac:dyDescent="0.25">
      <c r="A51" s="133"/>
      <c r="B51" s="134" t="e" cm="1">
        <f t="array" ref="B51">_xlfn.LET(_xlpm.calc,_xlfn.MINIFS(Pay_Period_End,Pay_Key_Gps,"*"&amp;$A$8&amp;"*",Pay_Code,$A51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51" s="134" t="e" cm="1">
        <f t="array" ref="C51">_xlfn.LET(_xlpm.calc,_xlfn.MAXIFS(Pay_Period_End,Pay_Key_Gps,"*"&amp;$A$8&amp;"*",Pay_Code,$A51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51" s="135" t="str" cm="1">
        <f t="array" ref="D51">_xlfn.LET(_xlpm.calc,IFERROR(ROWS(_xlfn.UNIQUE(_xlfn._xlws.FILTER(Pay_ID,(IFERROR(SEARCH($A$8,Pay_Key_Gps),0)&gt;0) * (Pay_Code=$A51) * (pp_Hrs_Wkd_Pay_Code &gt;= $V$1) * (pp_OT_Pay_Code &gt;= $V$2) * (pp_Bon_Pay_Code &gt;= $V$3) * (pp_Meal_Pay_Code &gt;= $V$4) * (pp_Sick_Pay_Code &gt;= $V$5) * (pp_Diff_Pay_Code &gt;= $V$6)))),0),_xlpm.perc,_xlpm.calc/D$69,IFERROR(IF(_xlpm.calc&gt;1000,_xlfn.CONCAT(TEXT(_xlpm.calc,"0,000")," (",TEXT(_xlpm.perc,"0.0%"),")"),_xlfn.CONCAT(_xlpm.calc," (",TEXT(_xlpm.perc,"0.0%"),")")),"-"))</f>
        <v>-</v>
      </c>
      <c r="E51" s="135" t="str" cm="1">
        <f t="array" ref="E51">_xlfn.LET(_xlpm.calc,IFERROR(ROWS(_xlfn.UNIQUE(_xlfn._xlws.FILTER(Pay_ID_Period_End,(IFERROR(SEARCH($A$8,Pay_Key_Gps),0)&gt;0) * (Pay_Code=$A51) * (pp_Hrs_Wkd_Pay_Code &gt;= $V$1) * (pp_OT_Pay_Code &gt;= $V$2) * (pp_Bon_Pay_Code &gt;= $V$3) * (pp_Meal_Pay_Code &gt;= $V$4) * (pp_Sick_Pay_Code &gt;= $V$5) * (pp_Diff_Pay_Code &gt;= $V$6)))),0),_xlpm.perc,_xlpm.calc/E$69,IFERROR(IF(_xlpm.calc&gt;1000,_xlfn.CONCAT(TEXT(_xlpm.calc,"0,000")," (",TEXT(_xlpm.perc,"0.0%"),")"),_xlfn.CONCAT(_xlpm.calc," (",TEXT(_xlpm.perc,"0.0%"),")")),"-"))</f>
        <v>-</v>
      </c>
      <c r="F51" s="136" t="e">
        <f t="shared" si="1"/>
        <v>#NAME?</v>
      </c>
      <c r="G51" s="137" t="e">
        <f t="shared" si="2"/>
        <v>#NAME?</v>
      </c>
      <c r="H51" s="137" t="str" cm="1">
        <f t="array" ref="H51">IFERROR(AVERAGEIFS(Pay_Amount,Pay_Key_Gps,"*"&amp;$A$8&amp;"*",Pay_Code,$A51,pp_Hrs_Wkd_Pay_Code,"&gt;="&amp;$V$1,pp_OT_Pay_Code,"&gt;="&amp;$V$2,pp_Bon_Pay_Code,"&gt;="&amp;$V$3,pp_Meal_Pay_Code,"&gt;="&amp;$V$4,pp_Sick_Pay_Code,"&gt;="&amp;$V$5,pp_Diff_Pay_Code,"&gt;="&amp;$V$6),"-")</f>
        <v>-</v>
      </c>
      <c r="J51" s="133">
        <f t="shared" si="5"/>
        <v>0</v>
      </c>
      <c r="K51" s="138" t="e" cm="1">
        <f t="array" ref="K51">_xlfn.LET(_xlpm.calc,COUNTIFS(Rate_Gp,K$11,Pay_Key_Gps,"*"&amp;$A$8&amp;"*",Pay_Code,$A51,pp_Hrs_Wkd_Pay_Code,"&gt;="&amp;$V$1,pp_OT_Pay_Code,"&gt;="&amp;$V$2,pp_Bon_Pay_Code,"&gt;="&amp;$V$3,pp_Meal_Pay_Code,"&gt;="&amp;$V$4,pp_Sick_Pay_Code,"&gt;="&amp;$V$5,pp_Diff_Pay_Code,"&gt;="&amp;$V$6),_xlpm.calc2,COUNTIFS(Pay_Key_Gps,"*"&amp;$A$8&amp;"*",Pay_Code,$A51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51" s="138" t="e" cm="1">
        <f t="array" ref="L51">_xlfn.LET(_xlpm.calc,COUNTIFS(Rate_Gp,L$11,Pay_Key_Gps,"*"&amp;$A$8&amp;"*",Pay_Code,$A51,pp_Hrs_Wkd_Pay_Code,"&gt;="&amp;$V$1,pp_OT_Pay_Code,"&gt;="&amp;$V$2,pp_Bon_Pay_Code,"&gt;="&amp;$V$3,pp_Meal_Pay_Code,"&gt;="&amp;$V$4,pp_Sick_Pay_Code,"&gt;="&amp;$V$5,pp_Diff_Pay_Code,"&gt;="&amp;$V$6),_xlpm.calc2,COUNTIFS(Pay_Key_Gps,"*"&amp;$A$8&amp;"*",Pay_Code,$A51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51" s="138" t="e" cm="1">
        <f t="array" ref="M51">_xlfn.LET(_xlpm.calc,COUNTIFS(Rate_Gp,M$11,Pay_Key_Gps,"*"&amp;$A$8&amp;"*",Pay_Code,$A51,pp_Hrs_Wkd_Pay_Code,"&gt;="&amp;$V$1,pp_OT_Pay_Code,"&gt;="&amp;$V$2,pp_Bon_Pay_Code,"&gt;="&amp;$V$3,pp_Meal_Pay_Code,"&gt;="&amp;$V$4,pp_Sick_Pay_Code,"&gt;="&amp;$V$5,pp_Diff_Pay_Code,"&gt;="&amp;$V$6),_xlpm.calc2,COUNTIFS(Pay_Key_Gps,"*"&amp;$A$8&amp;"*",Pay_Code,$A51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51" s="138" t="e" cm="1">
        <f t="array" ref="N51">_xlfn.LET(_xlpm.calc,COUNTIFS(Rate_Gp,N$11,Pay_Key_Gps,"*"&amp;$A$8&amp;"*",Pay_Code,$A51,pp_Hrs_Wkd_Pay_Code,"&gt;="&amp;$V$1,pp_OT_Pay_Code,"&gt;="&amp;$V$2,pp_Bon_Pay_Code,"&gt;="&amp;$V$3,pp_Meal_Pay_Code,"&gt;="&amp;$V$4,pp_Sick_Pay_Code,"&gt;="&amp;$V$5,pp_Diff_Pay_Code,"&gt;="&amp;$V$6),_xlpm.calc2,COUNTIFS(Pay_Key_Gps,"*"&amp;$A$8&amp;"*",Pay_Code,$A51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51" s="138" t="e" cm="1">
        <f t="array" ref="O51">_xlfn.LET(_xlpm.calc,COUNTIFS(Rate_Gp,O$11,Pay_Key_Gps,"*"&amp;$A$8&amp;"*",Pay_Code,$A51,pp_Hrs_Wkd_Pay_Code,"&gt;="&amp;$V$1,pp_OT_Pay_Code,"&gt;="&amp;$V$2,pp_Bon_Pay_Code,"&gt;="&amp;$V$3,pp_Meal_Pay_Code,"&gt;="&amp;$V$4,pp_Sick_Pay_Code,"&gt;="&amp;$V$5,pp_Diff_Pay_Code,"&gt;="&amp;$V$6),_xlpm.calc2,COUNTIFS(Pay_Key_Gps,"*"&amp;$A$8&amp;"*",Pay_Code,$A51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51" s="138" t="e" cm="1">
        <f t="array" ref="P51">_xlfn.LET(_xlpm.calc,COUNTIFS(Rate_Gp,P$11,Pay_Key_Gps,"*"&amp;$A$8&amp;"*",Pay_Code,$A51,pp_Hrs_Wkd_Pay_Code,"&gt;="&amp;$V$1,pp_OT_Pay_Code,"&gt;="&amp;$V$2,pp_Bon_Pay_Code,"&gt;="&amp;$V$3,pp_Meal_Pay_Code,"&gt;="&amp;$V$4,pp_Sick_Pay_Code,"&gt;="&amp;$V$5,pp_Diff_Pay_Code,"&gt;="&amp;$V$6),_xlpm.calc2,COUNTIFS(Pay_Key_Gps,"*"&amp;$A$8&amp;"*",Pay_Code,$A51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51" s="138" t="e" cm="1">
        <f t="array" ref="Q51">_xlfn.LET(_xlpm.calc,COUNTIFS(Rate_Gp,Q$11,Pay_Key_Gps,"*"&amp;$A$8&amp;"*",Pay_Code,$A51,pp_Hrs_Wkd_Pay_Code,"&gt;="&amp;$V$1,pp_OT_Pay_Code,"&gt;="&amp;$V$2,pp_Bon_Pay_Code,"&gt;="&amp;$V$3,pp_Meal_Pay_Code,"&gt;="&amp;$V$4,pp_Sick_Pay_Code,"&gt;="&amp;$V$5,pp_Diff_Pay_Code,"&gt;="&amp;$V$6),_xlpm.calc2,COUNTIFS(Pay_Key_Gps,"*"&amp;$A$8&amp;"*",Pay_Code,$A51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51" s="138" t="e" cm="1">
        <f t="array" ref="R51">_xlfn.LET(_xlpm.calc,COUNTIFS(Rate_Gp,R$11,Pay_Key_Gps,"*"&amp;$A$8&amp;"*",Pay_Code,$A51,pp_Hrs_Wkd_Pay_Code,"&gt;="&amp;$V$1,pp_OT_Pay_Code,"&gt;="&amp;$V$2,pp_Bon_Pay_Code,"&gt;="&amp;$V$3,pp_Meal_Pay_Code,"&gt;="&amp;$V$4,pp_Sick_Pay_Code,"&gt;="&amp;$V$5,pp_Diff_Pay_Code,"&gt;="&amp;$V$6),_xlpm.calc2,COUNTIFS(Pay_Key_Gps,"*"&amp;$A$8&amp;"*",Pay_Code,$A51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51" s="138" t="e" cm="1">
        <f t="array" ref="S51">_xlfn.LET(_xlpm.calc,COUNTIFS(Rate_Gp,S$11,Pay_Key_Gps,"*"&amp;$A$8&amp;"*",Pay_Code,$A51,pp_Hrs_Wkd_Pay_Code,"&gt;="&amp;$V$1,pp_OT_Pay_Code,"&gt;="&amp;$V$2,pp_Bon_Pay_Code,"&gt;="&amp;$V$3,pp_Meal_Pay_Code,"&gt;="&amp;$V$4,pp_Sick_Pay_Code,"&gt;="&amp;$V$5,pp_Diff_Pay_Code,"&gt;="&amp;$V$6),_xlpm.calc2,COUNTIFS(Pay_Key_Gps,"*"&amp;$A$8&amp;"*",Pay_Code,$A51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51" s="138" t="e" cm="1">
        <f t="array" ref="T51">_xlfn.LET(_xlpm.calc,COUNTIFS(Rate_Gp,T$11,Pay_Key_Gps,"*"&amp;$A$8&amp;"*",Pay_Code,$A51,pp_Hrs_Wkd_Pay_Code,"&gt;="&amp;$V$1,pp_OT_Pay_Code,"&gt;="&amp;$V$2,pp_Bon_Pay_Code,"&gt;="&amp;$V$3,pp_Meal_Pay_Code,"&gt;="&amp;$V$4,pp_Sick_Pay_Code,"&gt;="&amp;$V$5,pp_Diff_Pay_Code,"&gt;="&amp;$V$6),_xlpm.calc2,COUNTIFS(Pay_Key_Gps,"*"&amp;$A$8&amp;"*",Pay_Code,$A51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51" s="139" t="e" cm="1">
        <f t="array" ref="U51">_xlfn.LET(_xlpm.calc,COUNTIFS(Pay_Key_Gps,"*"&amp;$A$8&amp;"*",Pay_Code,$A51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51" s="118"/>
      <c r="W51" s="118"/>
      <c r="X51" s="149"/>
      <c r="Y51" s="149"/>
      <c r="Z51" s="149"/>
      <c r="AA51" s="149"/>
      <c r="AB51" s="140" t="e">
        <f t="shared" si="3"/>
        <v>#NAME?</v>
      </c>
    </row>
    <row r="52" spans="1:28" s="123" customFormat="1" x14ac:dyDescent="0.25">
      <c r="A52" s="133"/>
      <c r="B52" s="134" t="e" cm="1">
        <f t="array" ref="B52">_xlfn.LET(_xlpm.calc,_xlfn.MINIFS(Pay_Period_End,Pay_Key_Gps,"*"&amp;$A$8&amp;"*",Pay_Code,$A52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52" s="134" t="e" cm="1">
        <f t="array" ref="C52">_xlfn.LET(_xlpm.calc,_xlfn.MAXIFS(Pay_Period_End,Pay_Key_Gps,"*"&amp;$A$8&amp;"*",Pay_Code,$A52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52" s="135" t="str" cm="1">
        <f t="array" ref="D52">_xlfn.LET(_xlpm.calc,IFERROR(ROWS(_xlfn.UNIQUE(_xlfn._xlws.FILTER(Pay_ID,(IFERROR(SEARCH($A$8,Pay_Key_Gps),0)&gt;0) * (Pay_Code=$A52) * (pp_Hrs_Wkd_Pay_Code &gt;= $V$1) * (pp_OT_Pay_Code &gt;= $V$2) * (pp_Bon_Pay_Code &gt;= $V$3) * (pp_Meal_Pay_Code &gt;= $V$4) * (pp_Sick_Pay_Code &gt;= $V$5) * (pp_Diff_Pay_Code &gt;= $V$6)))),0),_xlpm.perc,_xlpm.calc/D$69,IFERROR(IF(_xlpm.calc&gt;1000,_xlfn.CONCAT(TEXT(_xlpm.calc,"0,000")," (",TEXT(_xlpm.perc,"0.0%"),")"),_xlfn.CONCAT(_xlpm.calc," (",TEXT(_xlpm.perc,"0.0%"),")")),"-"))</f>
        <v>-</v>
      </c>
      <c r="E52" s="135" t="str" cm="1">
        <f t="array" ref="E52">_xlfn.LET(_xlpm.calc,IFERROR(ROWS(_xlfn.UNIQUE(_xlfn._xlws.FILTER(Pay_ID_Period_End,(IFERROR(SEARCH($A$8,Pay_Key_Gps),0)&gt;0) * (Pay_Code=$A52) * (pp_Hrs_Wkd_Pay_Code &gt;= $V$1) * (pp_OT_Pay_Code &gt;= $V$2) * (pp_Bon_Pay_Code &gt;= $V$3) * (pp_Meal_Pay_Code &gt;= $V$4) * (pp_Sick_Pay_Code &gt;= $V$5) * (pp_Diff_Pay_Code &gt;= $V$6)))),0),_xlpm.perc,_xlpm.calc/E$69,IFERROR(IF(_xlpm.calc&gt;1000,_xlfn.CONCAT(TEXT(_xlpm.calc,"0,000")," (",TEXT(_xlpm.perc,"0.0%"),")"),_xlfn.CONCAT(_xlpm.calc," (",TEXT(_xlpm.perc,"0.0%"),")")),"-"))</f>
        <v>-</v>
      </c>
      <c r="F52" s="136" t="e">
        <f t="shared" si="1"/>
        <v>#NAME?</v>
      </c>
      <c r="G52" s="137" t="e">
        <f t="shared" si="2"/>
        <v>#NAME?</v>
      </c>
      <c r="H52" s="137" t="str" cm="1">
        <f t="array" ref="H52">IFERROR(AVERAGEIFS(Pay_Amount,Pay_Key_Gps,"*"&amp;$A$8&amp;"*",Pay_Code,$A52,pp_Hrs_Wkd_Pay_Code,"&gt;="&amp;$V$1,pp_OT_Pay_Code,"&gt;="&amp;$V$2,pp_Bon_Pay_Code,"&gt;="&amp;$V$3,pp_Meal_Pay_Code,"&gt;="&amp;$V$4,pp_Sick_Pay_Code,"&gt;="&amp;$V$5,pp_Diff_Pay_Code,"&gt;="&amp;$V$6),"-")</f>
        <v>-</v>
      </c>
      <c r="I52" s="122"/>
      <c r="J52" s="133">
        <f t="shared" si="5"/>
        <v>0</v>
      </c>
      <c r="K52" s="138" t="e" cm="1">
        <f t="array" ref="K52">_xlfn.LET(_xlpm.calc,COUNTIFS(Rate_Gp,K$11,Pay_Key_Gps,"*"&amp;$A$8&amp;"*",Pay_Code,$A52,pp_Hrs_Wkd_Pay_Code,"&gt;="&amp;$V$1,pp_OT_Pay_Code,"&gt;="&amp;$V$2,pp_Bon_Pay_Code,"&gt;="&amp;$V$3,pp_Meal_Pay_Code,"&gt;="&amp;$V$4,pp_Sick_Pay_Code,"&gt;="&amp;$V$5,pp_Diff_Pay_Code,"&gt;="&amp;$V$6),_xlpm.calc2,COUNTIFS(Pay_Key_Gps,"*"&amp;$A$8&amp;"*",Pay_Code,$A52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52" s="138" t="e" cm="1">
        <f t="array" ref="L52">_xlfn.LET(_xlpm.calc,COUNTIFS(Rate_Gp,L$11,Pay_Key_Gps,"*"&amp;$A$8&amp;"*",Pay_Code,$A52,pp_Hrs_Wkd_Pay_Code,"&gt;="&amp;$V$1,pp_OT_Pay_Code,"&gt;="&amp;$V$2,pp_Bon_Pay_Code,"&gt;="&amp;$V$3,pp_Meal_Pay_Code,"&gt;="&amp;$V$4,pp_Sick_Pay_Code,"&gt;="&amp;$V$5,pp_Diff_Pay_Code,"&gt;="&amp;$V$6),_xlpm.calc2,COUNTIFS(Pay_Key_Gps,"*"&amp;$A$8&amp;"*",Pay_Code,$A52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52" s="138" t="e" cm="1">
        <f t="array" ref="M52">_xlfn.LET(_xlpm.calc,COUNTIFS(Rate_Gp,M$11,Pay_Key_Gps,"*"&amp;$A$8&amp;"*",Pay_Code,$A52,pp_Hrs_Wkd_Pay_Code,"&gt;="&amp;$V$1,pp_OT_Pay_Code,"&gt;="&amp;$V$2,pp_Bon_Pay_Code,"&gt;="&amp;$V$3,pp_Meal_Pay_Code,"&gt;="&amp;$V$4,pp_Sick_Pay_Code,"&gt;="&amp;$V$5,pp_Diff_Pay_Code,"&gt;="&amp;$V$6),_xlpm.calc2,COUNTIFS(Pay_Key_Gps,"*"&amp;$A$8&amp;"*",Pay_Code,$A52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52" s="138" t="e" cm="1">
        <f t="array" ref="N52">_xlfn.LET(_xlpm.calc,COUNTIFS(Rate_Gp,N$11,Pay_Key_Gps,"*"&amp;$A$8&amp;"*",Pay_Code,$A52,pp_Hrs_Wkd_Pay_Code,"&gt;="&amp;$V$1,pp_OT_Pay_Code,"&gt;="&amp;$V$2,pp_Bon_Pay_Code,"&gt;="&amp;$V$3,pp_Meal_Pay_Code,"&gt;="&amp;$V$4,pp_Sick_Pay_Code,"&gt;="&amp;$V$5,pp_Diff_Pay_Code,"&gt;="&amp;$V$6),_xlpm.calc2,COUNTIFS(Pay_Key_Gps,"*"&amp;$A$8&amp;"*",Pay_Code,$A52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52" s="138" t="e" cm="1">
        <f t="array" ref="O52">_xlfn.LET(_xlpm.calc,COUNTIFS(Rate_Gp,O$11,Pay_Key_Gps,"*"&amp;$A$8&amp;"*",Pay_Code,$A52,pp_Hrs_Wkd_Pay_Code,"&gt;="&amp;$V$1,pp_OT_Pay_Code,"&gt;="&amp;$V$2,pp_Bon_Pay_Code,"&gt;="&amp;$V$3,pp_Meal_Pay_Code,"&gt;="&amp;$V$4,pp_Sick_Pay_Code,"&gt;="&amp;$V$5,pp_Diff_Pay_Code,"&gt;="&amp;$V$6),_xlpm.calc2,COUNTIFS(Pay_Key_Gps,"*"&amp;$A$8&amp;"*",Pay_Code,$A52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52" s="138" t="e" cm="1">
        <f t="array" ref="P52">_xlfn.LET(_xlpm.calc,COUNTIFS(Rate_Gp,P$11,Pay_Key_Gps,"*"&amp;$A$8&amp;"*",Pay_Code,$A52,pp_Hrs_Wkd_Pay_Code,"&gt;="&amp;$V$1,pp_OT_Pay_Code,"&gt;="&amp;$V$2,pp_Bon_Pay_Code,"&gt;="&amp;$V$3,pp_Meal_Pay_Code,"&gt;="&amp;$V$4,pp_Sick_Pay_Code,"&gt;="&amp;$V$5,pp_Diff_Pay_Code,"&gt;="&amp;$V$6),_xlpm.calc2,COUNTIFS(Pay_Key_Gps,"*"&amp;$A$8&amp;"*",Pay_Code,$A52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52" s="138" t="e" cm="1">
        <f t="array" ref="Q52">_xlfn.LET(_xlpm.calc,COUNTIFS(Rate_Gp,Q$11,Pay_Key_Gps,"*"&amp;$A$8&amp;"*",Pay_Code,$A52,pp_Hrs_Wkd_Pay_Code,"&gt;="&amp;$V$1,pp_OT_Pay_Code,"&gt;="&amp;$V$2,pp_Bon_Pay_Code,"&gt;="&amp;$V$3,pp_Meal_Pay_Code,"&gt;="&amp;$V$4,pp_Sick_Pay_Code,"&gt;="&amp;$V$5,pp_Diff_Pay_Code,"&gt;="&amp;$V$6),_xlpm.calc2,COUNTIFS(Pay_Key_Gps,"*"&amp;$A$8&amp;"*",Pay_Code,$A52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52" s="138" t="e" cm="1">
        <f t="array" ref="R52">_xlfn.LET(_xlpm.calc,COUNTIFS(Rate_Gp,R$11,Pay_Key_Gps,"*"&amp;$A$8&amp;"*",Pay_Code,$A52,pp_Hrs_Wkd_Pay_Code,"&gt;="&amp;$V$1,pp_OT_Pay_Code,"&gt;="&amp;$V$2,pp_Bon_Pay_Code,"&gt;="&amp;$V$3,pp_Meal_Pay_Code,"&gt;="&amp;$V$4,pp_Sick_Pay_Code,"&gt;="&amp;$V$5,pp_Diff_Pay_Code,"&gt;="&amp;$V$6),_xlpm.calc2,COUNTIFS(Pay_Key_Gps,"*"&amp;$A$8&amp;"*",Pay_Code,$A52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52" s="138" t="e" cm="1">
        <f t="array" ref="S52">_xlfn.LET(_xlpm.calc,COUNTIFS(Rate_Gp,S$11,Pay_Key_Gps,"*"&amp;$A$8&amp;"*",Pay_Code,$A52,pp_Hrs_Wkd_Pay_Code,"&gt;="&amp;$V$1,pp_OT_Pay_Code,"&gt;="&amp;$V$2,pp_Bon_Pay_Code,"&gt;="&amp;$V$3,pp_Meal_Pay_Code,"&gt;="&amp;$V$4,pp_Sick_Pay_Code,"&gt;="&amp;$V$5,pp_Diff_Pay_Code,"&gt;="&amp;$V$6),_xlpm.calc2,COUNTIFS(Pay_Key_Gps,"*"&amp;$A$8&amp;"*",Pay_Code,$A52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52" s="138" t="e" cm="1">
        <f t="array" ref="T52">_xlfn.LET(_xlpm.calc,COUNTIFS(Rate_Gp,T$11,Pay_Key_Gps,"*"&amp;$A$8&amp;"*",Pay_Code,$A52,pp_Hrs_Wkd_Pay_Code,"&gt;="&amp;$V$1,pp_OT_Pay_Code,"&gt;="&amp;$V$2,pp_Bon_Pay_Code,"&gt;="&amp;$V$3,pp_Meal_Pay_Code,"&gt;="&amp;$V$4,pp_Sick_Pay_Code,"&gt;="&amp;$V$5,pp_Diff_Pay_Code,"&gt;="&amp;$V$6),_xlpm.calc2,COUNTIFS(Pay_Key_Gps,"*"&amp;$A$8&amp;"*",Pay_Code,$A52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52" s="139" t="e" cm="1">
        <f t="array" ref="U52">_xlfn.LET(_xlpm.calc,COUNTIFS(Pay_Key_Gps,"*"&amp;$A$8&amp;"*",Pay_Code,$A52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52" s="118"/>
      <c r="W52" s="121"/>
      <c r="X52" s="149"/>
      <c r="Y52" s="149"/>
      <c r="Z52" s="149"/>
      <c r="AA52" s="149"/>
      <c r="AB52" s="140" t="e">
        <f t="shared" si="3"/>
        <v>#NAME?</v>
      </c>
    </row>
    <row r="53" spans="1:28" s="122" customFormat="1" x14ac:dyDescent="0.25">
      <c r="A53" s="133"/>
      <c r="B53" s="134" t="e" cm="1">
        <f t="array" ref="B53">_xlfn.LET(_xlpm.calc,_xlfn.MINIFS(Pay_Period_End,Pay_Key_Gps,"*"&amp;$A$8&amp;"*",Pay_Code,$A53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53" s="134" t="e" cm="1">
        <f t="array" ref="C53">_xlfn.LET(_xlpm.calc,_xlfn.MAXIFS(Pay_Period_End,Pay_Key_Gps,"*"&amp;$A$8&amp;"*",Pay_Code,$A53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53" s="135" t="str" cm="1">
        <f t="array" ref="D53">_xlfn.LET(_xlpm.calc,IFERROR(ROWS(_xlfn.UNIQUE(_xlfn._xlws.FILTER(Pay_ID,(IFERROR(SEARCH($A$8,Pay_Key_Gps),0)&gt;0) * (Pay_Code=$A53) * (pp_Hrs_Wkd_Pay_Code &gt;= $V$1) * (pp_OT_Pay_Code &gt;= $V$2) * (pp_Bon_Pay_Code &gt;= $V$3) * (pp_Meal_Pay_Code &gt;= $V$4) * (pp_Sick_Pay_Code &gt;= $V$5) * (pp_Diff_Pay_Code &gt;= $V$6)))),0),_xlpm.perc,_xlpm.calc/D$69,IFERROR(IF(_xlpm.calc&gt;1000,_xlfn.CONCAT(TEXT(_xlpm.calc,"0,000")," (",TEXT(_xlpm.perc,"0.0%"),")"),_xlfn.CONCAT(_xlpm.calc," (",TEXT(_xlpm.perc,"0.0%"),")")),"-"))</f>
        <v>-</v>
      </c>
      <c r="E53" s="135" t="str" cm="1">
        <f t="array" ref="E53">_xlfn.LET(_xlpm.calc,IFERROR(ROWS(_xlfn.UNIQUE(_xlfn._xlws.FILTER(Pay_ID_Period_End,(IFERROR(SEARCH($A$8,Pay_Key_Gps),0)&gt;0) * (Pay_Code=$A53) * (pp_Hrs_Wkd_Pay_Code &gt;= $V$1) * (pp_OT_Pay_Code &gt;= $V$2) * (pp_Bon_Pay_Code &gt;= $V$3) * (pp_Meal_Pay_Code &gt;= $V$4) * (pp_Sick_Pay_Code &gt;= $V$5) * (pp_Diff_Pay_Code &gt;= $V$6)))),0),_xlpm.perc,_xlpm.calc/E$69,IFERROR(IF(_xlpm.calc&gt;1000,_xlfn.CONCAT(TEXT(_xlpm.calc,"0,000")," (",TEXT(_xlpm.perc,"0.0%"),")"),_xlfn.CONCAT(_xlpm.calc," (",TEXT(_xlpm.perc,"0.0%"),")")),"-"))</f>
        <v>-</v>
      </c>
      <c r="F53" s="136" t="e">
        <f t="shared" si="1"/>
        <v>#NAME?</v>
      </c>
      <c r="G53" s="137" t="e">
        <f t="shared" si="2"/>
        <v>#NAME?</v>
      </c>
      <c r="H53" s="137" t="str" cm="1">
        <f t="array" ref="H53">IFERROR(AVERAGEIFS(Pay_Amount,Pay_Key_Gps,"*"&amp;$A$8&amp;"*",Pay_Code,$A53,pp_Hrs_Wkd_Pay_Code,"&gt;="&amp;$V$1,pp_OT_Pay_Code,"&gt;="&amp;$V$2,pp_Bon_Pay_Code,"&gt;="&amp;$V$3,pp_Meal_Pay_Code,"&gt;="&amp;$V$4,pp_Sick_Pay_Code,"&gt;="&amp;$V$5,pp_Diff_Pay_Code,"&gt;="&amp;$V$6),"-")</f>
        <v>-</v>
      </c>
      <c r="J53" s="133">
        <f t="shared" si="5"/>
        <v>0</v>
      </c>
      <c r="K53" s="138" t="e" cm="1">
        <f t="array" ref="K53">_xlfn.LET(_xlpm.calc,COUNTIFS(Rate_Gp,K$11,Pay_Key_Gps,"*"&amp;$A$8&amp;"*",Pay_Code,$A53,pp_Hrs_Wkd_Pay_Code,"&gt;="&amp;$V$1,pp_OT_Pay_Code,"&gt;="&amp;$V$2,pp_Bon_Pay_Code,"&gt;="&amp;$V$3,pp_Meal_Pay_Code,"&gt;="&amp;$V$4,pp_Sick_Pay_Code,"&gt;="&amp;$V$5,pp_Diff_Pay_Code,"&gt;="&amp;$V$6),_xlpm.calc2,COUNTIFS(Pay_Key_Gps,"*"&amp;$A$8&amp;"*",Pay_Code,$A53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53" s="138" t="e" cm="1">
        <f t="array" ref="L53">_xlfn.LET(_xlpm.calc,COUNTIFS(Rate_Gp,L$11,Pay_Key_Gps,"*"&amp;$A$8&amp;"*",Pay_Code,$A53,pp_Hrs_Wkd_Pay_Code,"&gt;="&amp;$V$1,pp_OT_Pay_Code,"&gt;="&amp;$V$2,pp_Bon_Pay_Code,"&gt;="&amp;$V$3,pp_Meal_Pay_Code,"&gt;="&amp;$V$4,pp_Sick_Pay_Code,"&gt;="&amp;$V$5,pp_Diff_Pay_Code,"&gt;="&amp;$V$6),_xlpm.calc2,COUNTIFS(Pay_Key_Gps,"*"&amp;$A$8&amp;"*",Pay_Code,$A53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53" s="138" t="e" cm="1">
        <f t="array" ref="M53">_xlfn.LET(_xlpm.calc,COUNTIFS(Rate_Gp,M$11,Pay_Key_Gps,"*"&amp;$A$8&amp;"*",Pay_Code,$A53,pp_Hrs_Wkd_Pay_Code,"&gt;="&amp;$V$1,pp_OT_Pay_Code,"&gt;="&amp;$V$2,pp_Bon_Pay_Code,"&gt;="&amp;$V$3,pp_Meal_Pay_Code,"&gt;="&amp;$V$4,pp_Sick_Pay_Code,"&gt;="&amp;$V$5,pp_Diff_Pay_Code,"&gt;="&amp;$V$6),_xlpm.calc2,COUNTIFS(Pay_Key_Gps,"*"&amp;$A$8&amp;"*",Pay_Code,$A53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53" s="138" t="e" cm="1">
        <f t="array" ref="N53">_xlfn.LET(_xlpm.calc,COUNTIFS(Rate_Gp,N$11,Pay_Key_Gps,"*"&amp;$A$8&amp;"*",Pay_Code,$A53,pp_Hrs_Wkd_Pay_Code,"&gt;="&amp;$V$1,pp_OT_Pay_Code,"&gt;="&amp;$V$2,pp_Bon_Pay_Code,"&gt;="&amp;$V$3,pp_Meal_Pay_Code,"&gt;="&amp;$V$4,pp_Sick_Pay_Code,"&gt;="&amp;$V$5,pp_Diff_Pay_Code,"&gt;="&amp;$V$6),_xlpm.calc2,COUNTIFS(Pay_Key_Gps,"*"&amp;$A$8&amp;"*",Pay_Code,$A53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53" s="138" t="e" cm="1">
        <f t="array" ref="O53">_xlfn.LET(_xlpm.calc,COUNTIFS(Rate_Gp,O$11,Pay_Key_Gps,"*"&amp;$A$8&amp;"*",Pay_Code,$A53,pp_Hrs_Wkd_Pay_Code,"&gt;="&amp;$V$1,pp_OT_Pay_Code,"&gt;="&amp;$V$2,pp_Bon_Pay_Code,"&gt;="&amp;$V$3,pp_Meal_Pay_Code,"&gt;="&amp;$V$4,pp_Sick_Pay_Code,"&gt;="&amp;$V$5,pp_Diff_Pay_Code,"&gt;="&amp;$V$6),_xlpm.calc2,COUNTIFS(Pay_Key_Gps,"*"&amp;$A$8&amp;"*",Pay_Code,$A53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53" s="138" t="e" cm="1">
        <f t="array" ref="P53">_xlfn.LET(_xlpm.calc,COUNTIFS(Rate_Gp,P$11,Pay_Key_Gps,"*"&amp;$A$8&amp;"*",Pay_Code,$A53,pp_Hrs_Wkd_Pay_Code,"&gt;="&amp;$V$1,pp_OT_Pay_Code,"&gt;="&amp;$V$2,pp_Bon_Pay_Code,"&gt;="&amp;$V$3,pp_Meal_Pay_Code,"&gt;="&amp;$V$4,pp_Sick_Pay_Code,"&gt;="&amp;$V$5,pp_Diff_Pay_Code,"&gt;="&amp;$V$6),_xlpm.calc2,COUNTIFS(Pay_Key_Gps,"*"&amp;$A$8&amp;"*",Pay_Code,$A53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53" s="138" t="e" cm="1">
        <f t="array" ref="Q53">_xlfn.LET(_xlpm.calc,COUNTIFS(Rate_Gp,Q$11,Pay_Key_Gps,"*"&amp;$A$8&amp;"*",Pay_Code,$A53,pp_Hrs_Wkd_Pay_Code,"&gt;="&amp;$V$1,pp_OT_Pay_Code,"&gt;="&amp;$V$2,pp_Bon_Pay_Code,"&gt;="&amp;$V$3,pp_Meal_Pay_Code,"&gt;="&amp;$V$4,pp_Sick_Pay_Code,"&gt;="&amp;$V$5,pp_Diff_Pay_Code,"&gt;="&amp;$V$6),_xlpm.calc2,COUNTIFS(Pay_Key_Gps,"*"&amp;$A$8&amp;"*",Pay_Code,$A53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53" s="138" t="e" cm="1">
        <f t="array" ref="R53">_xlfn.LET(_xlpm.calc,COUNTIFS(Rate_Gp,R$11,Pay_Key_Gps,"*"&amp;$A$8&amp;"*",Pay_Code,$A53,pp_Hrs_Wkd_Pay_Code,"&gt;="&amp;$V$1,pp_OT_Pay_Code,"&gt;="&amp;$V$2,pp_Bon_Pay_Code,"&gt;="&amp;$V$3,pp_Meal_Pay_Code,"&gt;="&amp;$V$4,pp_Sick_Pay_Code,"&gt;="&amp;$V$5,pp_Diff_Pay_Code,"&gt;="&amp;$V$6),_xlpm.calc2,COUNTIFS(Pay_Key_Gps,"*"&amp;$A$8&amp;"*",Pay_Code,$A53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53" s="138" t="e" cm="1">
        <f t="array" ref="S53">_xlfn.LET(_xlpm.calc,COUNTIFS(Rate_Gp,S$11,Pay_Key_Gps,"*"&amp;$A$8&amp;"*",Pay_Code,$A53,pp_Hrs_Wkd_Pay_Code,"&gt;="&amp;$V$1,pp_OT_Pay_Code,"&gt;="&amp;$V$2,pp_Bon_Pay_Code,"&gt;="&amp;$V$3,pp_Meal_Pay_Code,"&gt;="&amp;$V$4,pp_Sick_Pay_Code,"&gt;="&amp;$V$5,pp_Diff_Pay_Code,"&gt;="&amp;$V$6),_xlpm.calc2,COUNTIFS(Pay_Key_Gps,"*"&amp;$A$8&amp;"*",Pay_Code,$A53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53" s="138" t="e" cm="1">
        <f t="array" ref="T53">_xlfn.LET(_xlpm.calc,COUNTIFS(Rate_Gp,T$11,Pay_Key_Gps,"*"&amp;$A$8&amp;"*",Pay_Code,$A53,pp_Hrs_Wkd_Pay_Code,"&gt;="&amp;$V$1,pp_OT_Pay_Code,"&gt;="&amp;$V$2,pp_Bon_Pay_Code,"&gt;="&amp;$V$3,pp_Meal_Pay_Code,"&gt;="&amp;$V$4,pp_Sick_Pay_Code,"&gt;="&amp;$V$5,pp_Diff_Pay_Code,"&gt;="&amp;$V$6),_xlpm.calc2,COUNTIFS(Pay_Key_Gps,"*"&amp;$A$8&amp;"*",Pay_Code,$A53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53" s="139" t="e" cm="1">
        <f t="array" ref="U53">_xlfn.LET(_xlpm.calc,COUNTIFS(Pay_Key_Gps,"*"&amp;$A$8&amp;"*",Pay_Code,$A53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53" s="118"/>
      <c r="W53" s="118"/>
      <c r="X53" s="149"/>
      <c r="Y53" s="149"/>
      <c r="Z53" s="149"/>
      <c r="AA53" s="149"/>
      <c r="AB53" s="140" t="e">
        <f t="shared" si="3"/>
        <v>#NAME?</v>
      </c>
    </row>
    <row r="54" spans="1:28" s="122" customFormat="1" x14ac:dyDescent="0.25">
      <c r="A54" s="133"/>
      <c r="B54" s="134" t="e" cm="1">
        <f t="array" ref="B54">_xlfn.LET(_xlpm.calc,_xlfn.MINIFS(Pay_Period_End,Pay_Key_Gps,"*"&amp;$A$8&amp;"*",Pay_Code,$A54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54" s="134" t="e" cm="1">
        <f t="array" ref="C54">_xlfn.LET(_xlpm.calc,_xlfn.MAXIFS(Pay_Period_End,Pay_Key_Gps,"*"&amp;$A$8&amp;"*",Pay_Code,$A54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54" s="135" t="str" cm="1">
        <f t="array" ref="D54">_xlfn.LET(_xlpm.calc,IFERROR(ROWS(_xlfn.UNIQUE(_xlfn._xlws.FILTER(Pay_ID,(IFERROR(SEARCH($A$8,Pay_Key_Gps),0)&gt;0) * (Pay_Code=$A54) * (pp_Hrs_Wkd_Pay_Code &gt;= $V$1) * (pp_OT_Pay_Code &gt;= $V$2) * (pp_Bon_Pay_Code &gt;= $V$3) * (pp_Meal_Pay_Code &gt;= $V$4) * (pp_Sick_Pay_Code &gt;= $V$5) * (pp_Diff_Pay_Code &gt;= $V$6)))),0),_xlpm.perc,_xlpm.calc/D$69,IFERROR(IF(_xlpm.calc&gt;1000,_xlfn.CONCAT(TEXT(_xlpm.calc,"0,000")," (",TEXT(_xlpm.perc,"0.0%"),")"),_xlfn.CONCAT(_xlpm.calc," (",TEXT(_xlpm.perc,"0.0%"),")")),"-"))</f>
        <v>-</v>
      </c>
      <c r="E54" s="135" t="str" cm="1">
        <f t="array" ref="E54">_xlfn.LET(_xlpm.calc,IFERROR(ROWS(_xlfn.UNIQUE(_xlfn._xlws.FILTER(Pay_ID_Period_End,(IFERROR(SEARCH($A$8,Pay_Key_Gps),0)&gt;0) * (Pay_Code=$A54) * (pp_Hrs_Wkd_Pay_Code &gt;= $V$1) * (pp_OT_Pay_Code &gt;= $V$2) * (pp_Bon_Pay_Code &gt;= $V$3) * (pp_Meal_Pay_Code &gt;= $V$4) * (pp_Sick_Pay_Code &gt;= $V$5) * (pp_Diff_Pay_Code &gt;= $V$6)))),0),_xlpm.perc,_xlpm.calc/E$69,IFERROR(IF(_xlpm.calc&gt;1000,_xlfn.CONCAT(TEXT(_xlpm.calc,"0,000")," (",TEXT(_xlpm.perc,"0.0%"),")"),_xlfn.CONCAT(_xlpm.calc," (",TEXT(_xlpm.perc,"0.0%"),")")),"-"))</f>
        <v>-</v>
      </c>
      <c r="F54" s="136" t="e">
        <f t="shared" si="1"/>
        <v>#NAME?</v>
      </c>
      <c r="G54" s="137" t="e">
        <f t="shared" si="2"/>
        <v>#NAME?</v>
      </c>
      <c r="H54" s="137" t="str" cm="1">
        <f t="array" ref="H54">IFERROR(AVERAGEIFS(Pay_Amount,Pay_Key_Gps,"*"&amp;$A$8&amp;"*",Pay_Code,$A54,pp_Hrs_Wkd_Pay_Code,"&gt;="&amp;$V$1,pp_OT_Pay_Code,"&gt;="&amp;$V$2,pp_Bon_Pay_Code,"&gt;="&amp;$V$3,pp_Meal_Pay_Code,"&gt;="&amp;$V$4,pp_Sick_Pay_Code,"&gt;="&amp;$V$5,pp_Diff_Pay_Code,"&gt;="&amp;$V$6),"-")</f>
        <v>-</v>
      </c>
      <c r="J54" s="133">
        <f t="shared" si="5"/>
        <v>0</v>
      </c>
      <c r="K54" s="138" t="e" cm="1">
        <f t="array" ref="K54">_xlfn.LET(_xlpm.calc,COUNTIFS(Rate_Gp,K$11,Pay_Key_Gps,"*"&amp;$A$8&amp;"*",Pay_Code,$A54,pp_Hrs_Wkd_Pay_Code,"&gt;="&amp;$V$1,pp_OT_Pay_Code,"&gt;="&amp;$V$2,pp_Bon_Pay_Code,"&gt;="&amp;$V$3,pp_Meal_Pay_Code,"&gt;="&amp;$V$4,pp_Sick_Pay_Code,"&gt;="&amp;$V$5,pp_Diff_Pay_Code,"&gt;="&amp;$V$6),_xlpm.calc2,COUNTIFS(Pay_Key_Gps,"*"&amp;$A$8&amp;"*",Pay_Code,$A54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54" s="138" t="e" cm="1">
        <f t="array" ref="L54">_xlfn.LET(_xlpm.calc,COUNTIFS(Rate_Gp,L$11,Pay_Key_Gps,"*"&amp;$A$8&amp;"*",Pay_Code,$A54,pp_Hrs_Wkd_Pay_Code,"&gt;="&amp;$V$1,pp_OT_Pay_Code,"&gt;="&amp;$V$2,pp_Bon_Pay_Code,"&gt;="&amp;$V$3,pp_Meal_Pay_Code,"&gt;="&amp;$V$4,pp_Sick_Pay_Code,"&gt;="&amp;$V$5,pp_Diff_Pay_Code,"&gt;="&amp;$V$6),_xlpm.calc2,COUNTIFS(Pay_Key_Gps,"*"&amp;$A$8&amp;"*",Pay_Code,$A54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54" s="138" t="e" cm="1">
        <f t="array" ref="M54">_xlfn.LET(_xlpm.calc,COUNTIFS(Rate_Gp,M$11,Pay_Key_Gps,"*"&amp;$A$8&amp;"*",Pay_Code,$A54,pp_Hrs_Wkd_Pay_Code,"&gt;="&amp;$V$1,pp_OT_Pay_Code,"&gt;="&amp;$V$2,pp_Bon_Pay_Code,"&gt;="&amp;$V$3,pp_Meal_Pay_Code,"&gt;="&amp;$V$4,pp_Sick_Pay_Code,"&gt;="&amp;$V$5,pp_Diff_Pay_Code,"&gt;="&amp;$V$6),_xlpm.calc2,COUNTIFS(Pay_Key_Gps,"*"&amp;$A$8&amp;"*",Pay_Code,$A54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54" s="138" t="e" cm="1">
        <f t="array" ref="N54">_xlfn.LET(_xlpm.calc,COUNTIFS(Rate_Gp,N$11,Pay_Key_Gps,"*"&amp;$A$8&amp;"*",Pay_Code,$A54,pp_Hrs_Wkd_Pay_Code,"&gt;="&amp;$V$1,pp_OT_Pay_Code,"&gt;="&amp;$V$2,pp_Bon_Pay_Code,"&gt;="&amp;$V$3,pp_Meal_Pay_Code,"&gt;="&amp;$V$4,pp_Sick_Pay_Code,"&gt;="&amp;$V$5,pp_Diff_Pay_Code,"&gt;="&amp;$V$6),_xlpm.calc2,COUNTIFS(Pay_Key_Gps,"*"&amp;$A$8&amp;"*",Pay_Code,$A54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54" s="138" t="e" cm="1">
        <f t="array" ref="O54">_xlfn.LET(_xlpm.calc,COUNTIFS(Rate_Gp,O$11,Pay_Key_Gps,"*"&amp;$A$8&amp;"*",Pay_Code,$A54,pp_Hrs_Wkd_Pay_Code,"&gt;="&amp;$V$1,pp_OT_Pay_Code,"&gt;="&amp;$V$2,pp_Bon_Pay_Code,"&gt;="&amp;$V$3,pp_Meal_Pay_Code,"&gt;="&amp;$V$4,pp_Sick_Pay_Code,"&gt;="&amp;$V$5,pp_Diff_Pay_Code,"&gt;="&amp;$V$6),_xlpm.calc2,COUNTIFS(Pay_Key_Gps,"*"&amp;$A$8&amp;"*",Pay_Code,$A54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54" s="138" t="e" cm="1">
        <f t="array" ref="P54">_xlfn.LET(_xlpm.calc,COUNTIFS(Rate_Gp,P$11,Pay_Key_Gps,"*"&amp;$A$8&amp;"*",Pay_Code,$A54,pp_Hrs_Wkd_Pay_Code,"&gt;="&amp;$V$1,pp_OT_Pay_Code,"&gt;="&amp;$V$2,pp_Bon_Pay_Code,"&gt;="&amp;$V$3,pp_Meal_Pay_Code,"&gt;="&amp;$V$4,pp_Sick_Pay_Code,"&gt;="&amp;$V$5,pp_Diff_Pay_Code,"&gt;="&amp;$V$6),_xlpm.calc2,COUNTIFS(Pay_Key_Gps,"*"&amp;$A$8&amp;"*",Pay_Code,$A54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54" s="138" t="e" cm="1">
        <f t="array" ref="Q54">_xlfn.LET(_xlpm.calc,COUNTIFS(Rate_Gp,Q$11,Pay_Key_Gps,"*"&amp;$A$8&amp;"*",Pay_Code,$A54,pp_Hrs_Wkd_Pay_Code,"&gt;="&amp;$V$1,pp_OT_Pay_Code,"&gt;="&amp;$V$2,pp_Bon_Pay_Code,"&gt;="&amp;$V$3,pp_Meal_Pay_Code,"&gt;="&amp;$V$4,pp_Sick_Pay_Code,"&gt;="&amp;$V$5,pp_Diff_Pay_Code,"&gt;="&amp;$V$6),_xlpm.calc2,COUNTIFS(Pay_Key_Gps,"*"&amp;$A$8&amp;"*",Pay_Code,$A54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54" s="138" t="e" cm="1">
        <f t="array" ref="R54">_xlfn.LET(_xlpm.calc,COUNTIFS(Rate_Gp,R$11,Pay_Key_Gps,"*"&amp;$A$8&amp;"*",Pay_Code,$A54,pp_Hrs_Wkd_Pay_Code,"&gt;="&amp;$V$1,pp_OT_Pay_Code,"&gt;="&amp;$V$2,pp_Bon_Pay_Code,"&gt;="&amp;$V$3,pp_Meal_Pay_Code,"&gt;="&amp;$V$4,pp_Sick_Pay_Code,"&gt;="&amp;$V$5,pp_Diff_Pay_Code,"&gt;="&amp;$V$6),_xlpm.calc2,COUNTIFS(Pay_Key_Gps,"*"&amp;$A$8&amp;"*",Pay_Code,$A54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54" s="138" t="e" cm="1">
        <f t="array" ref="S54">_xlfn.LET(_xlpm.calc,COUNTIFS(Rate_Gp,S$11,Pay_Key_Gps,"*"&amp;$A$8&amp;"*",Pay_Code,$A54,pp_Hrs_Wkd_Pay_Code,"&gt;="&amp;$V$1,pp_OT_Pay_Code,"&gt;="&amp;$V$2,pp_Bon_Pay_Code,"&gt;="&amp;$V$3,pp_Meal_Pay_Code,"&gt;="&amp;$V$4,pp_Sick_Pay_Code,"&gt;="&amp;$V$5,pp_Diff_Pay_Code,"&gt;="&amp;$V$6),_xlpm.calc2,COUNTIFS(Pay_Key_Gps,"*"&amp;$A$8&amp;"*",Pay_Code,$A54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54" s="138" t="e" cm="1">
        <f t="array" ref="T54">_xlfn.LET(_xlpm.calc,COUNTIFS(Rate_Gp,T$11,Pay_Key_Gps,"*"&amp;$A$8&amp;"*",Pay_Code,$A54,pp_Hrs_Wkd_Pay_Code,"&gt;="&amp;$V$1,pp_OT_Pay_Code,"&gt;="&amp;$V$2,pp_Bon_Pay_Code,"&gt;="&amp;$V$3,pp_Meal_Pay_Code,"&gt;="&amp;$V$4,pp_Sick_Pay_Code,"&gt;="&amp;$V$5,pp_Diff_Pay_Code,"&gt;="&amp;$V$6),_xlpm.calc2,COUNTIFS(Pay_Key_Gps,"*"&amp;$A$8&amp;"*",Pay_Code,$A54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54" s="139" t="e" cm="1">
        <f t="array" ref="U54">_xlfn.LET(_xlpm.calc,COUNTIFS(Pay_Key_Gps,"*"&amp;$A$8&amp;"*",Pay_Code,$A54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54" s="118"/>
      <c r="W54" s="118"/>
      <c r="X54" s="149"/>
      <c r="Y54" s="149"/>
      <c r="Z54" s="149"/>
      <c r="AA54" s="149"/>
      <c r="AB54" s="140" t="e">
        <f t="shared" si="3"/>
        <v>#NAME?</v>
      </c>
    </row>
    <row r="55" spans="1:28" s="122" customFormat="1" x14ac:dyDescent="0.25">
      <c r="A55" s="133"/>
      <c r="B55" s="134" t="e" cm="1">
        <f t="array" ref="B55">_xlfn.LET(_xlpm.calc,_xlfn.MINIFS(Pay_Period_End,Pay_Key_Gps,"*"&amp;$A$8&amp;"*",Pay_Code,$A55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55" s="134" t="e" cm="1">
        <f t="array" ref="C55">_xlfn.LET(_xlpm.calc,_xlfn.MAXIFS(Pay_Period_End,Pay_Key_Gps,"*"&amp;$A$8&amp;"*",Pay_Code,$A55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55" s="135" t="str" cm="1">
        <f t="array" ref="D55">_xlfn.LET(_xlpm.calc,IFERROR(ROWS(_xlfn.UNIQUE(_xlfn._xlws.FILTER(Pay_ID,(IFERROR(SEARCH($A$8,Pay_Key_Gps),0)&gt;0) * (Pay_Code=$A55) * (pp_Hrs_Wkd_Pay_Code &gt;= $V$1) * (pp_OT_Pay_Code &gt;= $V$2) * (pp_Bon_Pay_Code &gt;= $V$3) * (pp_Meal_Pay_Code &gt;= $V$4) * (pp_Sick_Pay_Code &gt;= $V$5) * (pp_Diff_Pay_Code &gt;= $V$6)))),0),_xlpm.perc,_xlpm.calc/D$69,IFERROR(IF(_xlpm.calc&gt;1000,_xlfn.CONCAT(TEXT(_xlpm.calc,"0,000")," (",TEXT(_xlpm.perc,"0.0%"),")"),_xlfn.CONCAT(_xlpm.calc," (",TEXT(_xlpm.perc,"0.0%"),")")),"-"))</f>
        <v>-</v>
      </c>
      <c r="E55" s="135" t="str" cm="1">
        <f t="array" ref="E55">_xlfn.LET(_xlpm.calc,IFERROR(ROWS(_xlfn.UNIQUE(_xlfn._xlws.FILTER(Pay_ID_Period_End,(IFERROR(SEARCH($A$8,Pay_Key_Gps),0)&gt;0) * (Pay_Code=$A55) * (pp_Hrs_Wkd_Pay_Code &gt;= $V$1) * (pp_OT_Pay_Code &gt;= $V$2) * (pp_Bon_Pay_Code &gt;= $V$3) * (pp_Meal_Pay_Code &gt;= $V$4) * (pp_Sick_Pay_Code &gt;= $V$5) * (pp_Diff_Pay_Code &gt;= $V$6)))),0),_xlpm.perc,_xlpm.calc/E$69,IFERROR(IF(_xlpm.calc&gt;1000,_xlfn.CONCAT(TEXT(_xlpm.calc,"0,000")," (",TEXT(_xlpm.perc,"0.0%"),")"),_xlfn.CONCAT(_xlpm.calc," (",TEXT(_xlpm.perc,"0.0%"),")")),"-"))</f>
        <v>-</v>
      </c>
      <c r="F55" s="136" t="e">
        <f t="shared" si="1"/>
        <v>#NAME?</v>
      </c>
      <c r="G55" s="137" t="e">
        <f t="shared" si="2"/>
        <v>#NAME?</v>
      </c>
      <c r="H55" s="137" t="str" cm="1">
        <f t="array" ref="H55">IFERROR(AVERAGEIFS(Pay_Amount,Pay_Key_Gps,"*"&amp;$A$8&amp;"*",Pay_Code,$A55,pp_Hrs_Wkd_Pay_Code,"&gt;="&amp;$V$1,pp_OT_Pay_Code,"&gt;="&amp;$V$2,pp_Bon_Pay_Code,"&gt;="&amp;$V$3,pp_Meal_Pay_Code,"&gt;="&amp;$V$4,pp_Sick_Pay_Code,"&gt;="&amp;$V$5,pp_Diff_Pay_Code,"&gt;="&amp;$V$6),"-")</f>
        <v>-</v>
      </c>
      <c r="J55" s="133">
        <f t="shared" si="5"/>
        <v>0</v>
      </c>
      <c r="K55" s="138" t="e" cm="1">
        <f t="array" ref="K55">_xlfn.LET(_xlpm.calc,COUNTIFS(Rate_Gp,K$11,Pay_Key_Gps,"*"&amp;$A$8&amp;"*",Pay_Code,$A55,pp_Hrs_Wkd_Pay_Code,"&gt;="&amp;$V$1,pp_OT_Pay_Code,"&gt;="&amp;$V$2,pp_Bon_Pay_Code,"&gt;="&amp;$V$3,pp_Meal_Pay_Code,"&gt;="&amp;$V$4,pp_Sick_Pay_Code,"&gt;="&amp;$V$5,pp_Diff_Pay_Code,"&gt;="&amp;$V$6),_xlpm.calc2,COUNTIFS(Pay_Key_Gps,"*"&amp;$A$8&amp;"*",Pay_Code,$A55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55" s="138" t="e" cm="1">
        <f t="array" ref="L55">_xlfn.LET(_xlpm.calc,COUNTIFS(Rate_Gp,L$11,Pay_Key_Gps,"*"&amp;$A$8&amp;"*",Pay_Code,$A55,pp_Hrs_Wkd_Pay_Code,"&gt;="&amp;$V$1,pp_OT_Pay_Code,"&gt;="&amp;$V$2,pp_Bon_Pay_Code,"&gt;="&amp;$V$3,pp_Meal_Pay_Code,"&gt;="&amp;$V$4,pp_Sick_Pay_Code,"&gt;="&amp;$V$5,pp_Diff_Pay_Code,"&gt;="&amp;$V$6),_xlpm.calc2,COUNTIFS(Pay_Key_Gps,"*"&amp;$A$8&amp;"*",Pay_Code,$A55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55" s="138" t="e" cm="1">
        <f t="array" ref="M55">_xlfn.LET(_xlpm.calc,COUNTIFS(Rate_Gp,M$11,Pay_Key_Gps,"*"&amp;$A$8&amp;"*",Pay_Code,$A55,pp_Hrs_Wkd_Pay_Code,"&gt;="&amp;$V$1,pp_OT_Pay_Code,"&gt;="&amp;$V$2,pp_Bon_Pay_Code,"&gt;="&amp;$V$3,pp_Meal_Pay_Code,"&gt;="&amp;$V$4,pp_Sick_Pay_Code,"&gt;="&amp;$V$5,pp_Diff_Pay_Code,"&gt;="&amp;$V$6),_xlpm.calc2,COUNTIFS(Pay_Key_Gps,"*"&amp;$A$8&amp;"*",Pay_Code,$A55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55" s="138" t="e" cm="1">
        <f t="array" ref="N55">_xlfn.LET(_xlpm.calc,COUNTIFS(Rate_Gp,N$11,Pay_Key_Gps,"*"&amp;$A$8&amp;"*",Pay_Code,$A55,pp_Hrs_Wkd_Pay_Code,"&gt;="&amp;$V$1,pp_OT_Pay_Code,"&gt;="&amp;$V$2,pp_Bon_Pay_Code,"&gt;="&amp;$V$3,pp_Meal_Pay_Code,"&gt;="&amp;$V$4,pp_Sick_Pay_Code,"&gt;="&amp;$V$5,pp_Diff_Pay_Code,"&gt;="&amp;$V$6),_xlpm.calc2,COUNTIFS(Pay_Key_Gps,"*"&amp;$A$8&amp;"*",Pay_Code,$A55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55" s="138" t="e" cm="1">
        <f t="array" ref="O55">_xlfn.LET(_xlpm.calc,COUNTIFS(Rate_Gp,O$11,Pay_Key_Gps,"*"&amp;$A$8&amp;"*",Pay_Code,$A55,pp_Hrs_Wkd_Pay_Code,"&gt;="&amp;$V$1,pp_OT_Pay_Code,"&gt;="&amp;$V$2,pp_Bon_Pay_Code,"&gt;="&amp;$V$3,pp_Meal_Pay_Code,"&gt;="&amp;$V$4,pp_Sick_Pay_Code,"&gt;="&amp;$V$5,pp_Diff_Pay_Code,"&gt;="&amp;$V$6),_xlpm.calc2,COUNTIFS(Pay_Key_Gps,"*"&amp;$A$8&amp;"*",Pay_Code,$A55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55" s="138" t="e" cm="1">
        <f t="array" ref="P55">_xlfn.LET(_xlpm.calc,COUNTIFS(Rate_Gp,P$11,Pay_Key_Gps,"*"&amp;$A$8&amp;"*",Pay_Code,$A55,pp_Hrs_Wkd_Pay_Code,"&gt;="&amp;$V$1,pp_OT_Pay_Code,"&gt;="&amp;$V$2,pp_Bon_Pay_Code,"&gt;="&amp;$V$3,pp_Meal_Pay_Code,"&gt;="&amp;$V$4,pp_Sick_Pay_Code,"&gt;="&amp;$V$5,pp_Diff_Pay_Code,"&gt;="&amp;$V$6),_xlpm.calc2,COUNTIFS(Pay_Key_Gps,"*"&amp;$A$8&amp;"*",Pay_Code,$A55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55" s="138" t="e" cm="1">
        <f t="array" ref="Q55">_xlfn.LET(_xlpm.calc,COUNTIFS(Rate_Gp,Q$11,Pay_Key_Gps,"*"&amp;$A$8&amp;"*",Pay_Code,$A55,pp_Hrs_Wkd_Pay_Code,"&gt;="&amp;$V$1,pp_OT_Pay_Code,"&gt;="&amp;$V$2,pp_Bon_Pay_Code,"&gt;="&amp;$V$3,pp_Meal_Pay_Code,"&gt;="&amp;$V$4,pp_Sick_Pay_Code,"&gt;="&amp;$V$5,pp_Diff_Pay_Code,"&gt;="&amp;$V$6),_xlpm.calc2,COUNTIFS(Pay_Key_Gps,"*"&amp;$A$8&amp;"*",Pay_Code,$A55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55" s="138" t="e" cm="1">
        <f t="array" ref="R55">_xlfn.LET(_xlpm.calc,COUNTIFS(Rate_Gp,R$11,Pay_Key_Gps,"*"&amp;$A$8&amp;"*",Pay_Code,$A55,pp_Hrs_Wkd_Pay_Code,"&gt;="&amp;$V$1,pp_OT_Pay_Code,"&gt;="&amp;$V$2,pp_Bon_Pay_Code,"&gt;="&amp;$V$3,pp_Meal_Pay_Code,"&gt;="&amp;$V$4,pp_Sick_Pay_Code,"&gt;="&amp;$V$5,pp_Diff_Pay_Code,"&gt;="&amp;$V$6),_xlpm.calc2,COUNTIFS(Pay_Key_Gps,"*"&amp;$A$8&amp;"*",Pay_Code,$A55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55" s="138" t="e" cm="1">
        <f t="array" ref="S55">_xlfn.LET(_xlpm.calc,COUNTIFS(Rate_Gp,S$11,Pay_Key_Gps,"*"&amp;$A$8&amp;"*",Pay_Code,$A55,pp_Hrs_Wkd_Pay_Code,"&gt;="&amp;$V$1,pp_OT_Pay_Code,"&gt;="&amp;$V$2,pp_Bon_Pay_Code,"&gt;="&amp;$V$3,pp_Meal_Pay_Code,"&gt;="&amp;$V$4,pp_Sick_Pay_Code,"&gt;="&amp;$V$5,pp_Diff_Pay_Code,"&gt;="&amp;$V$6),_xlpm.calc2,COUNTIFS(Pay_Key_Gps,"*"&amp;$A$8&amp;"*",Pay_Code,$A55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55" s="138" t="e" cm="1">
        <f t="array" ref="T55">_xlfn.LET(_xlpm.calc,COUNTIFS(Rate_Gp,T$11,Pay_Key_Gps,"*"&amp;$A$8&amp;"*",Pay_Code,$A55,pp_Hrs_Wkd_Pay_Code,"&gt;="&amp;$V$1,pp_OT_Pay_Code,"&gt;="&amp;$V$2,pp_Bon_Pay_Code,"&gt;="&amp;$V$3,pp_Meal_Pay_Code,"&gt;="&amp;$V$4,pp_Sick_Pay_Code,"&gt;="&amp;$V$5,pp_Diff_Pay_Code,"&gt;="&amp;$V$6),_xlpm.calc2,COUNTIFS(Pay_Key_Gps,"*"&amp;$A$8&amp;"*",Pay_Code,$A55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55" s="139" t="e" cm="1">
        <f t="array" ref="U55">_xlfn.LET(_xlpm.calc,COUNTIFS(Pay_Key_Gps,"*"&amp;$A$8&amp;"*",Pay_Code,$A55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55" s="118"/>
      <c r="W55" s="118"/>
      <c r="X55" s="149"/>
      <c r="Y55" s="149"/>
      <c r="Z55" s="149"/>
      <c r="AA55" s="149"/>
      <c r="AB55" s="140" t="e">
        <f t="shared" si="3"/>
        <v>#NAME?</v>
      </c>
    </row>
    <row r="56" spans="1:28" s="122" customFormat="1" x14ac:dyDescent="0.25">
      <c r="A56" s="133"/>
      <c r="B56" s="134" t="e" cm="1">
        <f t="array" ref="B56">_xlfn.LET(_xlpm.calc,_xlfn.MINIFS(Pay_Period_End,Pay_Key_Gps,"*"&amp;$A$8&amp;"*",Pay_Code,$A56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56" s="134" t="e" cm="1">
        <f t="array" ref="C56">_xlfn.LET(_xlpm.calc,_xlfn.MAXIFS(Pay_Period_End,Pay_Key_Gps,"*"&amp;$A$8&amp;"*",Pay_Code,$A56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56" s="135" t="str" cm="1">
        <f t="array" ref="D56">_xlfn.LET(_xlpm.calc,IFERROR(ROWS(_xlfn.UNIQUE(_xlfn._xlws.FILTER(Pay_ID,(IFERROR(SEARCH($A$8,Pay_Key_Gps),0)&gt;0) * (Pay_Code=$A56) * (pp_Hrs_Wkd_Pay_Code &gt;= $V$1) * (pp_OT_Pay_Code &gt;= $V$2) * (pp_Bon_Pay_Code &gt;= $V$3) * (pp_Meal_Pay_Code &gt;= $V$4) * (pp_Sick_Pay_Code &gt;= $V$5) * (pp_Diff_Pay_Code &gt;= $V$6)))),0),_xlpm.perc,_xlpm.calc/D$69,IFERROR(IF(_xlpm.calc&gt;1000,_xlfn.CONCAT(TEXT(_xlpm.calc,"0,000")," (",TEXT(_xlpm.perc,"0.0%"),")"),_xlfn.CONCAT(_xlpm.calc," (",TEXT(_xlpm.perc,"0.0%"),")")),"-"))</f>
        <v>-</v>
      </c>
      <c r="E56" s="135" t="str" cm="1">
        <f t="array" ref="E56">_xlfn.LET(_xlpm.calc,IFERROR(ROWS(_xlfn.UNIQUE(_xlfn._xlws.FILTER(Pay_ID_Period_End,(IFERROR(SEARCH($A$8,Pay_Key_Gps),0)&gt;0) * (Pay_Code=$A56) * (pp_Hrs_Wkd_Pay_Code &gt;= $V$1) * (pp_OT_Pay_Code &gt;= $V$2) * (pp_Bon_Pay_Code &gt;= $V$3) * (pp_Meal_Pay_Code &gt;= $V$4) * (pp_Sick_Pay_Code &gt;= $V$5) * (pp_Diff_Pay_Code &gt;= $V$6)))),0),_xlpm.perc,_xlpm.calc/E$69,IFERROR(IF(_xlpm.calc&gt;1000,_xlfn.CONCAT(TEXT(_xlpm.calc,"0,000")," (",TEXT(_xlpm.perc,"0.0%"),")"),_xlfn.CONCAT(_xlpm.calc," (",TEXT(_xlpm.perc,"0.0%"),")")),"-"))</f>
        <v>-</v>
      </c>
      <c r="F56" s="136" t="e">
        <f t="shared" si="1"/>
        <v>#NAME?</v>
      </c>
      <c r="G56" s="137" t="e">
        <f t="shared" si="2"/>
        <v>#NAME?</v>
      </c>
      <c r="H56" s="137" t="str" cm="1">
        <f t="array" ref="H56">IFERROR(AVERAGEIFS(Pay_Amount,Pay_Key_Gps,"*"&amp;$A$8&amp;"*",Pay_Code,$A56,pp_Hrs_Wkd_Pay_Code,"&gt;="&amp;$V$1,pp_OT_Pay_Code,"&gt;="&amp;$V$2,pp_Bon_Pay_Code,"&gt;="&amp;$V$3,pp_Meal_Pay_Code,"&gt;="&amp;$V$4,pp_Sick_Pay_Code,"&gt;="&amp;$V$5,pp_Diff_Pay_Code,"&gt;="&amp;$V$6),"-")</f>
        <v>-</v>
      </c>
      <c r="J56" s="133">
        <f t="shared" si="5"/>
        <v>0</v>
      </c>
      <c r="K56" s="138" t="e" cm="1">
        <f t="array" ref="K56">_xlfn.LET(_xlpm.calc,COUNTIFS(Rate_Gp,K$11,Pay_Key_Gps,"*"&amp;$A$8&amp;"*",Pay_Code,$A56,pp_Hrs_Wkd_Pay_Code,"&gt;="&amp;$V$1,pp_OT_Pay_Code,"&gt;="&amp;$V$2,pp_Bon_Pay_Code,"&gt;="&amp;$V$3,pp_Meal_Pay_Code,"&gt;="&amp;$V$4,pp_Sick_Pay_Code,"&gt;="&amp;$V$5,pp_Diff_Pay_Code,"&gt;="&amp;$V$6),_xlpm.calc2,COUNTIFS(Pay_Key_Gps,"*"&amp;$A$8&amp;"*",Pay_Code,$A56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56" s="138" t="e" cm="1">
        <f t="array" ref="L56">_xlfn.LET(_xlpm.calc,COUNTIFS(Rate_Gp,L$11,Pay_Key_Gps,"*"&amp;$A$8&amp;"*",Pay_Code,$A56,pp_Hrs_Wkd_Pay_Code,"&gt;="&amp;$V$1,pp_OT_Pay_Code,"&gt;="&amp;$V$2,pp_Bon_Pay_Code,"&gt;="&amp;$V$3,pp_Meal_Pay_Code,"&gt;="&amp;$V$4,pp_Sick_Pay_Code,"&gt;="&amp;$V$5,pp_Diff_Pay_Code,"&gt;="&amp;$V$6),_xlpm.calc2,COUNTIFS(Pay_Key_Gps,"*"&amp;$A$8&amp;"*",Pay_Code,$A56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56" s="138" t="e" cm="1">
        <f t="array" ref="M56">_xlfn.LET(_xlpm.calc,COUNTIFS(Rate_Gp,M$11,Pay_Key_Gps,"*"&amp;$A$8&amp;"*",Pay_Code,$A56,pp_Hrs_Wkd_Pay_Code,"&gt;="&amp;$V$1,pp_OT_Pay_Code,"&gt;="&amp;$V$2,pp_Bon_Pay_Code,"&gt;="&amp;$V$3,pp_Meal_Pay_Code,"&gt;="&amp;$V$4,pp_Sick_Pay_Code,"&gt;="&amp;$V$5,pp_Diff_Pay_Code,"&gt;="&amp;$V$6),_xlpm.calc2,COUNTIFS(Pay_Key_Gps,"*"&amp;$A$8&amp;"*",Pay_Code,$A56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56" s="138" t="e" cm="1">
        <f t="array" ref="N56">_xlfn.LET(_xlpm.calc,COUNTIFS(Rate_Gp,N$11,Pay_Key_Gps,"*"&amp;$A$8&amp;"*",Pay_Code,$A56,pp_Hrs_Wkd_Pay_Code,"&gt;="&amp;$V$1,pp_OT_Pay_Code,"&gt;="&amp;$V$2,pp_Bon_Pay_Code,"&gt;="&amp;$V$3,pp_Meal_Pay_Code,"&gt;="&amp;$V$4,pp_Sick_Pay_Code,"&gt;="&amp;$V$5,pp_Diff_Pay_Code,"&gt;="&amp;$V$6),_xlpm.calc2,COUNTIFS(Pay_Key_Gps,"*"&amp;$A$8&amp;"*",Pay_Code,$A56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56" s="138" t="e" cm="1">
        <f t="array" ref="O56">_xlfn.LET(_xlpm.calc,COUNTIFS(Rate_Gp,O$11,Pay_Key_Gps,"*"&amp;$A$8&amp;"*",Pay_Code,$A56,pp_Hrs_Wkd_Pay_Code,"&gt;="&amp;$V$1,pp_OT_Pay_Code,"&gt;="&amp;$V$2,pp_Bon_Pay_Code,"&gt;="&amp;$V$3,pp_Meal_Pay_Code,"&gt;="&amp;$V$4,pp_Sick_Pay_Code,"&gt;="&amp;$V$5,pp_Diff_Pay_Code,"&gt;="&amp;$V$6),_xlpm.calc2,COUNTIFS(Pay_Key_Gps,"*"&amp;$A$8&amp;"*",Pay_Code,$A56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56" s="138" t="e" cm="1">
        <f t="array" ref="P56">_xlfn.LET(_xlpm.calc,COUNTIFS(Rate_Gp,P$11,Pay_Key_Gps,"*"&amp;$A$8&amp;"*",Pay_Code,$A56,pp_Hrs_Wkd_Pay_Code,"&gt;="&amp;$V$1,pp_OT_Pay_Code,"&gt;="&amp;$V$2,pp_Bon_Pay_Code,"&gt;="&amp;$V$3,pp_Meal_Pay_Code,"&gt;="&amp;$V$4,pp_Sick_Pay_Code,"&gt;="&amp;$V$5,pp_Diff_Pay_Code,"&gt;="&amp;$V$6),_xlpm.calc2,COUNTIFS(Pay_Key_Gps,"*"&amp;$A$8&amp;"*",Pay_Code,$A56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56" s="138" t="e" cm="1">
        <f t="array" ref="Q56">_xlfn.LET(_xlpm.calc,COUNTIFS(Rate_Gp,Q$11,Pay_Key_Gps,"*"&amp;$A$8&amp;"*",Pay_Code,$A56,pp_Hrs_Wkd_Pay_Code,"&gt;="&amp;$V$1,pp_OT_Pay_Code,"&gt;="&amp;$V$2,pp_Bon_Pay_Code,"&gt;="&amp;$V$3,pp_Meal_Pay_Code,"&gt;="&amp;$V$4,pp_Sick_Pay_Code,"&gt;="&amp;$V$5,pp_Diff_Pay_Code,"&gt;="&amp;$V$6),_xlpm.calc2,COUNTIFS(Pay_Key_Gps,"*"&amp;$A$8&amp;"*",Pay_Code,$A56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56" s="138" t="e" cm="1">
        <f t="array" ref="R56">_xlfn.LET(_xlpm.calc,COUNTIFS(Rate_Gp,R$11,Pay_Key_Gps,"*"&amp;$A$8&amp;"*",Pay_Code,$A56,pp_Hrs_Wkd_Pay_Code,"&gt;="&amp;$V$1,pp_OT_Pay_Code,"&gt;="&amp;$V$2,pp_Bon_Pay_Code,"&gt;="&amp;$V$3,pp_Meal_Pay_Code,"&gt;="&amp;$V$4,pp_Sick_Pay_Code,"&gt;="&amp;$V$5,pp_Diff_Pay_Code,"&gt;="&amp;$V$6),_xlpm.calc2,COUNTIFS(Pay_Key_Gps,"*"&amp;$A$8&amp;"*",Pay_Code,$A56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56" s="138" t="e" cm="1">
        <f t="array" ref="S56">_xlfn.LET(_xlpm.calc,COUNTIFS(Rate_Gp,S$11,Pay_Key_Gps,"*"&amp;$A$8&amp;"*",Pay_Code,$A56,pp_Hrs_Wkd_Pay_Code,"&gt;="&amp;$V$1,pp_OT_Pay_Code,"&gt;="&amp;$V$2,pp_Bon_Pay_Code,"&gt;="&amp;$V$3,pp_Meal_Pay_Code,"&gt;="&amp;$V$4,pp_Sick_Pay_Code,"&gt;="&amp;$V$5,pp_Diff_Pay_Code,"&gt;="&amp;$V$6),_xlpm.calc2,COUNTIFS(Pay_Key_Gps,"*"&amp;$A$8&amp;"*",Pay_Code,$A56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56" s="138" t="e" cm="1">
        <f t="array" ref="T56">_xlfn.LET(_xlpm.calc,COUNTIFS(Rate_Gp,T$11,Pay_Key_Gps,"*"&amp;$A$8&amp;"*",Pay_Code,$A56,pp_Hrs_Wkd_Pay_Code,"&gt;="&amp;$V$1,pp_OT_Pay_Code,"&gt;="&amp;$V$2,pp_Bon_Pay_Code,"&gt;="&amp;$V$3,pp_Meal_Pay_Code,"&gt;="&amp;$V$4,pp_Sick_Pay_Code,"&gt;="&amp;$V$5,pp_Diff_Pay_Code,"&gt;="&amp;$V$6),_xlpm.calc2,COUNTIFS(Pay_Key_Gps,"*"&amp;$A$8&amp;"*",Pay_Code,$A56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56" s="139" t="e" cm="1">
        <f t="array" ref="U56">_xlfn.LET(_xlpm.calc,COUNTIFS(Pay_Key_Gps,"*"&amp;$A$8&amp;"*",Pay_Code,$A56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56" s="118"/>
      <c r="W56" s="118"/>
      <c r="X56" s="149"/>
      <c r="Y56" s="149"/>
      <c r="Z56" s="149"/>
      <c r="AA56" s="149"/>
      <c r="AB56" s="140" t="e">
        <f t="shared" si="3"/>
        <v>#NAME?</v>
      </c>
    </row>
    <row r="57" spans="1:28" s="122" customFormat="1" x14ac:dyDescent="0.25">
      <c r="A57" s="133"/>
      <c r="B57" s="134" t="e" cm="1">
        <f t="array" ref="B57">_xlfn.LET(_xlpm.calc,_xlfn.MINIFS(Pay_Period_End,Pay_Key_Gps,"*"&amp;$A$8&amp;"*",Pay_Code,$A57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57" s="134" t="e" cm="1">
        <f t="array" ref="C57">_xlfn.LET(_xlpm.calc,_xlfn.MAXIFS(Pay_Period_End,Pay_Key_Gps,"*"&amp;$A$8&amp;"*",Pay_Code,$A57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57" s="135" t="str" cm="1">
        <f t="array" ref="D57">_xlfn.LET(_xlpm.calc,IFERROR(ROWS(_xlfn.UNIQUE(_xlfn._xlws.FILTER(Pay_ID,(IFERROR(SEARCH($A$8,Pay_Key_Gps),0)&gt;0) * (Pay_Code=$A57) * (pp_Hrs_Wkd_Pay_Code &gt;= $V$1) * (pp_OT_Pay_Code &gt;= $V$2) * (pp_Bon_Pay_Code &gt;= $V$3) * (pp_Meal_Pay_Code &gt;= $V$4) * (pp_Sick_Pay_Code &gt;= $V$5) * (pp_Diff_Pay_Code &gt;= $V$6)))),0),_xlpm.perc,_xlpm.calc/D$69,IFERROR(IF(_xlpm.calc&gt;1000,_xlfn.CONCAT(TEXT(_xlpm.calc,"0,000")," (",TEXT(_xlpm.perc,"0.0%"),")"),_xlfn.CONCAT(_xlpm.calc," (",TEXT(_xlpm.perc,"0.0%"),")")),"-"))</f>
        <v>-</v>
      </c>
      <c r="E57" s="135" t="str" cm="1">
        <f t="array" ref="E57">_xlfn.LET(_xlpm.calc,IFERROR(ROWS(_xlfn.UNIQUE(_xlfn._xlws.FILTER(Pay_ID_Period_End,(IFERROR(SEARCH($A$8,Pay_Key_Gps),0)&gt;0) * (Pay_Code=$A57) * (pp_Hrs_Wkd_Pay_Code &gt;= $V$1) * (pp_OT_Pay_Code &gt;= $V$2) * (pp_Bon_Pay_Code &gt;= $V$3) * (pp_Meal_Pay_Code &gt;= $V$4) * (pp_Sick_Pay_Code &gt;= $V$5) * (pp_Diff_Pay_Code &gt;= $V$6)))),0),_xlpm.perc,_xlpm.calc/E$69,IFERROR(IF(_xlpm.calc&gt;1000,_xlfn.CONCAT(TEXT(_xlpm.calc,"0,000")," (",TEXT(_xlpm.perc,"0.0%"),")"),_xlfn.CONCAT(_xlpm.calc," (",TEXT(_xlpm.perc,"0.0%"),")")),"-"))</f>
        <v>-</v>
      </c>
      <c r="F57" s="136" t="e">
        <f t="shared" si="1"/>
        <v>#NAME?</v>
      </c>
      <c r="G57" s="137" t="e">
        <f t="shared" si="2"/>
        <v>#NAME?</v>
      </c>
      <c r="H57" s="137" t="str" cm="1">
        <f t="array" ref="H57">IFERROR(AVERAGEIFS(Pay_Amount,Pay_Key_Gps,"*"&amp;$A$8&amp;"*",Pay_Code,$A57,pp_Hrs_Wkd_Pay_Code,"&gt;="&amp;$V$1,pp_OT_Pay_Code,"&gt;="&amp;$V$2,pp_Bon_Pay_Code,"&gt;="&amp;$V$3,pp_Meal_Pay_Code,"&gt;="&amp;$V$4,pp_Sick_Pay_Code,"&gt;="&amp;$V$5,pp_Diff_Pay_Code,"&gt;="&amp;$V$6),"-")</f>
        <v>-</v>
      </c>
      <c r="J57" s="133">
        <f t="shared" si="5"/>
        <v>0</v>
      </c>
      <c r="K57" s="138" t="e" cm="1">
        <f t="array" ref="K57">_xlfn.LET(_xlpm.calc,COUNTIFS(Rate_Gp,K$11,Pay_Key_Gps,"*"&amp;$A$8&amp;"*",Pay_Code,$A57,pp_Hrs_Wkd_Pay_Code,"&gt;="&amp;$V$1,pp_OT_Pay_Code,"&gt;="&amp;$V$2,pp_Bon_Pay_Code,"&gt;="&amp;$V$3,pp_Meal_Pay_Code,"&gt;="&amp;$V$4,pp_Sick_Pay_Code,"&gt;="&amp;$V$5,pp_Diff_Pay_Code,"&gt;="&amp;$V$6),_xlpm.calc2,COUNTIFS(Pay_Key_Gps,"*"&amp;$A$8&amp;"*",Pay_Code,$A57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57" s="138" t="e" cm="1">
        <f t="array" ref="L57">_xlfn.LET(_xlpm.calc,COUNTIFS(Rate_Gp,L$11,Pay_Key_Gps,"*"&amp;$A$8&amp;"*",Pay_Code,$A57,pp_Hrs_Wkd_Pay_Code,"&gt;="&amp;$V$1,pp_OT_Pay_Code,"&gt;="&amp;$V$2,pp_Bon_Pay_Code,"&gt;="&amp;$V$3,pp_Meal_Pay_Code,"&gt;="&amp;$V$4,pp_Sick_Pay_Code,"&gt;="&amp;$V$5,pp_Diff_Pay_Code,"&gt;="&amp;$V$6),_xlpm.calc2,COUNTIFS(Pay_Key_Gps,"*"&amp;$A$8&amp;"*",Pay_Code,$A57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57" s="138" t="e" cm="1">
        <f t="array" ref="M57">_xlfn.LET(_xlpm.calc,COUNTIFS(Rate_Gp,M$11,Pay_Key_Gps,"*"&amp;$A$8&amp;"*",Pay_Code,$A57,pp_Hrs_Wkd_Pay_Code,"&gt;="&amp;$V$1,pp_OT_Pay_Code,"&gt;="&amp;$V$2,pp_Bon_Pay_Code,"&gt;="&amp;$V$3,pp_Meal_Pay_Code,"&gt;="&amp;$V$4,pp_Sick_Pay_Code,"&gt;="&amp;$V$5,pp_Diff_Pay_Code,"&gt;="&amp;$V$6),_xlpm.calc2,COUNTIFS(Pay_Key_Gps,"*"&amp;$A$8&amp;"*",Pay_Code,$A57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57" s="138" t="e" cm="1">
        <f t="array" ref="N57">_xlfn.LET(_xlpm.calc,COUNTIFS(Rate_Gp,N$11,Pay_Key_Gps,"*"&amp;$A$8&amp;"*",Pay_Code,$A57,pp_Hrs_Wkd_Pay_Code,"&gt;="&amp;$V$1,pp_OT_Pay_Code,"&gt;="&amp;$V$2,pp_Bon_Pay_Code,"&gt;="&amp;$V$3,pp_Meal_Pay_Code,"&gt;="&amp;$V$4,pp_Sick_Pay_Code,"&gt;="&amp;$V$5,pp_Diff_Pay_Code,"&gt;="&amp;$V$6),_xlpm.calc2,COUNTIFS(Pay_Key_Gps,"*"&amp;$A$8&amp;"*",Pay_Code,$A57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57" s="138" t="e" cm="1">
        <f t="array" ref="O57">_xlfn.LET(_xlpm.calc,COUNTIFS(Rate_Gp,O$11,Pay_Key_Gps,"*"&amp;$A$8&amp;"*",Pay_Code,$A57,pp_Hrs_Wkd_Pay_Code,"&gt;="&amp;$V$1,pp_OT_Pay_Code,"&gt;="&amp;$V$2,pp_Bon_Pay_Code,"&gt;="&amp;$V$3,pp_Meal_Pay_Code,"&gt;="&amp;$V$4,pp_Sick_Pay_Code,"&gt;="&amp;$V$5,pp_Diff_Pay_Code,"&gt;="&amp;$V$6),_xlpm.calc2,COUNTIFS(Pay_Key_Gps,"*"&amp;$A$8&amp;"*",Pay_Code,$A57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57" s="138" t="e" cm="1">
        <f t="array" ref="P57">_xlfn.LET(_xlpm.calc,COUNTIFS(Rate_Gp,P$11,Pay_Key_Gps,"*"&amp;$A$8&amp;"*",Pay_Code,$A57,pp_Hrs_Wkd_Pay_Code,"&gt;="&amp;$V$1,pp_OT_Pay_Code,"&gt;="&amp;$V$2,pp_Bon_Pay_Code,"&gt;="&amp;$V$3,pp_Meal_Pay_Code,"&gt;="&amp;$V$4,pp_Sick_Pay_Code,"&gt;="&amp;$V$5,pp_Diff_Pay_Code,"&gt;="&amp;$V$6),_xlpm.calc2,COUNTIFS(Pay_Key_Gps,"*"&amp;$A$8&amp;"*",Pay_Code,$A57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57" s="138" t="e" cm="1">
        <f t="array" ref="Q57">_xlfn.LET(_xlpm.calc,COUNTIFS(Rate_Gp,Q$11,Pay_Key_Gps,"*"&amp;$A$8&amp;"*",Pay_Code,$A57,pp_Hrs_Wkd_Pay_Code,"&gt;="&amp;$V$1,pp_OT_Pay_Code,"&gt;="&amp;$V$2,pp_Bon_Pay_Code,"&gt;="&amp;$V$3,pp_Meal_Pay_Code,"&gt;="&amp;$V$4,pp_Sick_Pay_Code,"&gt;="&amp;$V$5,pp_Diff_Pay_Code,"&gt;="&amp;$V$6),_xlpm.calc2,COUNTIFS(Pay_Key_Gps,"*"&amp;$A$8&amp;"*",Pay_Code,$A57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57" s="138" t="e" cm="1">
        <f t="array" ref="R57">_xlfn.LET(_xlpm.calc,COUNTIFS(Rate_Gp,R$11,Pay_Key_Gps,"*"&amp;$A$8&amp;"*",Pay_Code,$A57,pp_Hrs_Wkd_Pay_Code,"&gt;="&amp;$V$1,pp_OT_Pay_Code,"&gt;="&amp;$V$2,pp_Bon_Pay_Code,"&gt;="&amp;$V$3,pp_Meal_Pay_Code,"&gt;="&amp;$V$4,pp_Sick_Pay_Code,"&gt;="&amp;$V$5,pp_Diff_Pay_Code,"&gt;="&amp;$V$6),_xlpm.calc2,COUNTIFS(Pay_Key_Gps,"*"&amp;$A$8&amp;"*",Pay_Code,$A57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57" s="138" t="e" cm="1">
        <f t="array" ref="S57">_xlfn.LET(_xlpm.calc,COUNTIFS(Rate_Gp,S$11,Pay_Key_Gps,"*"&amp;$A$8&amp;"*",Pay_Code,$A57,pp_Hrs_Wkd_Pay_Code,"&gt;="&amp;$V$1,pp_OT_Pay_Code,"&gt;="&amp;$V$2,pp_Bon_Pay_Code,"&gt;="&amp;$V$3,pp_Meal_Pay_Code,"&gt;="&amp;$V$4,pp_Sick_Pay_Code,"&gt;="&amp;$V$5,pp_Diff_Pay_Code,"&gt;="&amp;$V$6),_xlpm.calc2,COUNTIFS(Pay_Key_Gps,"*"&amp;$A$8&amp;"*",Pay_Code,$A57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57" s="138" t="e" cm="1">
        <f t="array" ref="T57">_xlfn.LET(_xlpm.calc,COUNTIFS(Rate_Gp,T$11,Pay_Key_Gps,"*"&amp;$A$8&amp;"*",Pay_Code,$A57,pp_Hrs_Wkd_Pay_Code,"&gt;="&amp;$V$1,pp_OT_Pay_Code,"&gt;="&amp;$V$2,pp_Bon_Pay_Code,"&gt;="&amp;$V$3,pp_Meal_Pay_Code,"&gt;="&amp;$V$4,pp_Sick_Pay_Code,"&gt;="&amp;$V$5,pp_Diff_Pay_Code,"&gt;="&amp;$V$6),_xlpm.calc2,COUNTIFS(Pay_Key_Gps,"*"&amp;$A$8&amp;"*",Pay_Code,$A57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57" s="139" t="e" cm="1">
        <f t="array" ref="U57">_xlfn.LET(_xlpm.calc,COUNTIFS(Pay_Key_Gps,"*"&amp;$A$8&amp;"*",Pay_Code,$A57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57" s="118"/>
      <c r="W57" s="118"/>
      <c r="X57" s="149"/>
      <c r="Y57" s="149"/>
      <c r="Z57" s="149"/>
      <c r="AA57" s="149"/>
      <c r="AB57" s="140" t="e">
        <f t="shared" si="3"/>
        <v>#NAME?</v>
      </c>
    </row>
    <row r="58" spans="1:28" s="123" customFormat="1" x14ac:dyDescent="0.25">
      <c r="A58" s="133"/>
      <c r="B58" s="134" t="e" cm="1">
        <f t="array" ref="B58">_xlfn.LET(_xlpm.calc,_xlfn.MINIFS(Pay_Period_End,Pay_Key_Gps,"*"&amp;$A$8&amp;"*",Pay_Code,$A58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58" s="134" t="e" cm="1">
        <f t="array" ref="C58">_xlfn.LET(_xlpm.calc,_xlfn.MAXIFS(Pay_Period_End,Pay_Key_Gps,"*"&amp;$A$8&amp;"*",Pay_Code,$A58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58" s="135" t="str" cm="1">
        <f t="array" ref="D58">_xlfn.LET(_xlpm.calc,IFERROR(ROWS(_xlfn.UNIQUE(_xlfn._xlws.FILTER(Pay_ID,(IFERROR(SEARCH($A$8,Pay_Key_Gps),0)&gt;0) * (Pay_Code=$A58) * (pp_Hrs_Wkd_Pay_Code &gt;= $V$1) * (pp_OT_Pay_Code &gt;= $V$2) * (pp_Bon_Pay_Code &gt;= $V$3) * (pp_Meal_Pay_Code &gt;= $V$4) * (pp_Sick_Pay_Code &gt;= $V$5) * (pp_Diff_Pay_Code &gt;= $V$6)))),0),_xlpm.perc,_xlpm.calc/D$69,IFERROR(IF(_xlpm.calc&gt;1000,_xlfn.CONCAT(TEXT(_xlpm.calc,"0,000")," (",TEXT(_xlpm.perc,"0.0%"),")"),_xlfn.CONCAT(_xlpm.calc," (",TEXT(_xlpm.perc,"0.0%"),")")),"-"))</f>
        <v>-</v>
      </c>
      <c r="E58" s="135" t="str" cm="1">
        <f t="array" ref="E58">_xlfn.LET(_xlpm.calc,IFERROR(ROWS(_xlfn.UNIQUE(_xlfn._xlws.FILTER(Pay_ID_Period_End,(IFERROR(SEARCH($A$8,Pay_Key_Gps),0)&gt;0) * (Pay_Code=$A58) * (pp_Hrs_Wkd_Pay_Code &gt;= $V$1) * (pp_OT_Pay_Code &gt;= $V$2) * (pp_Bon_Pay_Code &gt;= $V$3) * (pp_Meal_Pay_Code &gt;= $V$4) * (pp_Sick_Pay_Code &gt;= $V$5) * (pp_Diff_Pay_Code &gt;= $V$6)))),0),_xlpm.perc,_xlpm.calc/E$69,IFERROR(IF(_xlpm.calc&gt;1000,_xlfn.CONCAT(TEXT(_xlpm.calc,"0,000")," (",TEXT(_xlpm.perc,"0.0%"),")"),_xlfn.CONCAT(_xlpm.calc," (",TEXT(_xlpm.perc,"0.0%"),")")),"-"))</f>
        <v>-</v>
      </c>
      <c r="F58" s="136" t="e">
        <f t="shared" si="1"/>
        <v>#NAME?</v>
      </c>
      <c r="G58" s="137" t="e">
        <f t="shared" si="2"/>
        <v>#NAME?</v>
      </c>
      <c r="H58" s="137" t="str" cm="1">
        <f t="array" ref="H58">IFERROR(AVERAGEIFS(Pay_Amount,Pay_Key_Gps,"*"&amp;$A$8&amp;"*",Pay_Code,$A58,pp_Hrs_Wkd_Pay_Code,"&gt;="&amp;$V$1,pp_OT_Pay_Code,"&gt;="&amp;$V$2,pp_Bon_Pay_Code,"&gt;="&amp;$V$3,pp_Meal_Pay_Code,"&gt;="&amp;$V$4,pp_Sick_Pay_Code,"&gt;="&amp;$V$5,pp_Diff_Pay_Code,"&gt;="&amp;$V$6),"-")</f>
        <v>-</v>
      </c>
      <c r="I58" s="122"/>
      <c r="J58" s="133">
        <f t="shared" si="5"/>
        <v>0</v>
      </c>
      <c r="K58" s="138" t="e" cm="1">
        <f t="array" ref="K58">_xlfn.LET(_xlpm.calc,COUNTIFS(Rate_Gp,K$11,Pay_Key_Gps,"*"&amp;$A$8&amp;"*",Pay_Code,$A58,pp_Hrs_Wkd_Pay_Code,"&gt;="&amp;$V$1,pp_OT_Pay_Code,"&gt;="&amp;$V$2,pp_Bon_Pay_Code,"&gt;="&amp;$V$3,pp_Meal_Pay_Code,"&gt;="&amp;$V$4,pp_Sick_Pay_Code,"&gt;="&amp;$V$5,pp_Diff_Pay_Code,"&gt;="&amp;$V$6),_xlpm.calc2,COUNTIFS(Pay_Key_Gps,"*"&amp;$A$8&amp;"*",Pay_Code,$A58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58" s="138" t="e" cm="1">
        <f t="array" ref="L58">_xlfn.LET(_xlpm.calc,COUNTIFS(Rate_Gp,L$11,Pay_Key_Gps,"*"&amp;$A$8&amp;"*",Pay_Code,$A58,pp_Hrs_Wkd_Pay_Code,"&gt;="&amp;$V$1,pp_OT_Pay_Code,"&gt;="&amp;$V$2,pp_Bon_Pay_Code,"&gt;="&amp;$V$3,pp_Meal_Pay_Code,"&gt;="&amp;$V$4,pp_Sick_Pay_Code,"&gt;="&amp;$V$5,pp_Diff_Pay_Code,"&gt;="&amp;$V$6),_xlpm.calc2,COUNTIFS(Pay_Key_Gps,"*"&amp;$A$8&amp;"*",Pay_Code,$A58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58" s="138" t="e" cm="1">
        <f t="array" ref="M58">_xlfn.LET(_xlpm.calc,COUNTIFS(Rate_Gp,M$11,Pay_Key_Gps,"*"&amp;$A$8&amp;"*",Pay_Code,$A58,pp_Hrs_Wkd_Pay_Code,"&gt;="&amp;$V$1,pp_OT_Pay_Code,"&gt;="&amp;$V$2,pp_Bon_Pay_Code,"&gt;="&amp;$V$3,pp_Meal_Pay_Code,"&gt;="&amp;$V$4,pp_Sick_Pay_Code,"&gt;="&amp;$V$5,pp_Diff_Pay_Code,"&gt;="&amp;$V$6),_xlpm.calc2,COUNTIFS(Pay_Key_Gps,"*"&amp;$A$8&amp;"*",Pay_Code,$A58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58" s="138" t="e" cm="1">
        <f t="array" ref="N58">_xlfn.LET(_xlpm.calc,COUNTIFS(Rate_Gp,N$11,Pay_Key_Gps,"*"&amp;$A$8&amp;"*",Pay_Code,$A58,pp_Hrs_Wkd_Pay_Code,"&gt;="&amp;$V$1,pp_OT_Pay_Code,"&gt;="&amp;$V$2,pp_Bon_Pay_Code,"&gt;="&amp;$V$3,pp_Meal_Pay_Code,"&gt;="&amp;$V$4,pp_Sick_Pay_Code,"&gt;="&amp;$V$5,pp_Diff_Pay_Code,"&gt;="&amp;$V$6),_xlpm.calc2,COUNTIFS(Pay_Key_Gps,"*"&amp;$A$8&amp;"*",Pay_Code,$A58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58" s="138" t="e" cm="1">
        <f t="array" ref="O58">_xlfn.LET(_xlpm.calc,COUNTIFS(Rate_Gp,O$11,Pay_Key_Gps,"*"&amp;$A$8&amp;"*",Pay_Code,$A58,pp_Hrs_Wkd_Pay_Code,"&gt;="&amp;$V$1,pp_OT_Pay_Code,"&gt;="&amp;$V$2,pp_Bon_Pay_Code,"&gt;="&amp;$V$3,pp_Meal_Pay_Code,"&gt;="&amp;$V$4,pp_Sick_Pay_Code,"&gt;="&amp;$V$5,pp_Diff_Pay_Code,"&gt;="&amp;$V$6),_xlpm.calc2,COUNTIFS(Pay_Key_Gps,"*"&amp;$A$8&amp;"*",Pay_Code,$A58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58" s="138" t="e" cm="1">
        <f t="array" ref="P58">_xlfn.LET(_xlpm.calc,COUNTIFS(Rate_Gp,P$11,Pay_Key_Gps,"*"&amp;$A$8&amp;"*",Pay_Code,$A58,pp_Hrs_Wkd_Pay_Code,"&gt;="&amp;$V$1,pp_OT_Pay_Code,"&gt;="&amp;$V$2,pp_Bon_Pay_Code,"&gt;="&amp;$V$3,pp_Meal_Pay_Code,"&gt;="&amp;$V$4,pp_Sick_Pay_Code,"&gt;="&amp;$V$5,pp_Diff_Pay_Code,"&gt;="&amp;$V$6),_xlpm.calc2,COUNTIFS(Pay_Key_Gps,"*"&amp;$A$8&amp;"*",Pay_Code,$A58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58" s="138" t="e" cm="1">
        <f t="array" ref="Q58">_xlfn.LET(_xlpm.calc,COUNTIFS(Rate_Gp,Q$11,Pay_Key_Gps,"*"&amp;$A$8&amp;"*",Pay_Code,$A58,pp_Hrs_Wkd_Pay_Code,"&gt;="&amp;$V$1,pp_OT_Pay_Code,"&gt;="&amp;$V$2,pp_Bon_Pay_Code,"&gt;="&amp;$V$3,pp_Meal_Pay_Code,"&gt;="&amp;$V$4,pp_Sick_Pay_Code,"&gt;="&amp;$V$5,pp_Diff_Pay_Code,"&gt;="&amp;$V$6),_xlpm.calc2,COUNTIFS(Pay_Key_Gps,"*"&amp;$A$8&amp;"*",Pay_Code,$A58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58" s="138" t="e" cm="1">
        <f t="array" ref="R58">_xlfn.LET(_xlpm.calc,COUNTIFS(Rate_Gp,R$11,Pay_Key_Gps,"*"&amp;$A$8&amp;"*",Pay_Code,$A58,pp_Hrs_Wkd_Pay_Code,"&gt;="&amp;$V$1,pp_OT_Pay_Code,"&gt;="&amp;$V$2,pp_Bon_Pay_Code,"&gt;="&amp;$V$3,pp_Meal_Pay_Code,"&gt;="&amp;$V$4,pp_Sick_Pay_Code,"&gt;="&amp;$V$5,pp_Diff_Pay_Code,"&gt;="&amp;$V$6),_xlpm.calc2,COUNTIFS(Pay_Key_Gps,"*"&amp;$A$8&amp;"*",Pay_Code,$A58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58" s="138" t="e" cm="1">
        <f t="array" ref="S58">_xlfn.LET(_xlpm.calc,COUNTIFS(Rate_Gp,S$11,Pay_Key_Gps,"*"&amp;$A$8&amp;"*",Pay_Code,$A58,pp_Hrs_Wkd_Pay_Code,"&gt;="&amp;$V$1,pp_OT_Pay_Code,"&gt;="&amp;$V$2,pp_Bon_Pay_Code,"&gt;="&amp;$V$3,pp_Meal_Pay_Code,"&gt;="&amp;$V$4,pp_Sick_Pay_Code,"&gt;="&amp;$V$5,pp_Diff_Pay_Code,"&gt;="&amp;$V$6),_xlpm.calc2,COUNTIFS(Pay_Key_Gps,"*"&amp;$A$8&amp;"*",Pay_Code,$A58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58" s="138" t="e" cm="1">
        <f t="array" ref="T58">_xlfn.LET(_xlpm.calc,COUNTIFS(Rate_Gp,T$11,Pay_Key_Gps,"*"&amp;$A$8&amp;"*",Pay_Code,$A58,pp_Hrs_Wkd_Pay_Code,"&gt;="&amp;$V$1,pp_OT_Pay_Code,"&gt;="&amp;$V$2,pp_Bon_Pay_Code,"&gt;="&amp;$V$3,pp_Meal_Pay_Code,"&gt;="&amp;$V$4,pp_Sick_Pay_Code,"&gt;="&amp;$V$5,pp_Diff_Pay_Code,"&gt;="&amp;$V$6),_xlpm.calc2,COUNTIFS(Pay_Key_Gps,"*"&amp;$A$8&amp;"*",Pay_Code,$A58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58" s="139" t="e" cm="1">
        <f t="array" ref="U58">_xlfn.LET(_xlpm.calc,COUNTIFS(Pay_Key_Gps,"*"&amp;$A$8&amp;"*",Pay_Code,$A58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58" s="118"/>
      <c r="W58" s="121"/>
      <c r="X58" s="149"/>
      <c r="Y58" s="149"/>
      <c r="Z58" s="149"/>
      <c r="AA58" s="149"/>
      <c r="AB58" s="140" t="e">
        <f t="shared" si="3"/>
        <v>#NAME?</v>
      </c>
    </row>
    <row r="59" spans="1:28" s="123" customFormat="1" x14ac:dyDescent="0.25">
      <c r="A59" s="133"/>
      <c r="B59" s="134" t="e" cm="1">
        <f t="array" ref="B59">_xlfn.LET(_xlpm.calc,_xlfn.MINIFS(Pay_Period_End,Pay_Key_Gps,"*"&amp;$A$8&amp;"*",Pay_Code,$A59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59" s="134" t="e" cm="1">
        <f t="array" ref="C59">_xlfn.LET(_xlpm.calc,_xlfn.MAXIFS(Pay_Period_End,Pay_Key_Gps,"*"&amp;$A$8&amp;"*",Pay_Code,$A59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59" s="135" t="str" cm="1">
        <f t="array" ref="D59">_xlfn.LET(_xlpm.calc,IFERROR(ROWS(_xlfn.UNIQUE(_xlfn._xlws.FILTER(Pay_ID,(IFERROR(SEARCH($A$8,Pay_Key_Gps),0)&gt;0) * (Pay_Code=$A59) * (pp_Hrs_Wkd_Pay_Code &gt;= $V$1) * (pp_OT_Pay_Code &gt;= $V$2) * (pp_Bon_Pay_Code &gt;= $V$3) * (pp_Meal_Pay_Code &gt;= $V$4) * (pp_Sick_Pay_Code &gt;= $V$5) * (pp_Diff_Pay_Code &gt;= $V$6)))),0),_xlpm.perc,_xlpm.calc/D$69,IFERROR(IF(_xlpm.calc&gt;1000,_xlfn.CONCAT(TEXT(_xlpm.calc,"0,000")," (",TEXT(_xlpm.perc,"0.0%"),")"),_xlfn.CONCAT(_xlpm.calc," (",TEXT(_xlpm.perc,"0.0%"),")")),"-"))</f>
        <v>-</v>
      </c>
      <c r="E59" s="135" t="str" cm="1">
        <f t="array" ref="E59">_xlfn.LET(_xlpm.calc,IFERROR(ROWS(_xlfn.UNIQUE(_xlfn._xlws.FILTER(Pay_ID_Period_End,(IFERROR(SEARCH($A$8,Pay_Key_Gps),0)&gt;0) * (Pay_Code=$A59) * (pp_Hrs_Wkd_Pay_Code &gt;= $V$1) * (pp_OT_Pay_Code &gt;= $V$2) * (pp_Bon_Pay_Code &gt;= $V$3) * (pp_Meal_Pay_Code &gt;= $V$4) * (pp_Sick_Pay_Code &gt;= $V$5) * (pp_Diff_Pay_Code &gt;= $V$6)))),0),_xlpm.perc,_xlpm.calc/E$69,IFERROR(IF(_xlpm.calc&gt;1000,_xlfn.CONCAT(TEXT(_xlpm.calc,"0,000")," (",TEXT(_xlpm.perc,"0.0%"),")"),_xlfn.CONCAT(_xlpm.calc," (",TEXT(_xlpm.perc,"0.0%"),")")),"-"))</f>
        <v>-</v>
      </c>
      <c r="F59" s="136" t="e">
        <f t="shared" si="1"/>
        <v>#NAME?</v>
      </c>
      <c r="G59" s="137" t="e">
        <f t="shared" si="2"/>
        <v>#NAME?</v>
      </c>
      <c r="H59" s="137" t="str" cm="1">
        <f t="array" ref="H59">IFERROR(AVERAGEIFS(Pay_Amount,Pay_Key_Gps,"*"&amp;$A$8&amp;"*",Pay_Code,$A59,pp_Hrs_Wkd_Pay_Code,"&gt;="&amp;$V$1,pp_OT_Pay_Code,"&gt;="&amp;$V$2,pp_Bon_Pay_Code,"&gt;="&amp;$V$3,pp_Meal_Pay_Code,"&gt;="&amp;$V$4,pp_Sick_Pay_Code,"&gt;="&amp;$V$5,pp_Diff_Pay_Code,"&gt;="&amp;$V$6),"-")</f>
        <v>-</v>
      </c>
      <c r="I59" s="122"/>
      <c r="J59" s="133">
        <f t="shared" ref="J59:J62" si="6">A59</f>
        <v>0</v>
      </c>
      <c r="K59" s="138" t="e" cm="1">
        <f t="array" ref="K59">_xlfn.LET(_xlpm.calc,COUNTIFS(Rate_Gp,K$11,Pay_Key_Gps,"*"&amp;$A$8&amp;"*",Pay_Code,$A59,pp_Hrs_Wkd_Pay_Code,"&gt;="&amp;$V$1,pp_OT_Pay_Code,"&gt;="&amp;$V$2,pp_Bon_Pay_Code,"&gt;="&amp;$V$3,pp_Meal_Pay_Code,"&gt;="&amp;$V$4,pp_Sick_Pay_Code,"&gt;="&amp;$V$5,pp_Diff_Pay_Code,"&gt;="&amp;$V$6),_xlpm.calc2,COUNTIFS(Pay_Key_Gps,"*"&amp;$A$8&amp;"*",Pay_Code,$A59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59" s="138" t="e" cm="1">
        <f t="array" ref="L59">_xlfn.LET(_xlpm.calc,COUNTIFS(Rate_Gp,L$11,Pay_Key_Gps,"*"&amp;$A$8&amp;"*",Pay_Code,$A59,pp_Hrs_Wkd_Pay_Code,"&gt;="&amp;$V$1,pp_OT_Pay_Code,"&gt;="&amp;$V$2,pp_Bon_Pay_Code,"&gt;="&amp;$V$3,pp_Meal_Pay_Code,"&gt;="&amp;$V$4,pp_Sick_Pay_Code,"&gt;="&amp;$V$5,pp_Diff_Pay_Code,"&gt;="&amp;$V$6),_xlpm.calc2,COUNTIFS(Pay_Key_Gps,"*"&amp;$A$8&amp;"*",Pay_Code,$A59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59" s="138" t="e" cm="1">
        <f t="array" ref="M59">_xlfn.LET(_xlpm.calc,COUNTIFS(Rate_Gp,M$11,Pay_Key_Gps,"*"&amp;$A$8&amp;"*",Pay_Code,$A59,pp_Hrs_Wkd_Pay_Code,"&gt;="&amp;$V$1,pp_OT_Pay_Code,"&gt;="&amp;$V$2,pp_Bon_Pay_Code,"&gt;="&amp;$V$3,pp_Meal_Pay_Code,"&gt;="&amp;$V$4,pp_Sick_Pay_Code,"&gt;="&amp;$V$5,pp_Diff_Pay_Code,"&gt;="&amp;$V$6),_xlpm.calc2,COUNTIFS(Pay_Key_Gps,"*"&amp;$A$8&amp;"*",Pay_Code,$A59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59" s="138" t="e" cm="1">
        <f t="array" ref="N59">_xlfn.LET(_xlpm.calc,COUNTIFS(Rate_Gp,N$11,Pay_Key_Gps,"*"&amp;$A$8&amp;"*",Pay_Code,$A59,pp_Hrs_Wkd_Pay_Code,"&gt;="&amp;$V$1,pp_OT_Pay_Code,"&gt;="&amp;$V$2,pp_Bon_Pay_Code,"&gt;="&amp;$V$3,pp_Meal_Pay_Code,"&gt;="&amp;$V$4,pp_Sick_Pay_Code,"&gt;="&amp;$V$5,pp_Diff_Pay_Code,"&gt;="&amp;$V$6),_xlpm.calc2,COUNTIFS(Pay_Key_Gps,"*"&amp;$A$8&amp;"*",Pay_Code,$A59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59" s="138" t="e" cm="1">
        <f t="array" ref="O59">_xlfn.LET(_xlpm.calc,COUNTIFS(Rate_Gp,O$11,Pay_Key_Gps,"*"&amp;$A$8&amp;"*",Pay_Code,$A59,pp_Hrs_Wkd_Pay_Code,"&gt;="&amp;$V$1,pp_OT_Pay_Code,"&gt;="&amp;$V$2,pp_Bon_Pay_Code,"&gt;="&amp;$V$3,pp_Meal_Pay_Code,"&gt;="&amp;$V$4,pp_Sick_Pay_Code,"&gt;="&amp;$V$5,pp_Diff_Pay_Code,"&gt;="&amp;$V$6),_xlpm.calc2,COUNTIFS(Pay_Key_Gps,"*"&amp;$A$8&amp;"*",Pay_Code,$A59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59" s="138" t="e" cm="1">
        <f t="array" ref="P59">_xlfn.LET(_xlpm.calc,COUNTIFS(Rate_Gp,P$11,Pay_Key_Gps,"*"&amp;$A$8&amp;"*",Pay_Code,$A59,pp_Hrs_Wkd_Pay_Code,"&gt;="&amp;$V$1,pp_OT_Pay_Code,"&gt;="&amp;$V$2,pp_Bon_Pay_Code,"&gt;="&amp;$V$3,pp_Meal_Pay_Code,"&gt;="&amp;$V$4,pp_Sick_Pay_Code,"&gt;="&amp;$V$5,pp_Diff_Pay_Code,"&gt;="&amp;$V$6),_xlpm.calc2,COUNTIFS(Pay_Key_Gps,"*"&amp;$A$8&amp;"*",Pay_Code,$A59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59" s="138" t="e" cm="1">
        <f t="array" ref="Q59">_xlfn.LET(_xlpm.calc,COUNTIFS(Rate_Gp,Q$11,Pay_Key_Gps,"*"&amp;$A$8&amp;"*",Pay_Code,$A59,pp_Hrs_Wkd_Pay_Code,"&gt;="&amp;$V$1,pp_OT_Pay_Code,"&gt;="&amp;$V$2,pp_Bon_Pay_Code,"&gt;="&amp;$V$3,pp_Meal_Pay_Code,"&gt;="&amp;$V$4,pp_Sick_Pay_Code,"&gt;="&amp;$V$5,pp_Diff_Pay_Code,"&gt;="&amp;$V$6),_xlpm.calc2,COUNTIFS(Pay_Key_Gps,"*"&amp;$A$8&amp;"*",Pay_Code,$A59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59" s="138" t="e" cm="1">
        <f t="array" ref="R59">_xlfn.LET(_xlpm.calc,COUNTIFS(Rate_Gp,R$11,Pay_Key_Gps,"*"&amp;$A$8&amp;"*",Pay_Code,$A59,pp_Hrs_Wkd_Pay_Code,"&gt;="&amp;$V$1,pp_OT_Pay_Code,"&gt;="&amp;$V$2,pp_Bon_Pay_Code,"&gt;="&amp;$V$3,pp_Meal_Pay_Code,"&gt;="&amp;$V$4,pp_Sick_Pay_Code,"&gt;="&amp;$V$5,pp_Diff_Pay_Code,"&gt;="&amp;$V$6),_xlpm.calc2,COUNTIFS(Pay_Key_Gps,"*"&amp;$A$8&amp;"*",Pay_Code,$A59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59" s="138" t="e" cm="1">
        <f t="array" ref="S59">_xlfn.LET(_xlpm.calc,COUNTIFS(Rate_Gp,S$11,Pay_Key_Gps,"*"&amp;$A$8&amp;"*",Pay_Code,$A59,pp_Hrs_Wkd_Pay_Code,"&gt;="&amp;$V$1,pp_OT_Pay_Code,"&gt;="&amp;$V$2,pp_Bon_Pay_Code,"&gt;="&amp;$V$3,pp_Meal_Pay_Code,"&gt;="&amp;$V$4,pp_Sick_Pay_Code,"&gt;="&amp;$V$5,pp_Diff_Pay_Code,"&gt;="&amp;$V$6),_xlpm.calc2,COUNTIFS(Pay_Key_Gps,"*"&amp;$A$8&amp;"*",Pay_Code,$A59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59" s="138" t="e" cm="1">
        <f t="array" ref="T59">_xlfn.LET(_xlpm.calc,COUNTIFS(Rate_Gp,T$11,Pay_Key_Gps,"*"&amp;$A$8&amp;"*",Pay_Code,$A59,pp_Hrs_Wkd_Pay_Code,"&gt;="&amp;$V$1,pp_OT_Pay_Code,"&gt;="&amp;$V$2,pp_Bon_Pay_Code,"&gt;="&amp;$V$3,pp_Meal_Pay_Code,"&gt;="&amp;$V$4,pp_Sick_Pay_Code,"&gt;="&amp;$V$5,pp_Diff_Pay_Code,"&gt;="&amp;$V$6),_xlpm.calc2,COUNTIFS(Pay_Key_Gps,"*"&amp;$A$8&amp;"*",Pay_Code,$A59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59" s="139" t="e" cm="1">
        <f t="array" ref="U59">_xlfn.LET(_xlpm.calc,COUNTIFS(Pay_Key_Gps,"*"&amp;$A$8&amp;"*",Pay_Code,$A59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59" s="118"/>
      <c r="W59" s="121"/>
      <c r="X59" s="149"/>
      <c r="Y59" s="149"/>
      <c r="Z59" s="149"/>
      <c r="AA59" s="149"/>
      <c r="AB59" s="140" t="e">
        <f t="shared" si="3"/>
        <v>#NAME?</v>
      </c>
    </row>
    <row r="60" spans="1:28" s="122" customFormat="1" x14ac:dyDescent="0.25">
      <c r="A60" s="133"/>
      <c r="B60" s="134" t="e" cm="1">
        <f t="array" ref="B60">_xlfn.LET(_xlpm.calc,_xlfn.MINIFS(Pay_Period_End,Pay_Key_Gps,"*"&amp;$A$8&amp;"*",Pay_Code,$A60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60" s="134" t="e" cm="1">
        <f t="array" ref="C60">_xlfn.LET(_xlpm.calc,_xlfn.MAXIFS(Pay_Period_End,Pay_Key_Gps,"*"&amp;$A$8&amp;"*",Pay_Code,$A60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60" s="135" t="str" cm="1">
        <f t="array" ref="D60">_xlfn.LET(_xlpm.calc,IFERROR(ROWS(_xlfn.UNIQUE(_xlfn._xlws.FILTER(Pay_ID,(IFERROR(SEARCH($A$8,Pay_Key_Gps),0)&gt;0) * (Pay_Code=$A60) * (pp_Hrs_Wkd_Pay_Code &gt;= $V$1) * (pp_OT_Pay_Code &gt;= $V$2) * (pp_Bon_Pay_Code &gt;= $V$3) * (pp_Meal_Pay_Code &gt;= $V$4) * (pp_Sick_Pay_Code &gt;= $V$5) * (pp_Diff_Pay_Code &gt;= $V$6)))),0),_xlpm.perc,_xlpm.calc/D$69,IFERROR(IF(_xlpm.calc&gt;1000,_xlfn.CONCAT(TEXT(_xlpm.calc,"0,000")," (",TEXT(_xlpm.perc,"0.0%"),")"),_xlfn.CONCAT(_xlpm.calc," (",TEXT(_xlpm.perc,"0.0%"),")")),"-"))</f>
        <v>-</v>
      </c>
      <c r="E60" s="135" t="str" cm="1">
        <f t="array" ref="E60">_xlfn.LET(_xlpm.calc,IFERROR(ROWS(_xlfn.UNIQUE(_xlfn._xlws.FILTER(Pay_ID_Period_End,(IFERROR(SEARCH($A$8,Pay_Key_Gps),0)&gt;0) * (Pay_Code=$A60) * (pp_Hrs_Wkd_Pay_Code &gt;= $V$1) * (pp_OT_Pay_Code &gt;= $V$2) * (pp_Bon_Pay_Code &gt;= $V$3) * (pp_Meal_Pay_Code &gt;= $V$4) * (pp_Sick_Pay_Code &gt;= $V$5) * (pp_Diff_Pay_Code &gt;= $V$6)))),0),_xlpm.perc,_xlpm.calc/E$69,IFERROR(IF(_xlpm.calc&gt;1000,_xlfn.CONCAT(TEXT(_xlpm.calc,"0,000")," (",TEXT(_xlpm.perc,"0.0%"),")"),_xlfn.CONCAT(_xlpm.calc," (",TEXT(_xlpm.perc,"0.0%"),")")),"-"))</f>
        <v>-</v>
      </c>
      <c r="F60" s="136" t="e">
        <f t="shared" si="1"/>
        <v>#NAME?</v>
      </c>
      <c r="G60" s="137" t="e">
        <f t="shared" si="2"/>
        <v>#NAME?</v>
      </c>
      <c r="H60" s="137" t="str" cm="1">
        <f t="array" ref="H60">IFERROR(AVERAGEIFS(Pay_Amount,Pay_Key_Gps,"*"&amp;$A$8&amp;"*",Pay_Code,$A60,pp_Hrs_Wkd_Pay_Code,"&gt;="&amp;$V$1,pp_OT_Pay_Code,"&gt;="&amp;$V$2,pp_Bon_Pay_Code,"&gt;="&amp;$V$3,pp_Meal_Pay_Code,"&gt;="&amp;$V$4,pp_Sick_Pay_Code,"&gt;="&amp;$V$5,pp_Diff_Pay_Code,"&gt;="&amp;$V$6),"-")</f>
        <v>-</v>
      </c>
      <c r="J60" s="133">
        <f t="shared" si="6"/>
        <v>0</v>
      </c>
      <c r="K60" s="138" t="e" cm="1">
        <f t="array" ref="K60">_xlfn.LET(_xlpm.calc,COUNTIFS(Rate_Gp,K$11,Pay_Key_Gps,"*"&amp;$A$8&amp;"*",Pay_Code,$A60,pp_Hrs_Wkd_Pay_Code,"&gt;="&amp;$V$1,pp_OT_Pay_Code,"&gt;="&amp;$V$2,pp_Bon_Pay_Code,"&gt;="&amp;$V$3,pp_Meal_Pay_Code,"&gt;="&amp;$V$4,pp_Sick_Pay_Code,"&gt;="&amp;$V$5,pp_Diff_Pay_Code,"&gt;="&amp;$V$6),_xlpm.calc2,COUNTIFS(Pay_Key_Gps,"*"&amp;$A$8&amp;"*",Pay_Code,$A60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60" s="138" t="e" cm="1">
        <f t="array" ref="L60">_xlfn.LET(_xlpm.calc,COUNTIFS(Rate_Gp,L$11,Pay_Key_Gps,"*"&amp;$A$8&amp;"*",Pay_Code,$A60,pp_Hrs_Wkd_Pay_Code,"&gt;="&amp;$V$1,pp_OT_Pay_Code,"&gt;="&amp;$V$2,pp_Bon_Pay_Code,"&gt;="&amp;$V$3,pp_Meal_Pay_Code,"&gt;="&amp;$V$4,pp_Sick_Pay_Code,"&gt;="&amp;$V$5,pp_Diff_Pay_Code,"&gt;="&amp;$V$6),_xlpm.calc2,COUNTIFS(Pay_Key_Gps,"*"&amp;$A$8&amp;"*",Pay_Code,$A60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60" s="138" t="e" cm="1">
        <f t="array" ref="M60">_xlfn.LET(_xlpm.calc,COUNTIFS(Rate_Gp,M$11,Pay_Key_Gps,"*"&amp;$A$8&amp;"*",Pay_Code,$A60,pp_Hrs_Wkd_Pay_Code,"&gt;="&amp;$V$1,pp_OT_Pay_Code,"&gt;="&amp;$V$2,pp_Bon_Pay_Code,"&gt;="&amp;$V$3,pp_Meal_Pay_Code,"&gt;="&amp;$V$4,pp_Sick_Pay_Code,"&gt;="&amp;$V$5,pp_Diff_Pay_Code,"&gt;="&amp;$V$6),_xlpm.calc2,COUNTIFS(Pay_Key_Gps,"*"&amp;$A$8&amp;"*",Pay_Code,$A60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60" s="138" t="e" cm="1">
        <f t="array" ref="N60">_xlfn.LET(_xlpm.calc,COUNTIFS(Rate_Gp,N$11,Pay_Key_Gps,"*"&amp;$A$8&amp;"*",Pay_Code,$A60,pp_Hrs_Wkd_Pay_Code,"&gt;="&amp;$V$1,pp_OT_Pay_Code,"&gt;="&amp;$V$2,pp_Bon_Pay_Code,"&gt;="&amp;$V$3,pp_Meal_Pay_Code,"&gt;="&amp;$V$4,pp_Sick_Pay_Code,"&gt;="&amp;$V$5,pp_Diff_Pay_Code,"&gt;="&amp;$V$6),_xlpm.calc2,COUNTIFS(Pay_Key_Gps,"*"&amp;$A$8&amp;"*",Pay_Code,$A60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60" s="138" t="e" cm="1">
        <f t="array" ref="O60">_xlfn.LET(_xlpm.calc,COUNTIFS(Rate_Gp,O$11,Pay_Key_Gps,"*"&amp;$A$8&amp;"*",Pay_Code,$A60,pp_Hrs_Wkd_Pay_Code,"&gt;="&amp;$V$1,pp_OT_Pay_Code,"&gt;="&amp;$V$2,pp_Bon_Pay_Code,"&gt;="&amp;$V$3,pp_Meal_Pay_Code,"&gt;="&amp;$V$4,pp_Sick_Pay_Code,"&gt;="&amp;$V$5,pp_Diff_Pay_Code,"&gt;="&amp;$V$6),_xlpm.calc2,COUNTIFS(Pay_Key_Gps,"*"&amp;$A$8&amp;"*",Pay_Code,$A60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60" s="138" t="e" cm="1">
        <f t="array" ref="P60">_xlfn.LET(_xlpm.calc,COUNTIFS(Rate_Gp,P$11,Pay_Key_Gps,"*"&amp;$A$8&amp;"*",Pay_Code,$A60,pp_Hrs_Wkd_Pay_Code,"&gt;="&amp;$V$1,pp_OT_Pay_Code,"&gt;="&amp;$V$2,pp_Bon_Pay_Code,"&gt;="&amp;$V$3,pp_Meal_Pay_Code,"&gt;="&amp;$V$4,pp_Sick_Pay_Code,"&gt;="&amp;$V$5,pp_Diff_Pay_Code,"&gt;="&amp;$V$6),_xlpm.calc2,COUNTIFS(Pay_Key_Gps,"*"&amp;$A$8&amp;"*",Pay_Code,$A60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60" s="138" t="e" cm="1">
        <f t="array" ref="Q60">_xlfn.LET(_xlpm.calc,COUNTIFS(Rate_Gp,Q$11,Pay_Key_Gps,"*"&amp;$A$8&amp;"*",Pay_Code,$A60,pp_Hrs_Wkd_Pay_Code,"&gt;="&amp;$V$1,pp_OT_Pay_Code,"&gt;="&amp;$V$2,pp_Bon_Pay_Code,"&gt;="&amp;$V$3,pp_Meal_Pay_Code,"&gt;="&amp;$V$4,pp_Sick_Pay_Code,"&gt;="&amp;$V$5,pp_Diff_Pay_Code,"&gt;="&amp;$V$6),_xlpm.calc2,COUNTIFS(Pay_Key_Gps,"*"&amp;$A$8&amp;"*",Pay_Code,$A60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60" s="138" t="e" cm="1">
        <f t="array" ref="R60">_xlfn.LET(_xlpm.calc,COUNTIFS(Rate_Gp,R$11,Pay_Key_Gps,"*"&amp;$A$8&amp;"*",Pay_Code,$A60,pp_Hrs_Wkd_Pay_Code,"&gt;="&amp;$V$1,pp_OT_Pay_Code,"&gt;="&amp;$V$2,pp_Bon_Pay_Code,"&gt;="&amp;$V$3,pp_Meal_Pay_Code,"&gt;="&amp;$V$4,pp_Sick_Pay_Code,"&gt;="&amp;$V$5,pp_Diff_Pay_Code,"&gt;="&amp;$V$6),_xlpm.calc2,COUNTIFS(Pay_Key_Gps,"*"&amp;$A$8&amp;"*",Pay_Code,$A60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60" s="138" t="e" cm="1">
        <f t="array" ref="S60">_xlfn.LET(_xlpm.calc,COUNTIFS(Rate_Gp,S$11,Pay_Key_Gps,"*"&amp;$A$8&amp;"*",Pay_Code,$A60,pp_Hrs_Wkd_Pay_Code,"&gt;="&amp;$V$1,pp_OT_Pay_Code,"&gt;="&amp;$V$2,pp_Bon_Pay_Code,"&gt;="&amp;$V$3,pp_Meal_Pay_Code,"&gt;="&amp;$V$4,pp_Sick_Pay_Code,"&gt;="&amp;$V$5,pp_Diff_Pay_Code,"&gt;="&amp;$V$6),_xlpm.calc2,COUNTIFS(Pay_Key_Gps,"*"&amp;$A$8&amp;"*",Pay_Code,$A60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60" s="138" t="e" cm="1">
        <f t="array" ref="T60">_xlfn.LET(_xlpm.calc,COUNTIFS(Rate_Gp,T$11,Pay_Key_Gps,"*"&amp;$A$8&amp;"*",Pay_Code,$A60,pp_Hrs_Wkd_Pay_Code,"&gt;="&amp;$V$1,pp_OT_Pay_Code,"&gt;="&amp;$V$2,pp_Bon_Pay_Code,"&gt;="&amp;$V$3,pp_Meal_Pay_Code,"&gt;="&amp;$V$4,pp_Sick_Pay_Code,"&gt;="&amp;$V$5,pp_Diff_Pay_Code,"&gt;="&amp;$V$6),_xlpm.calc2,COUNTIFS(Pay_Key_Gps,"*"&amp;$A$8&amp;"*",Pay_Code,$A60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60" s="139" t="e" cm="1">
        <f t="array" ref="U60">_xlfn.LET(_xlpm.calc,COUNTIFS(Pay_Key_Gps,"*"&amp;$A$8&amp;"*",Pay_Code,$A60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60" s="118"/>
      <c r="W60" s="118"/>
      <c r="X60" s="149"/>
      <c r="Y60" s="149"/>
      <c r="Z60" s="149"/>
      <c r="AA60" s="149"/>
      <c r="AB60" s="140" t="e">
        <f t="shared" si="3"/>
        <v>#NAME?</v>
      </c>
    </row>
    <row r="61" spans="1:28" s="122" customFormat="1" x14ac:dyDescent="0.25">
      <c r="A61" s="133"/>
      <c r="B61" s="134" t="e" cm="1">
        <f t="array" ref="B61">_xlfn.LET(_xlpm.calc,_xlfn.MINIFS(Pay_Period_End,Pay_Key_Gps,"*"&amp;$A$8&amp;"*",Pay_Code,$A61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61" s="134" t="e" cm="1">
        <f t="array" ref="C61">_xlfn.LET(_xlpm.calc,_xlfn.MAXIFS(Pay_Period_End,Pay_Key_Gps,"*"&amp;$A$8&amp;"*",Pay_Code,$A61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61" s="135" t="str" cm="1">
        <f t="array" ref="D61">_xlfn.LET(_xlpm.calc,IFERROR(ROWS(_xlfn.UNIQUE(_xlfn._xlws.FILTER(Pay_ID,(IFERROR(SEARCH($A$8,Pay_Key_Gps),0)&gt;0) * (Pay_Code=$A61) * (pp_Hrs_Wkd_Pay_Code &gt;= $V$1) * (pp_OT_Pay_Code &gt;= $V$2) * (pp_Bon_Pay_Code &gt;= $V$3) * (pp_Meal_Pay_Code &gt;= $V$4) * (pp_Sick_Pay_Code &gt;= $V$5) * (pp_Diff_Pay_Code &gt;= $V$6)))),0),_xlpm.perc,_xlpm.calc/D$69,IFERROR(IF(_xlpm.calc&gt;1000,_xlfn.CONCAT(TEXT(_xlpm.calc,"0,000")," (",TEXT(_xlpm.perc,"0.0%"),")"),_xlfn.CONCAT(_xlpm.calc," (",TEXT(_xlpm.perc,"0.0%"),")")),"-"))</f>
        <v>-</v>
      </c>
      <c r="E61" s="135" t="str" cm="1">
        <f t="array" ref="E61">_xlfn.LET(_xlpm.calc,IFERROR(ROWS(_xlfn.UNIQUE(_xlfn._xlws.FILTER(Pay_ID_Period_End,(IFERROR(SEARCH($A$8,Pay_Key_Gps),0)&gt;0) * (Pay_Code=$A61) * (pp_Hrs_Wkd_Pay_Code &gt;= $V$1) * (pp_OT_Pay_Code &gt;= $V$2) * (pp_Bon_Pay_Code &gt;= $V$3) * (pp_Meal_Pay_Code &gt;= $V$4) * (pp_Sick_Pay_Code &gt;= $V$5) * (pp_Diff_Pay_Code &gt;= $V$6)))),0),_xlpm.perc,_xlpm.calc/E$69,IFERROR(IF(_xlpm.calc&gt;1000,_xlfn.CONCAT(TEXT(_xlpm.calc,"0,000")," (",TEXT(_xlpm.perc,"0.0%"),")"),_xlfn.CONCAT(_xlpm.calc," (",TEXT(_xlpm.perc,"0.0%"),")")),"-"))</f>
        <v>-</v>
      </c>
      <c r="F61" s="136" t="e">
        <f t="shared" si="1"/>
        <v>#NAME?</v>
      </c>
      <c r="G61" s="137" t="e">
        <f t="shared" si="2"/>
        <v>#NAME?</v>
      </c>
      <c r="H61" s="137" t="str" cm="1">
        <f t="array" ref="H61">IFERROR(AVERAGEIFS(Pay_Amount,Pay_Key_Gps,"*"&amp;$A$8&amp;"*",Pay_Code,$A61,pp_Hrs_Wkd_Pay_Code,"&gt;="&amp;$V$1,pp_OT_Pay_Code,"&gt;="&amp;$V$2,pp_Bon_Pay_Code,"&gt;="&amp;$V$3,pp_Meal_Pay_Code,"&gt;="&amp;$V$4,pp_Sick_Pay_Code,"&gt;="&amp;$V$5,pp_Diff_Pay_Code,"&gt;="&amp;$V$6),"-")</f>
        <v>-</v>
      </c>
      <c r="J61" s="133">
        <f t="shared" si="6"/>
        <v>0</v>
      </c>
      <c r="K61" s="138" t="e" cm="1">
        <f t="array" ref="K61">_xlfn.LET(_xlpm.calc,COUNTIFS(Rate_Gp,K$11,Pay_Key_Gps,"*"&amp;$A$8&amp;"*",Pay_Code,$A61,pp_Hrs_Wkd_Pay_Code,"&gt;="&amp;$V$1,pp_OT_Pay_Code,"&gt;="&amp;$V$2,pp_Bon_Pay_Code,"&gt;="&amp;$V$3,pp_Meal_Pay_Code,"&gt;="&amp;$V$4,pp_Sick_Pay_Code,"&gt;="&amp;$V$5,pp_Diff_Pay_Code,"&gt;="&amp;$V$6),_xlpm.calc2,COUNTIFS(Pay_Key_Gps,"*"&amp;$A$8&amp;"*",Pay_Code,$A61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61" s="138" t="e" cm="1">
        <f t="array" ref="L61">_xlfn.LET(_xlpm.calc,COUNTIFS(Rate_Gp,L$11,Pay_Key_Gps,"*"&amp;$A$8&amp;"*",Pay_Code,$A61,pp_Hrs_Wkd_Pay_Code,"&gt;="&amp;$V$1,pp_OT_Pay_Code,"&gt;="&amp;$V$2,pp_Bon_Pay_Code,"&gt;="&amp;$V$3,pp_Meal_Pay_Code,"&gt;="&amp;$V$4,pp_Sick_Pay_Code,"&gt;="&amp;$V$5,pp_Diff_Pay_Code,"&gt;="&amp;$V$6),_xlpm.calc2,COUNTIFS(Pay_Key_Gps,"*"&amp;$A$8&amp;"*",Pay_Code,$A61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61" s="138" t="e" cm="1">
        <f t="array" ref="M61">_xlfn.LET(_xlpm.calc,COUNTIFS(Rate_Gp,M$11,Pay_Key_Gps,"*"&amp;$A$8&amp;"*",Pay_Code,$A61,pp_Hrs_Wkd_Pay_Code,"&gt;="&amp;$V$1,pp_OT_Pay_Code,"&gt;="&amp;$V$2,pp_Bon_Pay_Code,"&gt;="&amp;$V$3,pp_Meal_Pay_Code,"&gt;="&amp;$V$4,pp_Sick_Pay_Code,"&gt;="&amp;$V$5,pp_Diff_Pay_Code,"&gt;="&amp;$V$6),_xlpm.calc2,COUNTIFS(Pay_Key_Gps,"*"&amp;$A$8&amp;"*",Pay_Code,$A61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61" s="138" t="e" cm="1">
        <f t="array" ref="N61">_xlfn.LET(_xlpm.calc,COUNTIFS(Rate_Gp,N$11,Pay_Key_Gps,"*"&amp;$A$8&amp;"*",Pay_Code,$A61,pp_Hrs_Wkd_Pay_Code,"&gt;="&amp;$V$1,pp_OT_Pay_Code,"&gt;="&amp;$V$2,pp_Bon_Pay_Code,"&gt;="&amp;$V$3,pp_Meal_Pay_Code,"&gt;="&amp;$V$4,pp_Sick_Pay_Code,"&gt;="&amp;$V$5,pp_Diff_Pay_Code,"&gt;="&amp;$V$6),_xlpm.calc2,COUNTIFS(Pay_Key_Gps,"*"&amp;$A$8&amp;"*",Pay_Code,$A61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61" s="138" t="e" cm="1">
        <f t="array" ref="O61">_xlfn.LET(_xlpm.calc,COUNTIFS(Rate_Gp,O$11,Pay_Key_Gps,"*"&amp;$A$8&amp;"*",Pay_Code,$A61,pp_Hrs_Wkd_Pay_Code,"&gt;="&amp;$V$1,pp_OT_Pay_Code,"&gt;="&amp;$V$2,pp_Bon_Pay_Code,"&gt;="&amp;$V$3,pp_Meal_Pay_Code,"&gt;="&amp;$V$4,pp_Sick_Pay_Code,"&gt;="&amp;$V$5,pp_Diff_Pay_Code,"&gt;="&amp;$V$6),_xlpm.calc2,COUNTIFS(Pay_Key_Gps,"*"&amp;$A$8&amp;"*",Pay_Code,$A61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61" s="138" t="e" cm="1">
        <f t="array" ref="P61">_xlfn.LET(_xlpm.calc,COUNTIFS(Rate_Gp,P$11,Pay_Key_Gps,"*"&amp;$A$8&amp;"*",Pay_Code,$A61,pp_Hrs_Wkd_Pay_Code,"&gt;="&amp;$V$1,pp_OT_Pay_Code,"&gt;="&amp;$V$2,pp_Bon_Pay_Code,"&gt;="&amp;$V$3,pp_Meal_Pay_Code,"&gt;="&amp;$V$4,pp_Sick_Pay_Code,"&gt;="&amp;$V$5,pp_Diff_Pay_Code,"&gt;="&amp;$V$6),_xlpm.calc2,COUNTIFS(Pay_Key_Gps,"*"&amp;$A$8&amp;"*",Pay_Code,$A61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61" s="138" t="e" cm="1">
        <f t="array" ref="Q61">_xlfn.LET(_xlpm.calc,COUNTIFS(Rate_Gp,Q$11,Pay_Key_Gps,"*"&amp;$A$8&amp;"*",Pay_Code,$A61,pp_Hrs_Wkd_Pay_Code,"&gt;="&amp;$V$1,pp_OT_Pay_Code,"&gt;="&amp;$V$2,pp_Bon_Pay_Code,"&gt;="&amp;$V$3,pp_Meal_Pay_Code,"&gt;="&amp;$V$4,pp_Sick_Pay_Code,"&gt;="&amp;$V$5,pp_Diff_Pay_Code,"&gt;="&amp;$V$6),_xlpm.calc2,COUNTIFS(Pay_Key_Gps,"*"&amp;$A$8&amp;"*",Pay_Code,$A61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61" s="138" t="e" cm="1">
        <f t="array" ref="R61">_xlfn.LET(_xlpm.calc,COUNTIFS(Rate_Gp,R$11,Pay_Key_Gps,"*"&amp;$A$8&amp;"*",Pay_Code,$A61,pp_Hrs_Wkd_Pay_Code,"&gt;="&amp;$V$1,pp_OT_Pay_Code,"&gt;="&amp;$V$2,pp_Bon_Pay_Code,"&gt;="&amp;$V$3,pp_Meal_Pay_Code,"&gt;="&amp;$V$4,pp_Sick_Pay_Code,"&gt;="&amp;$V$5,pp_Diff_Pay_Code,"&gt;="&amp;$V$6),_xlpm.calc2,COUNTIFS(Pay_Key_Gps,"*"&amp;$A$8&amp;"*",Pay_Code,$A61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61" s="138" t="e" cm="1">
        <f t="array" ref="S61">_xlfn.LET(_xlpm.calc,COUNTIFS(Rate_Gp,S$11,Pay_Key_Gps,"*"&amp;$A$8&amp;"*",Pay_Code,$A61,pp_Hrs_Wkd_Pay_Code,"&gt;="&amp;$V$1,pp_OT_Pay_Code,"&gt;="&amp;$V$2,pp_Bon_Pay_Code,"&gt;="&amp;$V$3,pp_Meal_Pay_Code,"&gt;="&amp;$V$4,pp_Sick_Pay_Code,"&gt;="&amp;$V$5,pp_Diff_Pay_Code,"&gt;="&amp;$V$6),_xlpm.calc2,COUNTIFS(Pay_Key_Gps,"*"&amp;$A$8&amp;"*",Pay_Code,$A61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61" s="138" t="e" cm="1">
        <f t="array" ref="T61">_xlfn.LET(_xlpm.calc,COUNTIFS(Rate_Gp,T$11,Pay_Key_Gps,"*"&amp;$A$8&amp;"*",Pay_Code,$A61,pp_Hrs_Wkd_Pay_Code,"&gt;="&amp;$V$1,pp_OT_Pay_Code,"&gt;="&amp;$V$2,pp_Bon_Pay_Code,"&gt;="&amp;$V$3,pp_Meal_Pay_Code,"&gt;="&amp;$V$4,pp_Sick_Pay_Code,"&gt;="&amp;$V$5,pp_Diff_Pay_Code,"&gt;="&amp;$V$6),_xlpm.calc2,COUNTIFS(Pay_Key_Gps,"*"&amp;$A$8&amp;"*",Pay_Code,$A61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61" s="139" t="e" cm="1">
        <f t="array" ref="U61">_xlfn.LET(_xlpm.calc,COUNTIFS(Pay_Key_Gps,"*"&amp;$A$8&amp;"*",Pay_Code,$A61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61" s="118"/>
      <c r="W61" s="118"/>
      <c r="X61" s="149"/>
      <c r="Y61" s="149"/>
      <c r="Z61" s="149"/>
      <c r="AA61" s="149"/>
      <c r="AB61" s="140" t="e">
        <f t="shared" si="3"/>
        <v>#NAME?</v>
      </c>
    </row>
    <row r="62" spans="1:28" s="122" customFormat="1" x14ac:dyDescent="0.25">
      <c r="A62" s="133"/>
      <c r="B62" s="134" t="e" cm="1">
        <f t="array" ref="B62">_xlfn.LET(_xlpm.calc,_xlfn.MINIFS(Pay_Period_End,Pay_Key_Gps,"*"&amp;$A$8&amp;"*",Pay_Code,$A62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62" s="134" t="e" cm="1">
        <f t="array" ref="C62">_xlfn.LET(_xlpm.calc,_xlfn.MAXIFS(Pay_Period_End,Pay_Key_Gps,"*"&amp;$A$8&amp;"*",Pay_Code,$A62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62" s="135" t="str" cm="1">
        <f t="array" ref="D62">_xlfn.LET(_xlpm.calc,IFERROR(ROWS(_xlfn.UNIQUE(_xlfn._xlws.FILTER(Pay_ID,(IFERROR(SEARCH($A$8,Pay_Key_Gps),0)&gt;0) * (Pay_Code=$A62) * (pp_Hrs_Wkd_Pay_Code &gt;= $V$1) * (pp_OT_Pay_Code &gt;= $V$2) * (pp_Bon_Pay_Code &gt;= $V$3) * (pp_Meal_Pay_Code &gt;= $V$4) * (pp_Sick_Pay_Code &gt;= $V$5) * (pp_Diff_Pay_Code &gt;= $V$6)))),0),_xlpm.perc,_xlpm.calc/D$69,IFERROR(IF(_xlpm.calc&gt;1000,_xlfn.CONCAT(TEXT(_xlpm.calc,"0,000")," (",TEXT(_xlpm.perc,"0.0%"),")"),_xlfn.CONCAT(_xlpm.calc," (",TEXT(_xlpm.perc,"0.0%"),")")),"-"))</f>
        <v>-</v>
      </c>
      <c r="E62" s="135" t="str" cm="1">
        <f t="array" ref="E62">_xlfn.LET(_xlpm.calc,IFERROR(ROWS(_xlfn.UNIQUE(_xlfn._xlws.FILTER(Pay_ID_Period_End,(IFERROR(SEARCH($A$8,Pay_Key_Gps),0)&gt;0) * (Pay_Code=$A62) * (pp_Hrs_Wkd_Pay_Code &gt;= $V$1) * (pp_OT_Pay_Code &gt;= $V$2) * (pp_Bon_Pay_Code &gt;= $V$3) * (pp_Meal_Pay_Code &gt;= $V$4) * (pp_Sick_Pay_Code &gt;= $V$5) * (pp_Diff_Pay_Code &gt;= $V$6)))),0),_xlpm.perc,_xlpm.calc/E$69,IFERROR(IF(_xlpm.calc&gt;1000,_xlfn.CONCAT(TEXT(_xlpm.calc,"0,000")," (",TEXT(_xlpm.perc,"0.0%"),")"),_xlfn.CONCAT(_xlpm.calc," (",TEXT(_xlpm.perc,"0.0%"),")")),"-"))</f>
        <v>-</v>
      </c>
      <c r="F62" s="136" t="e">
        <f t="shared" si="1"/>
        <v>#NAME?</v>
      </c>
      <c r="G62" s="137" t="e">
        <f t="shared" si="2"/>
        <v>#NAME?</v>
      </c>
      <c r="H62" s="137" t="str" cm="1">
        <f t="array" ref="H62">IFERROR(AVERAGEIFS(Pay_Amount,Pay_Key_Gps,"*"&amp;$A$8&amp;"*",Pay_Code,$A62,pp_Hrs_Wkd_Pay_Code,"&gt;="&amp;$V$1,pp_OT_Pay_Code,"&gt;="&amp;$V$2,pp_Bon_Pay_Code,"&gt;="&amp;$V$3,pp_Meal_Pay_Code,"&gt;="&amp;$V$4,pp_Sick_Pay_Code,"&gt;="&amp;$V$5,pp_Diff_Pay_Code,"&gt;="&amp;$V$6),"-")</f>
        <v>-</v>
      </c>
      <c r="J62" s="133">
        <f t="shared" si="6"/>
        <v>0</v>
      </c>
      <c r="K62" s="138" t="e" cm="1">
        <f t="array" ref="K62">_xlfn.LET(_xlpm.calc,COUNTIFS(Rate_Gp,K$11,Pay_Key_Gps,"*"&amp;$A$8&amp;"*",Pay_Code,$A62,pp_Hrs_Wkd_Pay_Code,"&gt;="&amp;$V$1,pp_OT_Pay_Code,"&gt;="&amp;$V$2,pp_Bon_Pay_Code,"&gt;="&amp;$V$3,pp_Meal_Pay_Code,"&gt;="&amp;$V$4,pp_Sick_Pay_Code,"&gt;="&amp;$V$5,pp_Diff_Pay_Code,"&gt;="&amp;$V$6),_xlpm.calc2,COUNTIFS(Pay_Key_Gps,"*"&amp;$A$8&amp;"*",Pay_Code,$A62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62" s="138" t="e" cm="1">
        <f t="array" ref="L62">_xlfn.LET(_xlpm.calc,COUNTIFS(Rate_Gp,L$11,Pay_Key_Gps,"*"&amp;$A$8&amp;"*",Pay_Code,$A62,pp_Hrs_Wkd_Pay_Code,"&gt;="&amp;$V$1,pp_OT_Pay_Code,"&gt;="&amp;$V$2,pp_Bon_Pay_Code,"&gt;="&amp;$V$3,pp_Meal_Pay_Code,"&gt;="&amp;$V$4,pp_Sick_Pay_Code,"&gt;="&amp;$V$5,pp_Diff_Pay_Code,"&gt;="&amp;$V$6),_xlpm.calc2,COUNTIFS(Pay_Key_Gps,"*"&amp;$A$8&amp;"*",Pay_Code,$A62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62" s="138" t="e" cm="1">
        <f t="array" ref="M62">_xlfn.LET(_xlpm.calc,COUNTIFS(Rate_Gp,M$11,Pay_Key_Gps,"*"&amp;$A$8&amp;"*",Pay_Code,$A62,pp_Hrs_Wkd_Pay_Code,"&gt;="&amp;$V$1,pp_OT_Pay_Code,"&gt;="&amp;$V$2,pp_Bon_Pay_Code,"&gt;="&amp;$V$3,pp_Meal_Pay_Code,"&gt;="&amp;$V$4,pp_Sick_Pay_Code,"&gt;="&amp;$V$5,pp_Diff_Pay_Code,"&gt;="&amp;$V$6),_xlpm.calc2,COUNTIFS(Pay_Key_Gps,"*"&amp;$A$8&amp;"*",Pay_Code,$A62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62" s="138" t="e" cm="1">
        <f t="array" ref="N62">_xlfn.LET(_xlpm.calc,COUNTIFS(Rate_Gp,N$11,Pay_Key_Gps,"*"&amp;$A$8&amp;"*",Pay_Code,$A62,pp_Hrs_Wkd_Pay_Code,"&gt;="&amp;$V$1,pp_OT_Pay_Code,"&gt;="&amp;$V$2,pp_Bon_Pay_Code,"&gt;="&amp;$V$3,pp_Meal_Pay_Code,"&gt;="&amp;$V$4,pp_Sick_Pay_Code,"&gt;="&amp;$V$5,pp_Diff_Pay_Code,"&gt;="&amp;$V$6),_xlpm.calc2,COUNTIFS(Pay_Key_Gps,"*"&amp;$A$8&amp;"*",Pay_Code,$A62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62" s="138" t="e" cm="1">
        <f t="array" ref="O62">_xlfn.LET(_xlpm.calc,COUNTIFS(Rate_Gp,O$11,Pay_Key_Gps,"*"&amp;$A$8&amp;"*",Pay_Code,$A62,pp_Hrs_Wkd_Pay_Code,"&gt;="&amp;$V$1,pp_OT_Pay_Code,"&gt;="&amp;$V$2,pp_Bon_Pay_Code,"&gt;="&amp;$V$3,pp_Meal_Pay_Code,"&gt;="&amp;$V$4,pp_Sick_Pay_Code,"&gt;="&amp;$V$5,pp_Diff_Pay_Code,"&gt;="&amp;$V$6),_xlpm.calc2,COUNTIFS(Pay_Key_Gps,"*"&amp;$A$8&amp;"*",Pay_Code,$A62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62" s="138" t="e" cm="1">
        <f t="array" ref="P62">_xlfn.LET(_xlpm.calc,COUNTIFS(Rate_Gp,P$11,Pay_Key_Gps,"*"&amp;$A$8&amp;"*",Pay_Code,$A62,pp_Hrs_Wkd_Pay_Code,"&gt;="&amp;$V$1,pp_OT_Pay_Code,"&gt;="&amp;$V$2,pp_Bon_Pay_Code,"&gt;="&amp;$V$3,pp_Meal_Pay_Code,"&gt;="&amp;$V$4,pp_Sick_Pay_Code,"&gt;="&amp;$V$5,pp_Diff_Pay_Code,"&gt;="&amp;$V$6),_xlpm.calc2,COUNTIFS(Pay_Key_Gps,"*"&amp;$A$8&amp;"*",Pay_Code,$A62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62" s="138" t="e" cm="1">
        <f t="array" ref="Q62">_xlfn.LET(_xlpm.calc,COUNTIFS(Rate_Gp,Q$11,Pay_Key_Gps,"*"&amp;$A$8&amp;"*",Pay_Code,$A62,pp_Hrs_Wkd_Pay_Code,"&gt;="&amp;$V$1,pp_OT_Pay_Code,"&gt;="&amp;$V$2,pp_Bon_Pay_Code,"&gt;="&amp;$V$3,pp_Meal_Pay_Code,"&gt;="&amp;$V$4,pp_Sick_Pay_Code,"&gt;="&amp;$V$5,pp_Diff_Pay_Code,"&gt;="&amp;$V$6),_xlpm.calc2,COUNTIFS(Pay_Key_Gps,"*"&amp;$A$8&amp;"*",Pay_Code,$A62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62" s="138" t="e" cm="1">
        <f t="array" ref="R62">_xlfn.LET(_xlpm.calc,COUNTIFS(Rate_Gp,R$11,Pay_Key_Gps,"*"&amp;$A$8&amp;"*",Pay_Code,$A62,pp_Hrs_Wkd_Pay_Code,"&gt;="&amp;$V$1,pp_OT_Pay_Code,"&gt;="&amp;$V$2,pp_Bon_Pay_Code,"&gt;="&amp;$V$3,pp_Meal_Pay_Code,"&gt;="&amp;$V$4,pp_Sick_Pay_Code,"&gt;="&amp;$V$5,pp_Diff_Pay_Code,"&gt;="&amp;$V$6),_xlpm.calc2,COUNTIFS(Pay_Key_Gps,"*"&amp;$A$8&amp;"*",Pay_Code,$A62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62" s="138" t="e" cm="1">
        <f t="array" ref="S62">_xlfn.LET(_xlpm.calc,COUNTIFS(Rate_Gp,S$11,Pay_Key_Gps,"*"&amp;$A$8&amp;"*",Pay_Code,$A62,pp_Hrs_Wkd_Pay_Code,"&gt;="&amp;$V$1,pp_OT_Pay_Code,"&gt;="&amp;$V$2,pp_Bon_Pay_Code,"&gt;="&amp;$V$3,pp_Meal_Pay_Code,"&gt;="&amp;$V$4,pp_Sick_Pay_Code,"&gt;="&amp;$V$5,pp_Diff_Pay_Code,"&gt;="&amp;$V$6),_xlpm.calc2,COUNTIFS(Pay_Key_Gps,"*"&amp;$A$8&amp;"*",Pay_Code,$A62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62" s="138" t="e" cm="1">
        <f t="array" ref="T62">_xlfn.LET(_xlpm.calc,COUNTIFS(Rate_Gp,T$11,Pay_Key_Gps,"*"&amp;$A$8&amp;"*",Pay_Code,$A62,pp_Hrs_Wkd_Pay_Code,"&gt;="&amp;$V$1,pp_OT_Pay_Code,"&gt;="&amp;$V$2,pp_Bon_Pay_Code,"&gt;="&amp;$V$3,pp_Meal_Pay_Code,"&gt;="&amp;$V$4,pp_Sick_Pay_Code,"&gt;="&amp;$V$5,pp_Diff_Pay_Code,"&gt;="&amp;$V$6),_xlpm.calc2,COUNTIFS(Pay_Key_Gps,"*"&amp;$A$8&amp;"*",Pay_Code,$A62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62" s="139" t="e" cm="1">
        <f t="array" ref="U62">_xlfn.LET(_xlpm.calc,COUNTIFS(Pay_Key_Gps,"*"&amp;$A$8&amp;"*",Pay_Code,$A62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62" s="118"/>
      <c r="W62" s="118"/>
      <c r="X62" s="149"/>
      <c r="Y62" s="149"/>
      <c r="Z62" s="149"/>
      <c r="AA62" s="149"/>
      <c r="AB62" s="140" t="e">
        <f t="shared" si="3"/>
        <v>#NAME?</v>
      </c>
    </row>
    <row r="63" spans="1:28" s="122" customFormat="1" x14ac:dyDescent="0.25">
      <c r="A63" s="133"/>
      <c r="B63" s="134" t="e" cm="1">
        <f t="array" ref="B63">_xlfn.LET(_xlpm.calc,_xlfn.MINIFS(Pay_Period_End,Pay_Key_Gps,"*"&amp;$A$8&amp;"*",Pay_Code,$A63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63" s="134" t="e" cm="1">
        <f t="array" ref="C63">_xlfn.LET(_xlpm.calc,_xlfn.MAXIFS(Pay_Period_End,Pay_Key_Gps,"*"&amp;$A$8&amp;"*",Pay_Code,$A63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63" s="135" t="str" cm="1">
        <f t="array" ref="D63">_xlfn.LET(_xlpm.calc,IFERROR(ROWS(_xlfn.UNIQUE(_xlfn._xlws.FILTER(Pay_ID,(IFERROR(SEARCH($A$8,Pay_Key_Gps),0)&gt;0) * (Pay_Code=$A63) * (pp_Hrs_Wkd_Pay_Code &gt;= $V$1) * (pp_OT_Pay_Code &gt;= $V$2) * (pp_Bon_Pay_Code &gt;= $V$3) * (pp_Meal_Pay_Code &gt;= $V$4) * (pp_Sick_Pay_Code &gt;= $V$5) * (pp_Diff_Pay_Code &gt;= $V$6)))),0),_xlpm.perc,_xlpm.calc/D$69,IFERROR(IF(_xlpm.calc&gt;1000,_xlfn.CONCAT(TEXT(_xlpm.calc,"0,000")," (",TEXT(_xlpm.perc,"0.0%"),")"),_xlfn.CONCAT(_xlpm.calc," (",TEXT(_xlpm.perc,"0.0%"),")")),"-"))</f>
        <v>-</v>
      </c>
      <c r="E63" s="135" t="str" cm="1">
        <f t="array" ref="E63">_xlfn.LET(_xlpm.calc,IFERROR(ROWS(_xlfn.UNIQUE(_xlfn._xlws.FILTER(Pay_ID_Period_End,(IFERROR(SEARCH($A$8,Pay_Key_Gps),0)&gt;0) * (Pay_Code=$A63) * (pp_Hrs_Wkd_Pay_Code &gt;= $V$1) * (pp_OT_Pay_Code &gt;= $V$2) * (pp_Bon_Pay_Code &gt;= $V$3) * (pp_Meal_Pay_Code &gt;= $V$4) * (pp_Sick_Pay_Code &gt;= $V$5) * (pp_Diff_Pay_Code &gt;= $V$6)))),0),_xlpm.perc,_xlpm.calc/E$69,IFERROR(IF(_xlpm.calc&gt;1000,_xlfn.CONCAT(TEXT(_xlpm.calc,"0,000")," (",TEXT(_xlpm.perc,"0.0%"),")"),_xlfn.CONCAT(_xlpm.calc," (",TEXT(_xlpm.perc,"0.0%"),")")),"-"))</f>
        <v>-</v>
      </c>
      <c r="F63" s="136" t="e">
        <f t="shared" si="1"/>
        <v>#NAME?</v>
      </c>
      <c r="G63" s="137" t="e">
        <f t="shared" si="2"/>
        <v>#NAME?</v>
      </c>
      <c r="H63" s="137" t="str" cm="1">
        <f t="array" ref="H63">IFERROR(AVERAGEIFS(Pay_Amount,Pay_Key_Gps,"*"&amp;$A$8&amp;"*",Pay_Code,$A63,pp_Hrs_Wkd_Pay_Code,"&gt;="&amp;$V$1,pp_OT_Pay_Code,"&gt;="&amp;$V$2,pp_Bon_Pay_Code,"&gt;="&amp;$V$3,pp_Meal_Pay_Code,"&gt;="&amp;$V$4,pp_Sick_Pay_Code,"&gt;="&amp;$V$5,pp_Diff_Pay_Code,"&gt;="&amp;$V$6),"-")</f>
        <v>-</v>
      </c>
      <c r="J63" s="133">
        <f t="shared" ref="J63:J68" si="7">A63</f>
        <v>0</v>
      </c>
      <c r="K63" s="138" t="e" cm="1">
        <f t="array" ref="K63">_xlfn.LET(_xlpm.calc,COUNTIFS(Rate_Gp,K$11,Pay_Key_Gps,"*"&amp;$A$8&amp;"*",Pay_Code,$A63,pp_Hrs_Wkd_Pay_Code,"&gt;="&amp;$V$1,pp_OT_Pay_Code,"&gt;="&amp;$V$2,pp_Bon_Pay_Code,"&gt;="&amp;$V$3,pp_Meal_Pay_Code,"&gt;="&amp;$V$4,pp_Sick_Pay_Code,"&gt;="&amp;$V$5,pp_Diff_Pay_Code,"&gt;="&amp;$V$6),_xlpm.calc2,COUNTIFS(Pay_Key_Gps,"*"&amp;$A$8&amp;"*",Pay_Code,$A63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63" s="138" t="e" cm="1">
        <f t="array" ref="L63">_xlfn.LET(_xlpm.calc,COUNTIFS(Rate_Gp,L$11,Pay_Key_Gps,"*"&amp;$A$8&amp;"*",Pay_Code,$A63,pp_Hrs_Wkd_Pay_Code,"&gt;="&amp;$V$1,pp_OT_Pay_Code,"&gt;="&amp;$V$2,pp_Bon_Pay_Code,"&gt;="&amp;$V$3,pp_Meal_Pay_Code,"&gt;="&amp;$V$4,pp_Sick_Pay_Code,"&gt;="&amp;$V$5,pp_Diff_Pay_Code,"&gt;="&amp;$V$6),_xlpm.calc2,COUNTIFS(Pay_Key_Gps,"*"&amp;$A$8&amp;"*",Pay_Code,$A63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63" s="138" t="e" cm="1">
        <f t="array" ref="M63">_xlfn.LET(_xlpm.calc,COUNTIFS(Rate_Gp,M$11,Pay_Key_Gps,"*"&amp;$A$8&amp;"*",Pay_Code,$A63,pp_Hrs_Wkd_Pay_Code,"&gt;="&amp;$V$1,pp_OT_Pay_Code,"&gt;="&amp;$V$2,pp_Bon_Pay_Code,"&gt;="&amp;$V$3,pp_Meal_Pay_Code,"&gt;="&amp;$V$4,pp_Sick_Pay_Code,"&gt;="&amp;$V$5,pp_Diff_Pay_Code,"&gt;="&amp;$V$6),_xlpm.calc2,COUNTIFS(Pay_Key_Gps,"*"&amp;$A$8&amp;"*",Pay_Code,$A63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63" s="138" t="e" cm="1">
        <f t="array" ref="N63">_xlfn.LET(_xlpm.calc,COUNTIFS(Rate_Gp,N$11,Pay_Key_Gps,"*"&amp;$A$8&amp;"*",Pay_Code,$A63,pp_Hrs_Wkd_Pay_Code,"&gt;="&amp;$V$1,pp_OT_Pay_Code,"&gt;="&amp;$V$2,pp_Bon_Pay_Code,"&gt;="&amp;$V$3,pp_Meal_Pay_Code,"&gt;="&amp;$V$4,pp_Sick_Pay_Code,"&gt;="&amp;$V$5,pp_Diff_Pay_Code,"&gt;="&amp;$V$6),_xlpm.calc2,COUNTIFS(Pay_Key_Gps,"*"&amp;$A$8&amp;"*",Pay_Code,$A63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63" s="138" t="e" cm="1">
        <f t="array" ref="O63">_xlfn.LET(_xlpm.calc,COUNTIFS(Rate_Gp,O$11,Pay_Key_Gps,"*"&amp;$A$8&amp;"*",Pay_Code,$A63,pp_Hrs_Wkd_Pay_Code,"&gt;="&amp;$V$1,pp_OT_Pay_Code,"&gt;="&amp;$V$2,pp_Bon_Pay_Code,"&gt;="&amp;$V$3,pp_Meal_Pay_Code,"&gt;="&amp;$V$4,pp_Sick_Pay_Code,"&gt;="&amp;$V$5,pp_Diff_Pay_Code,"&gt;="&amp;$V$6),_xlpm.calc2,COUNTIFS(Pay_Key_Gps,"*"&amp;$A$8&amp;"*",Pay_Code,$A63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63" s="138" t="e" cm="1">
        <f t="array" ref="P63">_xlfn.LET(_xlpm.calc,COUNTIFS(Rate_Gp,P$11,Pay_Key_Gps,"*"&amp;$A$8&amp;"*",Pay_Code,$A63,pp_Hrs_Wkd_Pay_Code,"&gt;="&amp;$V$1,pp_OT_Pay_Code,"&gt;="&amp;$V$2,pp_Bon_Pay_Code,"&gt;="&amp;$V$3,pp_Meal_Pay_Code,"&gt;="&amp;$V$4,pp_Sick_Pay_Code,"&gt;="&amp;$V$5,pp_Diff_Pay_Code,"&gt;="&amp;$V$6),_xlpm.calc2,COUNTIFS(Pay_Key_Gps,"*"&amp;$A$8&amp;"*",Pay_Code,$A63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63" s="138" t="e" cm="1">
        <f t="array" ref="Q63">_xlfn.LET(_xlpm.calc,COUNTIFS(Rate_Gp,Q$11,Pay_Key_Gps,"*"&amp;$A$8&amp;"*",Pay_Code,$A63,pp_Hrs_Wkd_Pay_Code,"&gt;="&amp;$V$1,pp_OT_Pay_Code,"&gt;="&amp;$V$2,pp_Bon_Pay_Code,"&gt;="&amp;$V$3,pp_Meal_Pay_Code,"&gt;="&amp;$V$4,pp_Sick_Pay_Code,"&gt;="&amp;$V$5,pp_Diff_Pay_Code,"&gt;="&amp;$V$6),_xlpm.calc2,COUNTIFS(Pay_Key_Gps,"*"&amp;$A$8&amp;"*",Pay_Code,$A63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63" s="138" t="e" cm="1">
        <f t="array" ref="R63">_xlfn.LET(_xlpm.calc,COUNTIFS(Rate_Gp,R$11,Pay_Key_Gps,"*"&amp;$A$8&amp;"*",Pay_Code,$A63,pp_Hrs_Wkd_Pay_Code,"&gt;="&amp;$V$1,pp_OT_Pay_Code,"&gt;="&amp;$V$2,pp_Bon_Pay_Code,"&gt;="&amp;$V$3,pp_Meal_Pay_Code,"&gt;="&amp;$V$4,pp_Sick_Pay_Code,"&gt;="&amp;$V$5,pp_Diff_Pay_Code,"&gt;="&amp;$V$6),_xlpm.calc2,COUNTIFS(Pay_Key_Gps,"*"&amp;$A$8&amp;"*",Pay_Code,$A63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63" s="138" t="e" cm="1">
        <f t="array" ref="S63">_xlfn.LET(_xlpm.calc,COUNTIFS(Rate_Gp,S$11,Pay_Key_Gps,"*"&amp;$A$8&amp;"*",Pay_Code,$A63,pp_Hrs_Wkd_Pay_Code,"&gt;="&amp;$V$1,pp_OT_Pay_Code,"&gt;="&amp;$V$2,pp_Bon_Pay_Code,"&gt;="&amp;$V$3,pp_Meal_Pay_Code,"&gt;="&amp;$V$4,pp_Sick_Pay_Code,"&gt;="&amp;$V$5,pp_Diff_Pay_Code,"&gt;="&amp;$V$6),_xlpm.calc2,COUNTIFS(Pay_Key_Gps,"*"&amp;$A$8&amp;"*",Pay_Code,$A63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63" s="138" t="e" cm="1">
        <f t="array" ref="T63">_xlfn.LET(_xlpm.calc,COUNTIFS(Rate_Gp,T$11,Pay_Key_Gps,"*"&amp;$A$8&amp;"*",Pay_Code,$A63,pp_Hrs_Wkd_Pay_Code,"&gt;="&amp;$V$1,pp_OT_Pay_Code,"&gt;="&amp;$V$2,pp_Bon_Pay_Code,"&gt;="&amp;$V$3,pp_Meal_Pay_Code,"&gt;="&amp;$V$4,pp_Sick_Pay_Code,"&gt;="&amp;$V$5,pp_Diff_Pay_Code,"&gt;="&amp;$V$6),_xlpm.calc2,COUNTIFS(Pay_Key_Gps,"*"&amp;$A$8&amp;"*",Pay_Code,$A63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63" s="139" t="e" cm="1">
        <f t="array" ref="U63">_xlfn.LET(_xlpm.calc,COUNTIFS(Pay_Key_Gps,"*"&amp;$A$8&amp;"*",Pay_Code,$A63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63" s="118"/>
      <c r="W63" s="118"/>
      <c r="X63" s="149"/>
      <c r="Y63" s="149"/>
      <c r="Z63" s="149"/>
      <c r="AA63" s="149"/>
      <c r="AB63" s="140" t="e">
        <f t="shared" si="3"/>
        <v>#NAME?</v>
      </c>
    </row>
    <row r="64" spans="1:28" s="122" customFormat="1" x14ac:dyDescent="0.25">
      <c r="A64" s="133"/>
      <c r="B64" s="134" t="e" cm="1">
        <f t="array" ref="B64">_xlfn.LET(_xlpm.calc,_xlfn.MINIFS(Pay_Period_End,Pay_Key_Gps,"*"&amp;$A$8&amp;"*",Pay_Code,$A64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64" s="134" t="e" cm="1">
        <f t="array" ref="C64">_xlfn.LET(_xlpm.calc,_xlfn.MAXIFS(Pay_Period_End,Pay_Key_Gps,"*"&amp;$A$8&amp;"*",Pay_Code,$A64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64" s="135" t="str" cm="1">
        <f t="array" ref="D64">_xlfn.LET(_xlpm.calc,IFERROR(ROWS(_xlfn.UNIQUE(_xlfn._xlws.FILTER(Pay_ID,(IFERROR(SEARCH($A$8,Pay_Key_Gps),0)&gt;0) * (Pay_Code=$A64) * (pp_Hrs_Wkd_Pay_Code &gt;= $V$1) * (pp_OT_Pay_Code &gt;= $V$2) * (pp_Bon_Pay_Code &gt;= $V$3) * (pp_Meal_Pay_Code &gt;= $V$4) * (pp_Sick_Pay_Code &gt;= $V$5) * (pp_Diff_Pay_Code &gt;= $V$6)))),0),_xlpm.perc,_xlpm.calc/D$69,IFERROR(IF(_xlpm.calc&gt;1000,_xlfn.CONCAT(TEXT(_xlpm.calc,"0,000")," (",TEXT(_xlpm.perc,"0.0%"),")"),_xlfn.CONCAT(_xlpm.calc," (",TEXT(_xlpm.perc,"0.0%"),")")),"-"))</f>
        <v>-</v>
      </c>
      <c r="E64" s="135" t="str" cm="1">
        <f t="array" ref="E64">_xlfn.LET(_xlpm.calc,IFERROR(ROWS(_xlfn.UNIQUE(_xlfn._xlws.FILTER(Pay_ID_Period_End,(IFERROR(SEARCH($A$8,Pay_Key_Gps),0)&gt;0) * (Pay_Code=$A64) * (pp_Hrs_Wkd_Pay_Code &gt;= $V$1) * (pp_OT_Pay_Code &gt;= $V$2) * (pp_Bon_Pay_Code &gt;= $V$3) * (pp_Meal_Pay_Code &gt;= $V$4) * (pp_Sick_Pay_Code &gt;= $V$5) * (pp_Diff_Pay_Code &gt;= $V$6)))),0),_xlpm.perc,_xlpm.calc/E$69,IFERROR(IF(_xlpm.calc&gt;1000,_xlfn.CONCAT(TEXT(_xlpm.calc,"0,000")," (",TEXT(_xlpm.perc,"0.0%"),")"),_xlfn.CONCAT(_xlpm.calc," (",TEXT(_xlpm.perc,"0.0%"),")")),"-"))</f>
        <v>-</v>
      </c>
      <c r="F64" s="136" t="e">
        <f t="shared" si="1"/>
        <v>#NAME?</v>
      </c>
      <c r="G64" s="137" t="e">
        <f t="shared" si="2"/>
        <v>#NAME?</v>
      </c>
      <c r="H64" s="137" t="str" cm="1">
        <f t="array" ref="H64">IFERROR(AVERAGEIFS(Pay_Amount,Pay_Key_Gps,"*"&amp;$A$8&amp;"*",Pay_Code,$A64,pp_Hrs_Wkd_Pay_Code,"&gt;="&amp;$V$1,pp_OT_Pay_Code,"&gt;="&amp;$V$2,pp_Bon_Pay_Code,"&gt;="&amp;$V$3,pp_Meal_Pay_Code,"&gt;="&amp;$V$4,pp_Sick_Pay_Code,"&gt;="&amp;$V$5,pp_Diff_Pay_Code,"&gt;="&amp;$V$6),"-")</f>
        <v>-</v>
      </c>
      <c r="J64" s="133">
        <f t="shared" si="7"/>
        <v>0</v>
      </c>
      <c r="K64" s="138" t="e" cm="1">
        <f t="array" ref="K64">_xlfn.LET(_xlpm.calc,COUNTIFS(Rate_Gp,K$11,Pay_Key_Gps,"*"&amp;$A$8&amp;"*",Pay_Code,$A64,pp_Hrs_Wkd_Pay_Code,"&gt;="&amp;$V$1,pp_OT_Pay_Code,"&gt;="&amp;$V$2,pp_Bon_Pay_Code,"&gt;="&amp;$V$3,pp_Meal_Pay_Code,"&gt;="&amp;$V$4,pp_Sick_Pay_Code,"&gt;="&amp;$V$5,pp_Diff_Pay_Code,"&gt;="&amp;$V$6),_xlpm.calc2,COUNTIFS(Pay_Key_Gps,"*"&amp;$A$8&amp;"*",Pay_Code,$A64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64" s="138" t="e" cm="1">
        <f t="array" ref="L64">_xlfn.LET(_xlpm.calc,COUNTIFS(Rate_Gp,L$11,Pay_Key_Gps,"*"&amp;$A$8&amp;"*",Pay_Code,$A64,pp_Hrs_Wkd_Pay_Code,"&gt;="&amp;$V$1,pp_OT_Pay_Code,"&gt;="&amp;$V$2,pp_Bon_Pay_Code,"&gt;="&amp;$V$3,pp_Meal_Pay_Code,"&gt;="&amp;$V$4,pp_Sick_Pay_Code,"&gt;="&amp;$V$5,pp_Diff_Pay_Code,"&gt;="&amp;$V$6),_xlpm.calc2,COUNTIFS(Pay_Key_Gps,"*"&amp;$A$8&amp;"*",Pay_Code,$A64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64" s="138" t="e" cm="1">
        <f t="array" ref="M64">_xlfn.LET(_xlpm.calc,COUNTIFS(Rate_Gp,M$11,Pay_Key_Gps,"*"&amp;$A$8&amp;"*",Pay_Code,$A64,pp_Hrs_Wkd_Pay_Code,"&gt;="&amp;$V$1,pp_OT_Pay_Code,"&gt;="&amp;$V$2,pp_Bon_Pay_Code,"&gt;="&amp;$V$3,pp_Meal_Pay_Code,"&gt;="&amp;$V$4,pp_Sick_Pay_Code,"&gt;="&amp;$V$5,pp_Diff_Pay_Code,"&gt;="&amp;$V$6),_xlpm.calc2,COUNTIFS(Pay_Key_Gps,"*"&amp;$A$8&amp;"*",Pay_Code,$A64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64" s="138" t="e" cm="1">
        <f t="array" ref="N64">_xlfn.LET(_xlpm.calc,COUNTIFS(Rate_Gp,N$11,Pay_Key_Gps,"*"&amp;$A$8&amp;"*",Pay_Code,$A64,pp_Hrs_Wkd_Pay_Code,"&gt;="&amp;$V$1,pp_OT_Pay_Code,"&gt;="&amp;$V$2,pp_Bon_Pay_Code,"&gt;="&amp;$V$3,pp_Meal_Pay_Code,"&gt;="&amp;$V$4,pp_Sick_Pay_Code,"&gt;="&amp;$V$5,pp_Diff_Pay_Code,"&gt;="&amp;$V$6),_xlpm.calc2,COUNTIFS(Pay_Key_Gps,"*"&amp;$A$8&amp;"*",Pay_Code,$A64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64" s="138" t="e" cm="1">
        <f t="array" ref="O64">_xlfn.LET(_xlpm.calc,COUNTIFS(Rate_Gp,O$11,Pay_Key_Gps,"*"&amp;$A$8&amp;"*",Pay_Code,$A64,pp_Hrs_Wkd_Pay_Code,"&gt;="&amp;$V$1,pp_OT_Pay_Code,"&gt;="&amp;$V$2,pp_Bon_Pay_Code,"&gt;="&amp;$V$3,pp_Meal_Pay_Code,"&gt;="&amp;$V$4,pp_Sick_Pay_Code,"&gt;="&amp;$V$5,pp_Diff_Pay_Code,"&gt;="&amp;$V$6),_xlpm.calc2,COUNTIFS(Pay_Key_Gps,"*"&amp;$A$8&amp;"*",Pay_Code,$A64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64" s="138" t="e" cm="1">
        <f t="array" ref="P64">_xlfn.LET(_xlpm.calc,COUNTIFS(Rate_Gp,P$11,Pay_Key_Gps,"*"&amp;$A$8&amp;"*",Pay_Code,$A64,pp_Hrs_Wkd_Pay_Code,"&gt;="&amp;$V$1,pp_OT_Pay_Code,"&gt;="&amp;$V$2,pp_Bon_Pay_Code,"&gt;="&amp;$V$3,pp_Meal_Pay_Code,"&gt;="&amp;$V$4,pp_Sick_Pay_Code,"&gt;="&amp;$V$5,pp_Diff_Pay_Code,"&gt;="&amp;$V$6),_xlpm.calc2,COUNTIFS(Pay_Key_Gps,"*"&amp;$A$8&amp;"*",Pay_Code,$A64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64" s="138" t="e" cm="1">
        <f t="array" ref="Q64">_xlfn.LET(_xlpm.calc,COUNTIFS(Rate_Gp,Q$11,Pay_Key_Gps,"*"&amp;$A$8&amp;"*",Pay_Code,$A64,pp_Hrs_Wkd_Pay_Code,"&gt;="&amp;$V$1,pp_OT_Pay_Code,"&gt;="&amp;$V$2,pp_Bon_Pay_Code,"&gt;="&amp;$V$3,pp_Meal_Pay_Code,"&gt;="&amp;$V$4,pp_Sick_Pay_Code,"&gt;="&amp;$V$5,pp_Diff_Pay_Code,"&gt;="&amp;$V$6),_xlpm.calc2,COUNTIFS(Pay_Key_Gps,"*"&amp;$A$8&amp;"*",Pay_Code,$A64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64" s="138" t="e" cm="1">
        <f t="array" ref="R64">_xlfn.LET(_xlpm.calc,COUNTIFS(Rate_Gp,R$11,Pay_Key_Gps,"*"&amp;$A$8&amp;"*",Pay_Code,$A64,pp_Hrs_Wkd_Pay_Code,"&gt;="&amp;$V$1,pp_OT_Pay_Code,"&gt;="&amp;$V$2,pp_Bon_Pay_Code,"&gt;="&amp;$V$3,pp_Meal_Pay_Code,"&gt;="&amp;$V$4,pp_Sick_Pay_Code,"&gt;="&amp;$V$5,pp_Diff_Pay_Code,"&gt;="&amp;$V$6),_xlpm.calc2,COUNTIFS(Pay_Key_Gps,"*"&amp;$A$8&amp;"*",Pay_Code,$A64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64" s="138" t="e" cm="1">
        <f t="array" ref="S64">_xlfn.LET(_xlpm.calc,COUNTIFS(Rate_Gp,S$11,Pay_Key_Gps,"*"&amp;$A$8&amp;"*",Pay_Code,$A64,pp_Hrs_Wkd_Pay_Code,"&gt;="&amp;$V$1,pp_OT_Pay_Code,"&gt;="&amp;$V$2,pp_Bon_Pay_Code,"&gt;="&amp;$V$3,pp_Meal_Pay_Code,"&gt;="&amp;$V$4,pp_Sick_Pay_Code,"&gt;="&amp;$V$5,pp_Diff_Pay_Code,"&gt;="&amp;$V$6),_xlpm.calc2,COUNTIFS(Pay_Key_Gps,"*"&amp;$A$8&amp;"*",Pay_Code,$A64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64" s="138" t="e" cm="1">
        <f t="array" ref="T64">_xlfn.LET(_xlpm.calc,COUNTIFS(Rate_Gp,T$11,Pay_Key_Gps,"*"&amp;$A$8&amp;"*",Pay_Code,$A64,pp_Hrs_Wkd_Pay_Code,"&gt;="&amp;$V$1,pp_OT_Pay_Code,"&gt;="&amp;$V$2,pp_Bon_Pay_Code,"&gt;="&amp;$V$3,pp_Meal_Pay_Code,"&gt;="&amp;$V$4,pp_Sick_Pay_Code,"&gt;="&amp;$V$5,pp_Diff_Pay_Code,"&gt;="&amp;$V$6),_xlpm.calc2,COUNTIFS(Pay_Key_Gps,"*"&amp;$A$8&amp;"*",Pay_Code,$A64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64" s="139" t="e" cm="1">
        <f t="array" ref="U64">_xlfn.LET(_xlpm.calc,COUNTIFS(Pay_Key_Gps,"*"&amp;$A$8&amp;"*",Pay_Code,$A64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64" s="118"/>
      <c r="W64" s="118"/>
      <c r="X64" s="149"/>
      <c r="Y64" s="149"/>
      <c r="Z64" s="149"/>
      <c r="AA64" s="149"/>
      <c r="AB64" s="140" t="e">
        <f t="shared" si="3"/>
        <v>#NAME?</v>
      </c>
    </row>
    <row r="65" spans="1:28" s="122" customFormat="1" x14ac:dyDescent="0.25">
      <c r="A65" s="133"/>
      <c r="B65" s="134" t="e" cm="1">
        <f t="array" ref="B65">_xlfn.LET(_xlpm.calc,_xlfn.MINIFS(Pay_Period_End,Pay_Key_Gps,"*"&amp;$A$8&amp;"*",Pay_Code,$A65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65" s="134" t="e" cm="1">
        <f t="array" ref="C65">_xlfn.LET(_xlpm.calc,_xlfn.MAXIFS(Pay_Period_End,Pay_Key_Gps,"*"&amp;$A$8&amp;"*",Pay_Code,$A65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65" s="135" t="str" cm="1">
        <f t="array" ref="D65">_xlfn.LET(_xlpm.calc,IFERROR(ROWS(_xlfn.UNIQUE(_xlfn._xlws.FILTER(Pay_ID,(IFERROR(SEARCH($A$8,Pay_Key_Gps),0)&gt;0) * (Pay_Code=$A65) * (pp_Hrs_Wkd_Pay_Code &gt;= $V$1) * (pp_OT_Pay_Code &gt;= $V$2) * (pp_Bon_Pay_Code &gt;= $V$3) * (pp_Meal_Pay_Code &gt;= $V$4) * (pp_Sick_Pay_Code &gt;= $V$5) * (pp_Diff_Pay_Code &gt;= $V$6)))),0),_xlpm.perc,_xlpm.calc/D$69,IFERROR(IF(_xlpm.calc&gt;1000,_xlfn.CONCAT(TEXT(_xlpm.calc,"0,000")," (",TEXT(_xlpm.perc,"0.0%"),")"),_xlfn.CONCAT(_xlpm.calc," (",TEXT(_xlpm.perc,"0.0%"),")")),"-"))</f>
        <v>-</v>
      </c>
      <c r="E65" s="135" t="str" cm="1">
        <f t="array" ref="E65">_xlfn.LET(_xlpm.calc,IFERROR(ROWS(_xlfn.UNIQUE(_xlfn._xlws.FILTER(Pay_ID_Period_End,(IFERROR(SEARCH($A$8,Pay_Key_Gps),0)&gt;0) * (Pay_Code=$A65) * (pp_Hrs_Wkd_Pay_Code &gt;= $V$1) * (pp_OT_Pay_Code &gt;= $V$2) * (pp_Bon_Pay_Code &gt;= $V$3) * (pp_Meal_Pay_Code &gt;= $V$4) * (pp_Sick_Pay_Code &gt;= $V$5) * (pp_Diff_Pay_Code &gt;= $V$6)))),0),_xlpm.perc,_xlpm.calc/E$69,IFERROR(IF(_xlpm.calc&gt;1000,_xlfn.CONCAT(TEXT(_xlpm.calc,"0,000")," (",TEXT(_xlpm.perc,"0.0%"),")"),_xlfn.CONCAT(_xlpm.calc," (",TEXT(_xlpm.perc,"0.0%"),")")),"-"))</f>
        <v>-</v>
      </c>
      <c r="F65" s="136" t="e">
        <f t="shared" si="1"/>
        <v>#NAME?</v>
      </c>
      <c r="G65" s="137" t="e">
        <f t="shared" si="2"/>
        <v>#NAME?</v>
      </c>
      <c r="H65" s="137" t="str" cm="1">
        <f t="array" ref="H65">IFERROR(AVERAGEIFS(Pay_Amount,Pay_Key_Gps,"*"&amp;$A$8&amp;"*",Pay_Code,$A65,pp_Hrs_Wkd_Pay_Code,"&gt;="&amp;$V$1,pp_OT_Pay_Code,"&gt;="&amp;$V$2,pp_Bon_Pay_Code,"&gt;="&amp;$V$3,pp_Meal_Pay_Code,"&gt;="&amp;$V$4,pp_Sick_Pay_Code,"&gt;="&amp;$V$5,pp_Diff_Pay_Code,"&gt;="&amp;$V$6),"-")</f>
        <v>-</v>
      </c>
      <c r="J65" s="133">
        <f t="shared" si="7"/>
        <v>0</v>
      </c>
      <c r="K65" s="138" t="e" cm="1">
        <f t="array" ref="K65">_xlfn.LET(_xlpm.calc,COUNTIFS(Rate_Gp,K$11,Pay_Key_Gps,"*"&amp;$A$8&amp;"*",Pay_Code,$A65,pp_Hrs_Wkd_Pay_Code,"&gt;="&amp;$V$1,pp_OT_Pay_Code,"&gt;="&amp;$V$2,pp_Bon_Pay_Code,"&gt;="&amp;$V$3,pp_Meal_Pay_Code,"&gt;="&amp;$V$4,pp_Sick_Pay_Code,"&gt;="&amp;$V$5,pp_Diff_Pay_Code,"&gt;="&amp;$V$6),_xlpm.calc2,COUNTIFS(Pay_Key_Gps,"*"&amp;$A$8&amp;"*",Pay_Code,$A65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65" s="138" t="e" cm="1">
        <f t="array" ref="L65">_xlfn.LET(_xlpm.calc,COUNTIFS(Rate_Gp,L$11,Pay_Key_Gps,"*"&amp;$A$8&amp;"*",Pay_Code,$A65,pp_Hrs_Wkd_Pay_Code,"&gt;="&amp;$V$1,pp_OT_Pay_Code,"&gt;="&amp;$V$2,pp_Bon_Pay_Code,"&gt;="&amp;$V$3,pp_Meal_Pay_Code,"&gt;="&amp;$V$4,pp_Sick_Pay_Code,"&gt;="&amp;$V$5,pp_Diff_Pay_Code,"&gt;="&amp;$V$6),_xlpm.calc2,COUNTIFS(Pay_Key_Gps,"*"&amp;$A$8&amp;"*",Pay_Code,$A65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65" s="138" t="e" cm="1">
        <f t="array" ref="M65">_xlfn.LET(_xlpm.calc,COUNTIFS(Rate_Gp,M$11,Pay_Key_Gps,"*"&amp;$A$8&amp;"*",Pay_Code,$A65,pp_Hrs_Wkd_Pay_Code,"&gt;="&amp;$V$1,pp_OT_Pay_Code,"&gt;="&amp;$V$2,pp_Bon_Pay_Code,"&gt;="&amp;$V$3,pp_Meal_Pay_Code,"&gt;="&amp;$V$4,pp_Sick_Pay_Code,"&gt;="&amp;$V$5,pp_Diff_Pay_Code,"&gt;="&amp;$V$6),_xlpm.calc2,COUNTIFS(Pay_Key_Gps,"*"&amp;$A$8&amp;"*",Pay_Code,$A65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65" s="138" t="e" cm="1">
        <f t="array" ref="N65">_xlfn.LET(_xlpm.calc,COUNTIFS(Rate_Gp,N$11,Pay_Key_Gps,"*"&amp;$A$8&amp;"*",Pay_Code,$A65,pp_Hrs_Wkd_Pay_Code,"&gt;="&amp;$V$1,pp_OT_Pay_Code,"&gt;="&amp;$V$2,pp_Bon_Pay_Code,"&gt;="&amp;$V$3,pp_Meal_Pay_Code,"&gt;="&amp;$V$4,pp_Sick_Pay_Code,"&gt;="&amp;$V$5,pp_Diff_Pay_Code,"&gt;="&amp;$V$6),_xlpm.calc2,COUNTIFS(Pay_Key_Gps,"*"&amp;$A$8&amp;"*",Pay_Code,$A65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65" s="138" t="e" cm="1">
        <f t="array" ref="O65">_xlfn.LET(_xlpm.calc,COUNTIFS(Rate_Gp,O$11,Pay_Key_Gps,"*"&amp;$A$8&amp;"*",Pay_Code,$A65,pp_Hrs_Wkd_Pay_Code,"&gt;="&amp;$V$1,pp_OT_Pay_Code,"&gt;="&amp;$V$2,pp_Bon_Pay_Code,"&gt;="&amp;$V$3,pp_Meal_Pay_Code,"&gt;="&amp;$V$4,pp_Sick_Pay_Code,"&gt;="&amp;$V$5,pp_Diff_Pay_Code,"&gt;="&amp;$V$6),_xlpm.calc2,COUNTIFS(Pay_Key_Gps,"*"&amp;$A$8&amp;"*",Pay_Code,$A65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65" s="138" t="e" cm="1">
        <f t="array" ref="P65">_xlfn.LET(_xlpm.calc,COUNTIFS(Rate_Gp,P$11,Pay_Key_Gps,"*"&amp;$A$8&amp;"*",Pay_Code,$A65,pp_Hrs_Wkd_Pay_Code,"&gt;="&amp;$V$1,pp_OT_Pay_Code,"&gt;="&amp;$V$2,pp_Bon_Pay_Code,"&gt;="&amp;$V$3,pp_Meal_Pay_Code,"&gt;="&amp;$V$4,pp_Sick_Pay_Code,"&gt;="&amp;$V$5,pp_Diff_Pay_Code,"&gt;="&amp;$V$6),_xlpm.calc2,COUNTIFS(Pay_Key_Gps,"*"&amp;$A$8&amp;"*",Pay_Code,$A65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65" s="138" t="e" cm="1">
        <f t="array" ref="Q65">_xlfn.LET(_xlpm.calc,COUNTIFS(Rate_Gp,Q$11,Pay_Key_Gps,"*"&amp;$A$8&amp;"*",Pay_Code,$A65,pp_Hrs_Wkd_Pay_Code,"&gt;="&amp;$V$1,pp_OT_Pay_Code,"&gt;="&amp;$V$2,pp_Bon_Pay_Code,"&gt;="&amp;$V$3,pp_Meal_Pay_Code,"&gt;="&amp;$V$4,pp_Sick_Pay_Code,"&gt;="&amp;$V$5,pp_Diff_Pay_Code,"&gt;="&amp;$V$6),_xlpm.calc2,COUNTIFS(Pay_Key_Gps,"*"&amp;$A$8&amp;"*",Pay_Code,$A65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65" s="138" t="e" cm="1">
        <f t="array" ref="R65">_xlfn.LET(_xlpm.calc,COUNTIFS(Rate_Gp,R$11,Pay_Key_Gps,"*"&amp;$A$8&amp;"*",Pay_Code,$A65,pp_Hrs_Wkd_Pay_Code,"&gt;="&amp;$V$1,pp_OT_Pay_Code,"&gt;="&amp;$V$2,pp_Bon_Pay_Code,"&gt;="&amp;$V$3,pp_Meal_Pay_Code,"&gt;="&amp;$V$4,pp_Sick_Pay_Code,"&gt;="&amp;$V$5,pp_Diff_Pay_Code,"&gt;="&amp;$V$6),_xlpm.calc2,COUNTIFS(Pay_Key_Gps,"*"&amp;$A$8&amp;"*",Pay_Code,$A65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65" s="138" t="e" cm="1">
        <f t="array" ref="S65">_xlfn.LET(_xlpm.calc,COUNTIFS(Rate_Gp,S$11,Pay_Key_Gps,"*"&amp;$A$8&amp;"*",Pay_Code,$A65,pp_Hrs_Wkd_Pay_Code,"&gt;="&amp;$V$1,pp_OT_Pay_Code,"&gt;="&amp;$V$2,pp_Bon_Pay_Code,"&gt;="&amp;$V$3,pp_Meal_Pay_Code,"&gt;="&amp;$V$4,pp_Sick_Pay_Code,"&gt;="&amp;$V$5,pp_Diff_Pay_Code,"&gt;="&amp;$V$6),_xlpm.calc2,COUNTIFS(Pay_Key_Gps,"*"&amp;$A$8&amp;"*",Pay_Code,$A65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65" s="138" t="e" cm="1">
        <f t="array" ref="T65">_xlfn.LET(_xlpm.calc,COUNTIFS(Rate_Gp,T$11,Pay_Key_Gps,"*"&amp;$A$8&amp;"*",Pay_Code,$A65,pp_Hrs_Wkd_Pay_Code,"&gt;="&amp;$V$1,pp_OT_Pay_Code,"&gt;="&amp;$V$2,pp_Bon_Pay_Code,"&gt;="&amp;$V$3,pp_Meal_Pay_Code,"&gt;="&amp;$V$4,pp_Sick_Pay_Code,"&gt;="&amp;$V$5,pp_Diff_Pay_Code,"&gt;="&amp;$V$6),_xlpm.calc2,COUNTIFS(Pay_Key_Gps,"*"&amp;$A$8&amp;"*",Pay_Code,$A65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65" s="139" t="e" cm="1">
        <f t="array" ref="U65">_xlfn.LET(_xlpm.calc,COUNTIFS(Pay_Key_Gps,"*"&amp;$A$8&amp;"*",Pay_Code,$A65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65" s="118"/>
      <c r="W65" s="118"/>
      <c r="X65" s="149"/>
      <c r="Y65" s="149"/>
      <c r="Z65" s="149"/>
      <c r="AA65" s="149"/>
      <c r="AB65" s="140" t="e">
        <f t="shared" si="3"/>
        <v>#NAME?</v>
      </c>
    </row>
    <row r="66" spans="1:28" s="122" customFormat="1" x14ac:dyDescent="0.25">
      <c r="A66" s="133"/>
      <c r="B66" s="134" t="e" cm="1">
        <f t="array" ref="B66">_xlfn.LET(_xlpm.calc,_xlfn.MINIFS(Pay_Period_End,Pay_Key_Gps,"*"&amp;$A$8&amp;"*",Pay_Code,$A66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66" s="134" t="e" cm="1">
        <f t="array" ref="C66">_xlfn.LET(_xlpm.calc,_xlfn.MAXIFS(Pay_Period_End,Pay_Key_Gps,"*"&amp;$A$8&amp;"*",Pay_Code,$A66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66" s="135" t="str" cm="1">
        <f t="array" ref="D66">_xlfn.LET(_xlpm.calc,IFERROR(ROWS(_xlfn.UNIQUE(_xlfn._xlws.FILTER(Pay_ID,(IFERROR(SEARCH($A$8,Pay_Key_Gps),0)&gt;0) * (Pay_Code=$A66) * (pp_Hrs_Wkd_Pay_Code &gt;= $V$1) * (pp_OT_Pay_Code &gt;= $V$2) * (pp_Bon_Pay_Code &gt;= $V$3) * (pp_Meal_Pay_Code &gt;= $V$4) * (pp_Sick_Pay_Code &gt;= $V$5) * (pp_Diff_Pay_Code &gt;= $V$6)))),0),_xlpm.perc,_xlpm.calc/D$69,IFERROR(IF(_xlpm.calc&gt;1000,_xlfn.CONCAT(TEXT(_xlpm.calc,"0,000")," (",TEXT(_xlpm.perc,"0.0%"),")"),_xlfn.CONCAT(_xlpm.calc," (",TEXT(_xlpm.perc,"0.0%"),")")),"-"))</f>
        <v>-</v>
      </c>
      <c r="E66" s="135" t="str" cm="1">
        <f t="array" ref="E66">_xlfn.LET(_xlpm.calc,IFERROR(ROWS(_xlfn.UNIQUE(_xlfn._xlws.FILTER(Pay_ID_Period_End,(IFERROR(SEARCH($A$8,Pay_Key_Gps),0)&gt;0) * (Pay_Code=$A66) * (pp_Hrs_Wkd_Pay_Code &gt;= $V$1) * (pp_OT_Pay_Code &gt;= $V$2) * (pp_Bon_Pay_Code &gt;= $V$3) * (pp_Meal_Pay_Code &gt;= $V$4) * (pp_Sick_Pay_Code &gt;= $V$5) * (pp_Diff_Pay_Code &gt;= $V$6)))),0),_xlpm.perc,_xlpm.calc/E$69,IFERROR(IF(_xlpm.calc&gt;1000,_xlfn.CONCAT(TEXT(_xlpm.calc,"0,000")," (",TEXT(_xlpm.perc,"0.0%"),")"),_xlfn.CONCAT(_xlpm.calc," (",TEXT(_xlpm.perc,"0.0%"),")")),"-"))</f>
        <v>-</v>
      </c>
      <c r="F66" s="136" t="e">
        <f t="shared" si="1"/>
        <v>#NAME?</v>
      </c>
      <c r="G66" s="137" t="e">
        <f t="shared" si="2"/>
        <v>#NAME?</v>
      </c>
      <c r="H66" s="137" t="str" cm="1">
        <f t="array" ref="H66">IFERROR(AVERAGEIFS(Pay_Amount,Pay_Key_Gps,"*"&amp;$A$8&amp;"*",Pay_Code,$A66,pp_Hrs_Wkd_Pay_Code,"&gt;="&amp;$V$1,pp_OT_Pay_Code,"&gt;="&amp;$V$2,pp_Bon_Pay_Code,"&gt;="&amp;$V$3,pp_Meal_Pay_Code,"&gt;="&amp;$V$4,pp_Sick_Pay_Code,"&gt;="&amp;$V$5,pp_Diff_Pay_Code,"&gt;="&amp;$V$6),"-")</f>
        <v>-</v>
      </c>
      <c r="J66" s="133">
        <f t="shared" si="7"/>
        <v>0</v>
      </c>
      <c r="K66" s="138" t="e" cm="1">
        <f t="array" ref="K66">_xlfn.LET(_xlpm.calc,COUNTIFS(Rate_Gp,K$11,Pay_Key_Gps,"*"&amp;$A$8&amp;"*",Pay_Code,$A66,pp_Hrs_Wkd_Pay_Code,"&gt;="&amp;$V$1,pp_OT_Pay_Code,"&gt;="&amp;$V$2,pp_Bon_Pay_Code,"&gt;="&amp;$V$3,pp_Meal_Pay_Code,"&gt;="&amp;$V$4,pp_Sick_Pay_Code,"&gt;="&amp;$V$5,pp_Diff_Pay_Code,"&gt;="&amp;$V$6),_xlpm.calc2,COUNTIFS(Pay_Key_Gps,"*"&amp;$A$8&amp;"*",Pay_Code,$A66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66" s="138" t="e" cm="1">
        <f t="array" ref="L66">_xlfn.LET(_xlpm.calc,COUNTIFS(Rate_Gp,L$11,Pay_Key_Gps,"*"&amp;$A$8&amp;"*",Pay_Code,$A66,pp_Hrs_Wkd_Pay_Code,"&gt;="&amp;$V$1,pp_OT_Pay_Code,"&gt;="&amp;$V$2,pp_Bon_Pay_Code,"&gt;="&amp;$V$3,pp_Meal_Pay_Code,"&gt;="&amp;$V$4,pp_Sick_Pay_Code,"&gt;="&amp;$V$5,pp_Diff_Pay_Code,"&gt;="&amp;$V$6),_xlpm.calc2,COUNTIFS(Pay_Key_Gps,"*"&amp;$A$8&amp;"*",Pay_Code,$A66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66" s="138" t="e" cm="1">
        <f t="array" ref="M66">_xlfn.LET(_xlpm.calc,COUNTIFS(Rate_Gp,M$11,Pay_Key_Gps,"*"&amp;$A$8&amp;"*",Pay_Code,$A66,pp_Hrs_Wkd_Pay_Code,"&gt;="&amp;$V$1,pp_OT_Pay_Code,"&gt;="&amp;$V$2,pp_Bon_Pay_Code,"&gt;="&amp;$V$3,pp_Meal_Pay_Code,"&gt;="&amp;$V$4,pp_Sick_Pay_Code,"&gt;="&amp;$V$5,pp_Diff_Pay_Code,"&gt;="&amp;$V$6),_xlpm.calc2,COUNTIFS(Pay_Key_Gps,"*"&amp;$A$8&amp;"*",Pay_Code,$A66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66" s="138" t="e" cm="1">
        <f t="array" ref="N66">_xlfn.LET(_xlpm.calc,COUNTIFS(Rate_Gp,N$11,Pay_Key_Gps,"*"&amp;$A$8&amp;"*",Pay_Code,$A66,pp_Hrs_Wkd_Pay_Code,"&gt;="&amp;$V$1,pp_OT_Pay_Code,"&gt;="&amp;$V$2,pp_Bon_Pay_Code,"&gt;="&amp;$V$3,pp_Meal_Pay_Code,"&gt;="&amp;$V$4,pp_Sick_Pay_Code,"&gt;="&amp;$V$5,pp_Diff_Pay_Code,"&gt;="&amp;$V$6),_xlpm.calc2,COUNTIFS(Pay_Key_Gps,"*"&amp;$A$8&amp;"*",Pay_Code,$A66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66" s="138" t="e" cm="1">
        <f t="array" ref="O66">_xlfn.LET(_xlpm.calc,COUNTIFS(Rate_Gp,O$11,Pay_Key_Gps,"*"&amp;$A$8&amp;"*",Pay_Code,$A66,pp_Hrs_Wkd_Pay_Code,"&gt;="&amp;$V$1,pp_OT_Pay_Code,"&gt;="&amp;$V$2,pp_Bon_Pay_Code,"&gt;="&amp;$V$3,pp_Meal_Pay_Code,"&gt;="&amp;$V$4,pp_Sick_Pay_Code,"&gt;="&amp;$V$5,pp_Diff_Pay_Code,"&gt;="&amp;$V$6),_xlpm.calc2,COUNTIFS(Pay_Key_Gps,"*"&amp;$A$8&amp;"*",Pay_Code,$A66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66" s="138" t="e" cm="1">
        <f t="array" ref="P66">_xlfn.LET(_xlpm.calc,COUNTIFS(Rate_Gp,P$11,Pay_Key_Gps,"*"&amp;$A$8&amp;"*",Pay_Code,$A66,pp_Hrs_Wkd_Pay_Code,"&gt;="&amp;$V$1,pp_OT_Pay_Code,"&gt;="&amp;$V$2,pp_Bon_Pay_Code,"&gt;="&amp;$V$3,pp_Meal_Pay_Code,"&gt;="&amp;$V$4,pp_Sick_Pay_Code,"&gt;="&amp;$V$5,pp_Diff_Pay_Code,"&gt;="&amp;$V$6),_xlpm.calc2,COUNTIFS(Pay_Key_Gps,"*"&amp;$A$8&amp;"*",Pay_Code,$A66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66" s="138" t="e" cm="1">
        <f t="array" ref="Q66">_xlfn.LET(_xlpm.calc,COUNTIFS(Rate_Gp,Q$11,Pay_Key_Gps,"*"&amp;$A$8&amp;"*",Pay_Code,$A66,pp_Hrs_Wkd_Pay_Code,"&gt;="&amp;$V$1,pp_OT_Pay_Code,"&gt;="&amp;$V$2,pp_Bon_Pay_Code,"&gt;="&amp;$V$3,pp_Meal_Pay_Code,"&gt;="&amp;$V$4,pp_Sick_Pay_Code,"&gt;="&amp;$V$5,pp_Diff_Pay_Code,"&gt;="&amp;$V$6),_xlpm.calc2,COUNTIFS(Pay_Key_Gps,"*"&amp;$A$8&amp;"*",Pay_Code,$A66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66" s="138" t="e" cm="1">
        <f t="array" ref="R66">_xlfn.LET(_xlpm.calc,COUNTIFS(Rate_Gp,R$11,Pay_Key_Gps,"*"&amp;$A$8&amp;"*",Pay_Code,$A66,pp_Hrs_Wkd_Pay_Code,"&gt;="&amp;$V$1,pp_OT_Pay_Code,"&gt;="&amp;$V$2,pp_Bon_Pay_Code,"&gt;="&amp;$V$3,pp_Meal_Pay_Code,"&gt;="&amp;$V$4,pp_Sick_Pay_Code,"&gt;="&amp;$V$5,pp_Diff_Pay_Code,"&gt;="&amp;$V$6),_xlpm.calc2,COUNTIFS(Pay_Key_Gps,"*"&amp;$A$8&amp;"*",Pay_Code,$A66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66" s="138" t="e" cm="1">
        <f t="array" ref="S66">_xlfn.LET(_xlpm.calc,COUNTIFS(Rate_Gp,S$11,Pay_Key_Gps,"*"&amp;$A$8&amp;"*",Pay_Code,$A66,pp_Hrs_Wkd_Pay_Code,"&gt;="&amp;$V$1,pp_OT_Pay_Code,"&gt;="&amp;$V$2,pp_Bon_Pay_Code,"&gt;="&amp;$V$3,pp_Meal_Pay_Code,"&gt;="&amp;$V$4,pp_Sick_Pay_Code,"&gt;="&amp;$V$5,pp_Diff_Pay_Code,"&gt;="&amp;$V$6),_xlpm.calc2,COUNTIFS(Pay_Key_Gps,"*"&amp;$A$8&amp;"*",Pay_Code,$A66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66" s="138" t="e" cm="1">
        <f t="array" ref="T66">_xlfn.LET(_xlpm.calc,COUNTIFS(Rate_Gp,T$11,Pay_Key_Gps,"*"&amp;$A$8&amp;"*",Pay_Code,$A66,pp_Hrs_Wkd_Pay_Code,"&gt;="&amp;$V$1,pp_OT_Pay_Code,"&gt;="&amp;$V$2,pp_Bon_Pay_Code,"&gt;="&amp;$V$3,pp_Meal_Pay_Code,"&gt;="&amp;$V$4,pp_Sick_Pay_Code,"&gt;="&amp;$V$5,pp_Diff_Pay_Code,"&gt;="&amp;$V$6),_xlpm.calc2,COUNTIFS(Pay_Key_Gps,"*"&amp;$A$8&amp;"*",Pay_Code,$A66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66" s="139" t="e" cm="1">
        <f t="array" ref="U66">_xlfn.LET(_xlpm.calc,COUNTIFS(Pay_Key_Gps,"*"&amp;$A$8&amp;"*",Pay_Code,$A66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66" s="118"/>
      <c r="W66" s="118"/>
      <c r="X66" s="149"/>
      <c r="Y66" s="149"/>
      <c r="Z66" s="149"/>
      <c r="AA66" s="149"/>
      <c r="AB66" s="140" t="e">
        <f t="shared" si="3"/>
        <v>#NAME?</v>
      </c>
    </row>
    <row r="67" spans="1:28" s="122" customFormat="1" x14ac:dyDescent="0.25">
      <c r="A67" s="133"/>
      <c r="B67" s="134" t="e" cm="1">
        <f t="array" ref="B67">_xlfn.LET(_xlpm.calc,_xlfn.MINIFS(Pay_Period_End,Pay_Key_Gps,"*"&amp;$A$8&amp;"*",Pay_Code,$A67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67" s="134" t="e" cm="1">
        <f t="array" ref="C67">_xlfn.LET(_xlpm.calc,_xlfn.MAXIFS(Pay_Period_End,Pay_Key_Gps,"*"&amp;$A$8&amp;"*",Pay_Code,$A67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67" s="135" t="str" cm="1">
        <f t="array" ref="D67">_xlfn.LET(_xlpm.calc,IFERROR(ROWS(_xlfn.UNIQUE(_xlfn._xlws.FILTER(Pay_ID,(IFERROR(SEARCH($A$8,Pay_Key_Gps),0)&gt;0) * (Pay_Code=$A67) * (pp_Hrs_Wkd_Pay_Code &gt;= $V$1) * (pp_OT_Pay_Code &gt;= $V$2) * (pp_Bon_Pay_Code &gt;= $V$3) * (pp_Meal_Pay_Code &gt;= $V$4) * (pp_Sick_Pay_Code &gt;= $V$5) * (pp_Diff_Pay_Code &gt;= $V$6)))),0),_xlpm.perc,_xlpm.calc/D$69,IFERROR(IF(_xlpm.calc&gt;1000,_xlfn.CONCAT(TEXT(_xlpm.calc,"0,000")," (",TEXT(_xlpm.perc,"0.0%"),")"),_xlfn.CONCAT(_xlpm.calc," (",TEXT(_xlpm.perc,"0.0%"),")")),"-"))</f>
        <v>-</v>
      </c>
      <c r="E67" s="135" t="str" cm="1">
        <f t="array" ref="E67">_xlfn.LET(_xlpm.calc,IFERROR(ROWS(_xlfn.UNIQUE(_xlfn._xlws.FILTER(Pay_ID_Period_End,(IFERROR(SEARCH($A$8,Pay_Key_Gps),0)&gt;0) * (Pay_Code=$A67) * (pp_Hrs_Wkd_Pay_Code &gt;= $V$1) * (pp_OT_Pay_Code &gt;= $V$2) * (pp_Bon_Pay_Code &gt;= $V$3) * (pp_Meal_Pay_Code &gt;= $V$4) * (pp_Sick_Pay_Code &gt;= $V$5) * (pp_Diff_Pay_Code &gt;= $V$6)))),0),_xlpm.perc,_xlpm.calc/E$69,IFERROR(IF(_xlpm.calc&gt;1000,_xlfn.CONCAT(TEXT(_xlpm.calc,"0,000")," (",TEXT(_xlpm.perc,"0.0%"),")"),_xlfn.CONCAT(_xlpm.calc," (",TEXT(_xlpm.perc,"0.0%"),")")),"-"))</f>
        <v>-</v>
      </c>
      <c r="F67" s="136" t="e">
        <f t="shared" si="1"/>
        <v>#NAME?</v>
      </c>
      <c r="G67" s="137" t="e">
        <f t="shared" si="2"/>
        <v>#NAME?</v>
      </c>
      <c r="H67" s="137" t="str" cm="1">
        <f t="array" ref="H67">IFERROR(AVERAGEIFS(Pay_Amount,Pay_Key_Gps,"*"&amp;$A$8&amp;"*",Pay_Code,$A67,pp_Hrs_Wkd_Pay_Code,"&gt;="&amp;$V$1,pp_OT_Pay_Code,"&gt;="&amp;$V$2,pp_Bon_Pay_Code,"&gt;="&amp;$V$3,pp_Meal_Pay_Code,"&gt;="&amp;$V$4,pp_Sick_Pay_Code,"&gt;="&amp;$V$5,pp_Diff_Pay_Code,"&gt;="&amp;$V$6),"-")</f>
        <v>-</v>
      </c>
      <c r="J67" s="133">
        <f t="shared" si="7"/>
        <v>0</v>
      </c>
      <c r="K67" s="138" t="e" cm="1">
        <f t="array" ref="K67">_xlfn.LET(_xlpm.calc,COUNTIFS(Rate_Gp,K$11,Pay_Key_Gps,"*"&amp;$A$8&amp;"*",Pay_Code,$A67,pp_Hrs_Wkd_Pay_Code,"&gt;="&amp;$V$1,pp_OT_Pay_Code,"&gt;="&amp;$V$2,pp_Bon_Pay_Code,"&gt;="&amp;$V$3,pp_Meal_Pay_Code,"&gt;="&amp;$V$4,pp_Sick_Pay_Code,"&gt;="&amp;$V$5,pp_Diff_Pay_Code,"&gt;="&amp;$V$6),_xlpm.calc2,COUNTIFS(Pay_Key_Gps,"*"&amp;$A$8&amp;"*",Pay_Code,$A67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67" s="138" t="e" cm="1">
        <f t="array" ref="L67">_xlfn.LET(_xlpm.calc,COUNTIFS(Rate_Gp,L$11,Pay_Key_Gps,"*"&amp;$A$8&amp;"*",Pay_Code,$A67,pp_Hrs_Wkd_Pay_Code,"&gt;="&amp;$V$1,pp_OT_Pay_Code,"&gt;="&amp;$V$2,pp_Bon_Pay_Code,"&gt;="&amp;$V$3,pp_Meal_Pay_Code,"&gt;="&amp;$V$4,pp_Sick_Pay_Code,"&gt;="&amp;$V$5,pp_Diff_Pay_Code,"&gt;="&amp;$V$6),_xlpm.calc2,COUNTIFS(Pay_Key_Gps,"*"&amp;$A$8&amp;"*",Pay_Code,$A67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67" s="138" t="e" cm="1">
        <f t="array" ref="M67">_xlfn.LET(_xlpm.calc,COUNTIFS(Rate_Gp,M$11,Pay_Key_Gps,"*"&amp;$A$8&amp;"*",Pay_Code,$A67,pp_Hrs_Wkd_Pay_Code,"&gt;="&amp;$V$1,pp_OT_Pay_Code,"&gt;="&amp;$V$2,pp_Bon_Pay_Code,"&gt;="&amp;$V$3,pp_Meal_Pay_Code,"&gt;="&amp;$V$4,pp_Sick_Pay_Code,"&gt;="&amp;$V$5,pp_Diff_Pay_Code,"&gt;="&amp;$V$6),_xlpm.calc2,COUNTIFS(Pay_Key_Gps,"*"&amp;$A$8&amp;"*",Pay_Code,$A67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67" s="138" t="e" cm="1">
        <f t="array" ref="N67">_xlfn.LET(_xlpm.calc,COUNTIFS(Rate_Gp,N$11,Pay_Key_Gps,"*"&amp;$A$8&amp;"*",Pay_Code,$A67,pp_Hrs_Wkd_Pay_Code,"&gt;="&amp;$V$1,pp_OT_Pay_Code,"&gt;="&amp;$V$2,pp_Bon_Pay_Code,"&gt;="&amp;$V$3,pp_Meal_Pay_Code,"&gt;="&amp;$V$4,pp_Sick_Pay_Code,"&gt;="&amp;$V$5,pp_Diff_Pay_Code,"&gt;="&amp;$V$6),_xlpm.calc2,COUNTIFS(Pay_Key_Gps,"*"&amp;$A$8&amp;"*",Pay_Code,$A67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67" s="138" t="e" cm="1">
        <f t="array" ref="O67">_xlfn.LET(_xlpm.calc,COUNTIFS(Rate_Gp,O$11,Pay_Key_Gps,"*"&amp;$A$8&amp;"*",Pay_Code,$A67,pp_Hrs_Wkd_Pay_Code,"&gt;="&amp;$V$1,pp_OT_Pay_Code,"&gt;="&amp;$V$2,pp_Bon_Pay_Code,"&gt;="&amp;$V$3,pp_Meal_Pay_Code,"&gt;="&amp;$V$4,pp_Sick_Pay_Code,"&gt;="&amp;$V$5,pp_Diff_Pay_Code,"&gt;="&amp;$V$6),_xlpm.calc2,COUNTIFS(Pay_Key_Gps,"*"&amp;$A$8&amp;"*",Pay_Code,$A67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67" s="138" t="e" cm="1">
        <f t="array" ref="P67">_xlfn.LET(_xlpm.calc,COUNTIFS(Rate_Gp,P$11,Pay_Key_Gps,"*"&amp;$A$8&amp;"*",Pay_Code,$A67,pp_Hrs_Wkd_Pay_Code,"&gt;="&amp;$V$1,pp_OT_Pay_Code,"&gt;="&amp;$V$2,pp_Bon_Pay_Code,"&gt;="&amp;$V$3,pp_Meal_Pay_Code,"&gt;="&amp;$V$4,pp_Sick_Pay_Code,"&gt;="&amp;$V$5,pp_Diff_Pay_Code,"&gt;="&amp;$V$6),_xlpm.calc2,COUNTIFS(Pay_Key_Gps,"*"&amp;$A$8&amp;"*",Pay_Code,$A67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67" s="138" t="e" cm="1">
        <f t="array" ref="Q67">_xlfn.LET(_xlpm.calc,COUNTIFS(Rate_Gp,Q$11,Pay_Key_Gps,"*"&amp;$A$8&amp;"*",Pay_Code,$A67,pp_Hrs_Wkd_Pay_Code,"&gt;="&amp;$V$1,pp_OT_Pay_Code,"&gt;="&amp;$V$2,pp_Bon_Pay_Code,"&gt;="&amp;$V$3,pp_Meal_Pay_Code,"&gt;="&amp;$V$4,pp_Sick_Pay_Code,"&gt;="&amp;$V$5,pp_Diff_Pay_Code,"&gt;="&amp;$V$6),_xlpm.calc2,COUNTIFS(Pay_Key_Gps,"*"&amp;$A$8&amp;"*",Pay_Code,$A67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67" s="138" t="e" cm="1">
        <f t="array" ref="R67">_xlfn.LET(_xlpm.calc,COUNTIFS(Rate_Gp,R$11,Pay_Key_Gps,"*"&amp;$A$8&amp;"*",Pay_Code,$A67,pp_Hrs_Wkd_Pay_Code,"&gt;="&amp;$V$1,pp_OT_Pay_Code,"&gt;="&amp;$V$2,pp_Bon_Pay_Code,"&gt;="&amp;$V$3,pp_Meal_Pay_Code,"&gt;="&amp;$V$4,pp_Sick_Pay_Code,"&gt;="&amp;$V$5,pp_Diff_Pay_Code,"&gt;="&amp;$V$6),_xlpm.calc2,COUNTIFS(Pay_Key_Gps,"*"&amp;$A$8&amp;"*",Pay_Code,$A67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67" s="138" t="e" cm="1">
        <f t="array" ref="S67">_xlfn.LET(_xlpm.calc,COUNTIFS(Rate_Gp,S$11,Pay_Key_Gps,"*"&amp;$A$8&amp;"*",Pay_Code,$A67,pp_Hrs_Wkd_Pay_Code,"&gt;="&amp;$V$1,pp_OT_Pay_Code,"&gt;="&amp;$V$2,pp_Bon_Pay_Code,"&gt;="&amp;$V$3,pp_Meal_Pay_Code,"&gt;="&amp;$V$4,pp_Sick_Pay_Code,"&gt;="&amp;$V$5,pp_Diff_Pay_Code,"&gt;="&amp;$V$6),_xlpm.calc2,COUNTIFS(Pay_Key_Gps,"*"&amp;$A$8&amp;"*",Pay_Code,$A67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67" s="138" t="e" cm="1">
        <f t="array" ref="T67">_xlfn.LET(_xlpm.calc,COUNTIFS(Rate_Gp,T$11,Pay_Key_Gps,"*"&amp;$A$8&amp;"*",Pay_Code,$A67,pp_Hrs_Wkd_Pay_Code,"&gt;="&amp;$V$1,pp_OT_Pay_Code,"&gt;="&amp;$V$2,pp_Bon_Pay_Code,"&gt;="&amp;$V$3,pp_Meal_Pay_Code,"&gt;="&amp;$V$4,pp_Sick_Pay_Code,"&gt;="&amp;$V$5,pp_Diff_Pay_Code,"&gt;="&amp;$V$6),_xlpm.calc2,COUNTIFS(Pay_Key_Gps,"*"&amp;$A$8&amp;"*",Pay_Code,$A67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67" s="139" t="e" cm="1">
        <f t="array" ref="U67">_xlfn.LET(_xlpm.calc,COUNTIFS(Pay_Key_Gps,"*"&amp;$A$8&amp;"*",Pay_Code,$A67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67" s="118"/>
      <c r="W67" s="118"/>
      <c r="X67" s="149"/>
      <c r="Y67" s="149"/>
      <c r="Z67" s="149"/>
      <c r="AA67" s="149"/>
      <c r="AB67" s="140" t="e">
        <f t="shared" si="3"/>
        <v>#NAME?</v>
      </c>
    </row>
    <row r="68" spans="1:28" s="122" customFormat="1" x14ac:dyDescent="0.25">
      <c r="A68" s="133"/>
      <c r="B68" s="134" t="e" cm="1">
        <f t="array" ref="B68">_xlfn.LET(_xlpm.calc,_xlfn.MINIFS(Pay_Period_End,Pay_Key_Gps,"*"&amp;$A$8&amp;"*",Pay_Code,$A68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68" s="134" t="e" cm="1">
        <f t="array" ref="C68">_xlfn.LET(_xlpm.calc,_xlfn.MAXIFS(Pay_Period_End,Pay_Key_Gps,"*"&amp;$A$8&amp;"*",Pay_Code,$A68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68" s="135" t="str" cm="1">
        <f t="array" ref="D68">_xlfn.LET(_xlpm.calc,IFERROR(ROWS(_xlfn.UNIQUE(_xlfn._xlws.FILTER(Pay_ID,(IFERROR(SEARCH($A$8,Pay_Key_Gps),0)&gt;0) * (Pay_Code=$A68) * (pp_Hrs_Wkd_Pay_Code &gt;= $V$1) * (pp_OT_Pay_Code &gt;= $V$2) * (pp_Bon_Pay_Code &gt;= $V$3) * (pp_Meal_Pay_Code &gt;= $V$4) * (pp_Sick_Pay_Code &gt;= $V$5) * (pp_Diff_Pay_Code &gt;= $V$6)))),0),_xlpm.perc,_xlpm.calc/D$69,IFERROR(IF(_xlpm.calc&gt;1000,_xlfn.CONCAT(TEXT(_xlpm.calc,"0,000")," (",TEXT(_xlpm.perc,"0.0%"),")"),_xlfn.CONCAT(_xlpm.calc," (",TEXT(_xlpm.perc,"0.0%"),")")),"-"))</f>
        <v>-</v>
      </c>
      <c r="E68" s="135" t="str" cm="1">
        <f t="array" ref="E68">_xlfn.LET(_xlpm.calc,IFERROR(ROWS(_xlfn.UNIQUE(_xlfn._xlws.FILTER(Pay_ID_Period_End,(IFERROR(SEARCH($A$8,Pay_Key_Gps),0)&gt;0) * (Pay_Code=$A68) * (pp_Hrs_Wkd_Pay_Code &gt;= $V$1) * (pp_OT_Pay_Code &gt;= $V$2) * (pp_Bon_Pay_Code &gt;= $V$3) * (pp_Meal_Pay_Code &gt;= $V$4) * (pp_Sick_Pay_Code &gt;= $V$5) * (pp_Diff_Pay_Code &gt;= $V$6)))),0),_xlpm.perc,_xlpm.calc/E$69,IFERROR(IF(_xlpm.calc&gt;1000,_xlfn.CONCAT(TEXT(_xlpm.calc,"0,000")," (",TEXT(_xlpm.perc,"0.0%"),")"),_xlfn.CONCAT(_xlpm.calc," (",TEXT(_xlpm.perc,"0.0%"),")")),"-"))</f>
        <v>-</v>
      </c>
      <c r="F68" s="136" t="e">
        <f t="shared" si="1"/>
        <v>#NAME?</v>
      </c>
      <c r="G68" s="137" t="e">
        <f t="shared" si="2"/>
        <v>#NAME?</v>
      </c>
      <c r="H68" s="137" t="str" cm="1">
        <f t="array" ref="H68">IFERROR(AVERAGEIFS(Pay_Amount,Pay_Key_Gps,"*"&amp;$A$8&amp;"*",Pay_Code,$A68,pp_Hrs_Wkd_Pay_Code,"&gt;="&amp;$V$1,pp_OT_Pay_Code,"&gt;="&amp;$V$2,pp_Bon_Pay_Code,"&gt;="&amp;$V$3,pp_Meal_Pay_Code,"&gt;="&amp;$V$4,pp_Sick_Pay_Code,"&gt;="&amp;$V$5,pp_Diff_Pay_Code,"&gt;="&amp;$V$6),"-")</f>
        <v>-</v>
      </c>
      <c r="J68" s="133">
        <f t="shared" si="7"/>
        <v>0</v>
      </c>
      <c r="K68" s="138" t="e" cm="1">
        <f t="array" ref="K68">_xlfn.LET(_xlpm.calc,COUNTIFS(Rate_Gp,K$11,Pay_Key_Gps,"*"&amp;$A$8&amp;"*",Pay_Code,$A68,pp_Hrs_Wkd_Pay_Code,"&gt;="&amp;$V$1,pp_OT_Pay_Code,"&gt;="&amp;$V$2,pp_Bon_Pay_Code,"&gt;="&amp;$V$3,pp_Meal_Pay_Code,"&gt;="&amp;$V$4,pp_Sick_Pay_Code,"&gt;="&amp;$V$5,pp_Diff_Pay_Code,"&gt;="&amp;$V$6),_xlpm.calc2,COUNTIFS(Pay_Key_Gps,"*"&amp;$A$8&amp;"*",Pay_Code,$A68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68" s="138" t="e" cm="1">
        <f t="array" ref="L68">_xlfn.LET(_xlpm.calc,COUNTIFS(Rate_Gp,L$11,Pay_Key_Gps,"*"&amp;$A$8&amp;"*",Pay_Code,$A68,pp_Hrs_Wkd_Pay_Code,"&gt;="&amp;$V$1,pp_OT_Pay_Code,"&gt;="&amp;$V$2,pp_Bon_Pay_Code,"&gt;="&amp;$V$3,pp_Meal_Pay_Code,"&gt;="&amp;$V$4,pp_Sick_Pay_Code,"&gt;="&amp;$V$5,pp_Diff_Pay_Code,"&gt;="&amp;$V$6),_xlpm.calc2,COUNTIFS(Pay_Key_Gps,"*"&amp;$A$8&amp;"*",Pay_Code,$A68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68" s="138" t="e" cm="1">
        <f t="array" ref="M68">_xlfn.LET(_xlpm.calc,COUNTIFS(Rate_Gp,M$11,Pay_Key_Gps,"*"&amp;$A$8&amp;"*",Pay_Code,$A68,pp_Hrs_Wkd_Pay_Code,"&gt;="&amp;$V$1,pp_OT_Pay_Code,"&gt;="&amp;$V$2,pp_Bon_Pay_Code,"&gt;="&amp;$V$3,pp_Meal_Pay_Code,"&gt;="&amp;$V$4,pp_Sick_Pay_Code,"&gt;="&amp;$V$5,pp_Diff_Pay_Code,"&gt;="&amp;$V$6),_xlpm.calc2,COUNTIFS(Pay_Key_Gps,"*"&amp;$A$8&amp;"*",Pay_Code,$A68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68" s="138" t="e" cm="1">
        <f t="array" ref="N68">_xlfn.LET(_xlpm.calc,COUNTIFS(Rate_Gp,N$11,Pay_Key_Gps,"*"&amp;$A$8&amp;"*",Pay_Code,$A68,pp_Hrs_Wkd_Pay_Code,"&gt;="&amp;$V$1,pp_OT_Pay_Code,"&gt;="&amp;$V$2,pp_Bon_Pay_Code,"&gt;="&amp;$V$3,pp_Meal_Pay_Code,"&gt;="&amp;$V$4,pp_Sick_Pay_Code,"&gt;="&amp;$V$5,pp_Diff_Pay_Code,"&gt;="&amp;$V$6),_xlpm.calc2,COUNTIFS(Pay_Key_Gps,"*"&amp;$A$8&amp;"*",Pay_Code,$A68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68" s="138" t="e" cm="1">
        <f t="array" ref="O68">_xlfn.LET(_xlpm.calc,COUNTIFS(Rate_Gp,O$11,Pay_Key_Gps,"*"&amp;$A$8&amp;"*",Pay_Code,$A68,pp_Hrs_Wkd_Pay_Code,"&gt;="&amp;$V$1,pp_OT_Pay_Code,"&gt;="&amp;$V$2,pp_Bon_Pay_Code,"&gt;="&amp;$V$3,pp_Meal_Pay_Code,"&gt;="&amp;$V$4,pp_Sick_Pay_Code,"&gt;="&amp;$V$5,pp_Diff_Pay_Code,"&gt;="&amp;$V$6),_xlpm.calc2,COUNTIFS(Pay_Key_Gps,"*"&amp;$A$8&amp;"*",Pay_Code,$A68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68" s="138" t="e" cm="1">
        <f t="array" ref="P68">_xlfn.LET(_xlpm.calc,COUNTIFS(Rate_Gp,P$11,Pay_Key_Gps,"*"&amp;$A$8&amp;"*",Pay_Code,$A68,pp_Hrs_Wkd_Pay_Code,"&gt;="&amp;$V$1,pp_OT_Pay_Code,"&gt;="&amp;$V$2,pp_Bon_Pay_Code,"&gt;="&amp;$V$3,pp_Meal_Pay_Code,"&gt;="&amp;$V$4,pp_Sick_Pay_Code,"&gt;="&amp;$V$5,pp_Diff_Pay_Code,"&gt;="&amp;$V$6),_xlpm.calc2,COUNTIFS(Pay_Key_Gps,"*"&amp;$A$8&amp;"*",Pay_Code,$A68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68" s="138" t="e" cm="1">
        <f t="array" ref="Q68">_xlfn.LET(_xlpm.calc,COUNTIFS(Rate_Gp,Q$11,Pay_Key_Gps,"*"&amp;$A$8&amp;"*",Pay_Code,$A68,pp_Hrs_Wkd_Pay_Code,"&gt;="&amp;$V$1,pp_OT_Pay_Code,"&gt;="&amp;$V$2,pp_Bon_Pay_Code,"&gt;="&amp;$V$3,pp_Meal_Pay_Code,"&gt;="&amp;$V$4,pp_Sick_Pay_Code,"&gt;="&amp;$V$5,pp_Diff_Pay_Code,"&gt;="&amp;$V$6),_xlpm.calc2,COUNTIFS(Pay_Key_Gps,"*"&amp;$A$8&amp;"*",Pay_Code,$A68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68" s="138" t="e" cm="1">
        <f t="array" ref="R68">_xlfn.LET(_xlpm.calc,COUNTIFS(Rate_Gp,R$11,Pay_Key_Gps,"*"&amp;$A$8&amp;"*",Pay_Code,$A68,pp_Hrs_Wkd_Pay_Code,"&gt;="&amp;$V$1,pp_OT_Pay_Code,"&gt;="&amp;$V$2,pp_Bon_Pay_Code,"&gt;="&amp;$V$3,pp_Meal_Pay_Code,"&gt;="&amp;$V$4,pp_Sick_Pay_Code,"&gt;="&amp;$V$5,pp_Diff_Pay_Code,"&gt;="&amp;$V$6),_xlpm.calc2,COUNTIFS(Pay_Key_Gps,"*"&amp;$A$8&amp;"*",Pay_Code,$A68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68" s="138" t="e" cm="1">
        <f t="array" ref="S68">_xlfn.LET(_xlpm.calc,COUNTIFS(Rate_Gp,S$11,Pay_Key_Gps,"*"&amp;$A$8&amp;"*",Pay_Code,$A68,pp_Hrs_Wkd_Pay_Code,"&gt;="&amp;$V$1,pp_OT_Pay_Code,"&gt;="&amp;$V$2,pp_Bon_Pay_Code,"&gt;="&amp;$V$3,pp_Meal_Pay_Code,"&gt;="&amp;$V$4,pp_Sick_Pay_Code,"&gt;="&amp;$V$5,pp_Diff_Pay_Code,"&gt;="&amp;$V$6),_xlpm.calc2,COUNTIFS(Pay_Key_Gps,"*"&amp;$A$8&amp;"*",Pay_Code,$A68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68" s="138" t="e" cm="1">
        <f t="array" ref="T68">_xlfn.LET(_xlpm.calc,COUNTIFS(Rate_Gp,T$11,Pay_Key_Gps,"*"&amp;$A$8&amp;"*",Pay_Code,$A68,pp_Hrs_Wkd_Pay_Code,"&gt;="&amp;$V$1,pp_OT_Pay_Code,"&gt;="&amp;$V$2,pp_Bon_Pay_Code,"&gt;="&amp;$V$3,pp_Meal_Pay_Code,"&gt;="&amp;$V$4,pp_Sick_Pay_Code,"&gt;="&amp;$V$5,pp_Diff_Pay_Code,"&gt;="&amp;$V$6),_xlpm.calc2,COUNTIFS(Pay_Key_Gps,"*"&amp;$A$8&amp;"*",Pay_Code,$A68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68" s="139" t="e" cm="1">
        <f t="array" ref="U68">_xlfn.LET(_xlpm.calc,COUNTIFS(Pay_Key_Gps,"*"&amp;$A$8&amp;"*",Pay_Code,$A68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68" s="118"/>
      <c r="W68" s="118"/>
      <c r="X68" s="149"/>
      <c r="Y68" s="149"/>
      <c r="Z68" s="149"/>
      <c r="AA68" s="149"/>
      <c r="AB68" s="140" t="e">
        <f t="shared" si="3"/>
        <v>#NAME?</v>
      </c>
    </row>
    <row r="69" spans="1:28" s="122" customFormat="1" x14ac:dyDescent="0.25">
      <c r="A69" s="141" t="s">
        <v>45</v>
      </c>
      <c r="B69" s="142" t="e" cm="1">
        <f t="array" ref="B69">_xlfn.LET(_xlpm.calc,_xlfn.MINIFS(Pay_Period_End,Pay_Key_Gps,"*"&amp;$A$8&amp;"*"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69" s="142" t="e" cm="1">
        <f t="array" ref="C69">_xlfn.LET(_xlpm.calc,_xlfn.MAXIFS(Pay_Period_End,Pay_Key_Gps,"*"&amp;$A$8&amp;"*"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69" s="139" cm="1">
        <f t="array" ref="D69">IFERROR(ROWS(_xlfn.UNIQUE(_xlfn._xlws.FILTER(Pay_ID,(IFERROR(SEARCH($A$8,Pay_Key_Gps),0)&gt;0)))),0)</f>
        <v>0</v>
      </c>
      <c r="E69" s="139" cm="1">
        <f t="array" ref="E69">IFERROR(ROWS(_xlfn.UNIQUE(_xlfn._xlws.FILTER(Pay_ID_Period_End,(IFERROR(SEARCH($A$8,Pay_Key_Gps),0)&gt;0)))),0)</f>
        <v>0</v>
      </c>
      <c r="F69" s="143" t="e" cm="1">
        <f t="array" ref="F69">SUMIFS(Pay_Hours,Pay_Key_Gps,"*"&amp;$A$8&amp;"*",pp_Hrs_Wkd_Pay_Code,"&gt;="&amp;$V$1,pp_OT_Pay_Code,"&gt;="&amp;$V$2,pp_Bon_Pay_Code,"&gt;="&amp;$V$3,pp_Meal_Pay_Code,"&gt;="&amp;$V$4,pp_Sick_Pay_Code,"&gt;="&amp;$V$5,pp_Diff_Pay_Code,"&gt;="&amp;$V$6)</f>
        <v>#NAME?</v>
      </c>
      <c r="G69" s="144" t="e" cm="1">
        <f t="array" ref="G69">SUMIFS(Pay_Amount,Pay_Key_Gps,"*"&amp;$A$8&amp;"*",pp_Hrs_Wkd_Pay_Code,"&gt;="&amp;$V$1,pp_OT_Pay_Code,"&gt;="&amp;$V$2,pp_Bon_Pay_Code,"&gt;="&amp;$V$3,pp_Meal_Pay_Code,"&gt;="&amp;$V$4,pp_Sick_Pay_Code,"&gt;="&amp;$V$5,pp_Diff_Pay_Code,"&gt;="&amp;$V$6)</f>
        <v>#NAME?</v>
      </c>
      <c r="H69" s="144" t="s">
        <v>214</v>
      </c>
      <c r="J69" s="141" t="s">
        <v>45</v>
      </c>
      <c r="K69" s="145" t="e" cm="1">
        <f t="array" ref="K69">_xlfn.LET(_xlpm.calc,COUNTIFS(Rate_Gp,K$11,Pay_Key_Gps,"*"&amp;$A$8&amp;"*",pp_Hrs_Wkd_Pay_Code,"&gt;="&amp;$V$1,pp_OT_Pay_Code,"&gt;="&amp;$V$2,pp_Bon_Pay_Code,"&gt;="&amp;$V$3,pp_Meal_Pay_Code,"&gt;="&amp;$V$4,pp_Sick_Pay_Code,"&gt;="&amp;$V$5,pp_Diff_Pay_Code,"&gt;="&amp;$V$6),_xlpm.calc2,COUNTIFS(pp_Hrs_Wkd_Pay_Code,"&gt;="&amp;$V$5,Pay_Key_Gps,"*"&amp;$A$8&amp;"*",pp_OT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69" s="145" t="e" cm="1">
        <f t="array" ref="L69">_xlfn.LET(_xlpm.calc,COUNTIFS(Rate_Gp,L$11,Pay_Key_Gps,"*"&amp;$A$8&amp;"*",pp_Hrs_Wkd_Pay_Code,"&gt;="&amp;$V$1,pp_OT_Pay_Code,"&gt;="&amp;$V$2,pp_Bon_Pay_Code,"&gt;="&amp;$V$3,pp_Meal_Pay_Code,"&gt;="&amp;$V$4,pp_Sick_Pay_Code,"&gt;="&amp;$V$5,pp_Diff_Pay_Code,"&gt;="&amp;$V$6),_xlpm.calc2,COUNTIFS(pp_Hrs_Wkd_Pay_Code,"&gt;="&amp;$V$5,Pay_Key_Gps,"*"&amp;$A$8&amp;"*",pp_OT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69" s="145" t="e" cm="1">
        <f t="array" ref="M69">_xlfn.LET(_xlpm.calc,COUNTIFS(Rate_Gp,M$11,Pay_Key_Gps,"*"&amp;$A$8&amp;"*",pp_Hrs_Wkd_Pay_Code,"&gt;="&amp;$V$1,pp_OT_Pay_Code,"&gt;="&amp;$V$2,pp_Bon_Pay_Code,"&gt;="&amp;$V$3,pp_Meal_Pay_Code,"&gt;="&amp;$V$4,pp_Sick_Pay_Code,"&gt;="&amp;$V$5,pp_Diff_Pay_Code,"&gt;="&amp;$V$6),_xlpm.calc2,COUNTIFS(pp_Hrs_Wkd_Pay_Code,"&gt;="&amp;$V$5,Pay_Key_Gps,"*"&amp;$A$8&amp;"*",pp_OT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69" s="145" t="e" cm="1">
        <f t="array" ref="N69">_xlfn.LET(_xlpm.calc,COUNTIFS(Rate_Gp,N$11,Pay_Key_Gps,"*"&amp;$A$8&amp;"*",pp_Hrs_Wkd_Pay_Code,"&gt;="&amp;$V$1,pp_OT_Pay_Code,"&gt;="&amp;$V$2,pp_Bon_Pay_Code,"&gt;="&amp;$V$3,pp_Meal_Pay_Code,"&gt;="&amp;$V$4,pp_Sick_Pay_Code,"&gt;="&amp;$V$5,pp_Diff_Pay_Code,"&gt;="&amp;$V$6),_xlpm.calc2,COUNTIFS(pp_Hrs_Wkd_Pay_Code,"&gt;="&amp;$V$5,Pay_Key_Gps,"*"&amp;$A$8&amp;"*",pp_OT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69" s="145" t="e" cm="1">
        <f t="array" ref="O69">_xlfn.LET(_xlpm.calc,COUNTIFS(Rate_Gp,O$11,Pay_Key_Gps,"*"&amp;$A$8&amp;"*",pp_Hrs_Wkd_Pay_Code,"&gt;="&amp;$V$1,pp_OT_Pay_Code,"&gt;="&amp;$V$2,pp_Bon_Pay_Code,"&gt;="&amp;$V$3,pp_Meal_Pay_Code,"&gt;="&amp;$V$4,pp_Sick_Pay_Code,"&gt;="&amp;$V$5,pp_Diff_Pay_Code,"&gt;="&amp;$V$6),_xlpm.calc2,COUNTIFS(pp_Hrs_Wkd_Pay_Code,"&gt;="&amp;$V$5,Pay_Key_Gps,"*"&amp;$A$8&amp;"*",pp_OT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69" s="145" t="e" cm="1">
        <f t="array" ref="P69">_xlfn.LET(_xlpm.calc,COUNTIFS(Rate_Gp,P$11,Pay_Key_Gps,"*"&amp;$A$8&amp;"*",pp_Hrs_Wkd_Pay_Code,"&gt;="&amp;$V$1,pp_OT_Pay_Code,"&gt;="&amp;$V$2,pp_Bon_Pay_Code,"&gt;="&amp;$V$3,pp_Meal_Pay_Code,"&gt;="&amp;$V$4,pp_Sick_Pay_Code,"&gt;="&amp;$V$5,pp_Diff_Pay_Code,"&gt;="&amp;$V$6),_xlpm.calc2,COUNTIFS(pp_Hrs_Wkd_Pay_Code,"&gt;="&amp;$V$5,Pay_Key_Gps,"*"&amp;$A$8&amp;"*",pp_OT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69" s="145" t="e" cm="1">
        <f t="array" ref="Q69">_xlfn.LET(_xlpm.calc,COUNTIFS(Rate_Gp,Q$11,Pay_Key_Gps,"*"&amp;$A$8&amp;"*",pp_Hrs_Wkd_Pay_Code,"&gt;="&amp;$V$1,pp_OT_Pay_Code,"&gt;="&amp;$V$2,pp_Bon_Pay_Code,"&gt;="&amp;$V$3,pp_Meal_Pay_Code,"&gt;="&amp;$V$4,pp_Sick_Pay_Code,"&gt;="&amp;$V$5,pp_Diff_Pay_Code,"&gt;="&amp;$V$6),_xlpm.calc2,COUNTIFS(pp_Hrs_Wkd_Pay_Code,"&gt;="&amp;$V$5,Pay_Key_Gps,"*"&amp;$A$8&amp;"*",pp_OT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69" s="145" t="e" cm="1">
        <f t="array" ref="R69">_xlfn.LET(_xlpm.calc,COUNTIFS(Rate_Gp,R$11,Pay_Key_Gps,"*"&amp;$A$8&amp;"*",pp_Hrs_Wkd_Pay_Code,"&gt;="&amp;$V$1,pp_OT_Pay_Code,"&gt;="&amp;$V$2,pp_Bon_Pay_Code,"&gt;="&amp;$V$3,pp_Meal_Pay_Code,"&gt;="&amp;$V$4,pp_Sick_Pay_Code,"&gt;="&amp;$V$5,pp_Diff_Pay_Code,"&gt;="&amp;$V$6),_xlpm.calc2,COUNTIFS(pp_Hrs_Wkd_Pay_Code,"&gt;="&amp;$V$5,Pay_Key_Gps,"*"&amp;$A$8&amp;"*",pp_OT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69" s="145" t="e" cm="1">
        <f t="array" ref="S69">_xlfn.LET(_xlpm.calc,COUNTIFS(Rate_Gp,S$11,Pay_Key_Gps,"*"&amp;$A$8&amp;"*",pp_Hrs_Wkd_Pay_Code,"&gt;="&amp;$V$1,pp_OT_Pay_Code,"&gt;="&amp;$V$2,pp_Bon_Pay_Code,"&gt;="&amp;$V$3,pp_Meal_Pay_Code,"&gt;="&amp;$V$4,pp_Sick_Pay_Code,"&gt;="&amp;$V$5,pp_Diff_Pay_Code,"&gt;="&amp;$V$6),_xlpm.calc2,COUNTIFS(pp_Hrs_Wkd_Pay_Code,"&gt;="&amp;$V$5,Pay_Key_Gps,"*"&amp;$A$8&amp;"*",pp_OT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69" s="145" t="e" cm="1">
        <f t="array" ref="T69">_xlfn.LET(_xlpm.calc,COUNTIFS(Rate_Gp,T$11,Pay_Key_Gps,"*"&amp;$A$8&amp;"*",pp_Hrs_Wkd_Pay_Code,"&gt;="&amp;$V$1,pp_OT_Pay_Code,"&gt;="&amp;$V$2,pp_Bon_Pay_Code,"&gt;="&amp;$V$3,pp_Meal_Pay_Code,"&gt;="&amp;$V$4,pp_Sick_Pay_Code,"&gt;="&amp;$V$5,pp_Diff_Pay_Code,"&gt;="&amp;$V$6),_xlpm.calc2,COUNTIFS(pp_Hrs_Wkd_Pay_Code,"&gt;="&amp;$V$5,Pay_Key_Gps,"*"&amp;$A$8&amp;"*",pp_OT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69" s="139" t="e">
        <f>SUM(U12:U68)</f>
        <v>#NAME?</v>
      </c>
      <c r="V69" s="121"/>
      <c r="W69" s="118"/>
      <c r="X69" s="149"/>
      <c r="Y69" s="149"/>
      <c r="Z69" s="149"/>
      <c r="AA69" s="149"/>
      <c r="AB69" s="140" t="e">
        <f t="shared" ref="AB69:AB70" si="8">SUMIFS(Pay_Amount,Pay_Code,$AA69)</f>
        <v>#NAME?</v>
      </c>
    </row>
    <row r="70" spans="1:28" s="122" customFormat="1" x14ac:dyDescent="0.25">
      <c r="A70" s="123"/>
      <c r="B70" s="126"/>
      <c r="C70" s="126"/>
      <c r="D70" s="127"/>
      <c r="E70" s="127"/>
      <c r="F70" s="128"/>
      <c r="G70" s="129"/>
      <c r="H70" s="129"/>
      <c r="J70" s="123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27"/>
      <c r="V70" s="121"/>
      <c r="W70" s="118"/>
      <c r="X70" s="149"/>
      <c r="Y70" s="149"/>
      <c r="Z70" s="149"/>
      <c r="AA70" s="149"/>
      <c r="AB70" s="140" t="e">
        <f t="shared" si="8"/>
        <v>#NAME?</v>
      </c>
    </row>
    <row r="71" spans="1:28" s="123" customFormat="1" ht="15" outlineLevel="1" thickBot="1" x14ac:dyDescent="0.35">
      <c r="A71" s="124" t="e">
        <f>'Class Analysis'!$M$1</f>
        <v>#NAME?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121"/>
      <c r="X71" s="149"/>
      <c r="Y71" s="149"/>
      <c r="Z71" s="149"/>
      <c r="AA71" s="149"/>
      <c r="AB71" s="140"/>
    </row>
    <row r="72" spans="1:28" s="123" customFormat="1" ht="15" thickBot="1" x14ac:dyDescent="0.3">
      <c r="A72" s="146" t="e">
        <f>A71</f>
        <v>#NAME?</v>
      </c>
      <c r="B72" s="126"/>
      <c r="C72" s="126"/>
      <c r="D72" s="127"/>
      <c r="E72" s="127"/>
      <c r="F72" s="128"/>
      <c r="G72" s="129"/>
      <c r="H72" s="129"/>
      <c r="I72" s="122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27"/>
      <c r="V72" s="121"/>
      <c r="W72" s="121"/>
      <c r="X72" s="149"/>
      <c r="Y72" s="149"/>
      <c r="Z72" s="149"/>
      <c r="AA72" s="149"/>
      <c r="AB72" s="140"/>
    </row>
    <row r="73" spans="1:28" x14ac:dyDescent="0.3">
      <c r="A73" s="336" t="str">
        <f>A$10</f>
        <v>Pay Code</v>
      </c>
      <c r="B73" s="337" t="str">
        <f t="shared" ref="B73:H73" si="9">B$10</f>
        <v>Min Period End Date</v>
      </c>
      <c r="C73" s="337" t="str">
        <f t="shared" si="9"/>
        <v>Max Period End Date</v>
      </c>
      <c r="D73" s="337" t="str">
        <f t="shared" si="9"/>
        <v>Employees
(% of EEs)</v>
      </c>
      <c r="E73" s="337" t="str">
        <f t="shared" si="9"/>
        <v>Pay Periods
(% of PPs)</v>
      </c>
      <c r="F73" s="341" t="str">
        <f t="shared" si="9"/>
        <v>Hours</v>
      </c>
      <c r="G73" s="337" t="str">
        <f t="shared" si="9"/>
        <v>Amount</v>
      </c>
      <c r="H73" s="337" t="str">
        <f t="shared" si="9"/>
        <v>Average Amount</v>
      </c>
      <c r="I73" s="122"/>
      <c r="J73" s="336" t="str">
        <f t="shared" ref="J73:U73" si="10">J$10</f>
        <v>Pay Code</v>
      </c>
      <c r="K73" s="337" t="str">
        <f t="shared" si="10"/>
        <v>Records Distribution by Calculated Rate Multiplier (Calc Rate / Base Rate)</v>
      </c>
      <c r="L73" s="337">
        <f t="shared" si="10"/>
        <v>0</v>
      </c>
      <c r="M73" s="337">
        <f t="shared" si="10"/>
        <v>0</v>
      </c>
      <c r="N73" s="337">
        <f t="shared" si="10"/>
        <v>0</v>
      </c>
      <c r="O73" s="337">
        <f t="shared" si="10"/>
        <v>0</v>
      </c>
      <c r="P73" s="337">
        <f t="shared" si="10"/>
        <v>0</v>
      </c>
      <c r="Q73" s="337">
        <f t="shared" si="10"/>
        <v>0</v>
      </c>
      <c r="R73" s="337">
        <f t="shared" si="10"/>
        <v>0</v>
      </c>
      <c r="S73" s="337">
        <f t="shared" si="10"/>
        <v>0</v>
      </c>
      <c r="T73" s="337">
        <f t="shared" si="10"/>
        <v>0</v>
      </c>
      <c r="U73" s="338">
        <f t="shared" si="10"/>
        <v>0</v>
      </c>
      <c r="V73" s="118"/>
    </row>
    <row r="74" spans="1:28" s="123" customFormat="1" x14ac:dyDescent="0.25">
      <c r="A74" s="336"/>
      <c r="B74" s="337"/>
      <c r="C74" s="337"/>
      <c r="D74" s="337"/>
      <c r="E74" s="337"/>
      <c r="F74" s="341"/>
      <c r="G74" s="337"/>
      <c r="H74" s="337"/>
      <c r="I74" s="122"/>
      <c r="J74" s="336"/>
      <c r="K74" s="147" t="str">
        <f>K$11</f>
        <v>Less than 0.5x</v>
      </c>
      <c r="L74" s="147" t="str">
        <f t="shared" ref="L74:U74" si="11">L$11</f>
        <v>0.5x</v>
      </c>
      <c r="M74" s="147" t="str">
        <f t="shared" si="11"/>
        <v>0.5x-1x</v>
      </c>
      <c r="N74" s="147" t="str">
        <f t="shared" si="11"/>
        <v>1x</v>
      </c>
      <c r="O74" s="147" t="str">
        <f t="shared" si="11"/>
        <v>1x-1.5x</v>
      </c>
      <c r="P74" s="147" t="str">
        <f t="shared" si="11"/>
        <v>1.5x</v>
      </c>
      <c r="Q74" s="147" t="str">
        <f t="shared" si="11"/>
        <v>1.5x-2x</v>
      </c>
      <c r="R74" s="147" t="str">
        <f t="shared" si="11"/>
        <v>2x</v>
      </c>
      <c r="S74" s="147" t="str">
        <f t="shared" si="11"/>
        <v>Greater than 2x</v>
      </c>
      <c r="T74" s="147" t="str">
        <f t="shared" si="11"/>
        <v>N/A</v>
      </c>
      <c r="U74" s="148" t="str">
        <f t="shared" si="11"/>
        <v>Total</v>
      </c>
      <c r="V74" s="121"/>
      <c r="W74" s="121"/>
      <c r="X74" s="149"/>
      <c r="Y74" s="149"/>
      <c r="Z74" s="149"/>
      <c r="AA74" s="149"/>
      <c r="AB74" s="140"/>
    </row>
    <row r="75" spans="1:28" s="122" customFormat="1" x14ac:dyDescent="0.25">
      <c r="A75" s="133" t="e" cm="1">
        <f t="array" ref="A75">_xlfn.LET(_xlpm.unique_Pay_Codes, _xlfn.UNIQUE(_xlfn._xlws.FILTER(Pay_Code, ISNUMBER(SEARCH("*" &amp; $A$71 &amp; "*", Pay_Key_Gps)))),  _xlpm.sorted_sums, _xlfn.SORTBY(_xlpm.unique_Pay_Codes, -SUMIFS(Pay_Amount, Pay_Code, _xlpm.unique_Pay_Codes)),  _xlpm.sorted_sums)</f>
        <v>#NAME?</v>
      </c>
      <c r="B75" s="134" t="e" cm="1">
        <f t="array" ref="B75">_xlfn.LET(_xlpm.calc,_xlfn.MINIFS(Pay_Period_End,Pay_Key_Gps,"*"&amp;$A$71&amp;"*",Pay_Code,$A75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75" s="134" t="e" cm="1">
        <f t="array" ref="C75">_xlfn.LET(_xlpm.calc,_xlfn.MAXIFS(Pay_Period_End,Pay_Key_Gps,"*"&amp;$A$71&amp;"*",Pay_Code,$A75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75" s="135" t="str" cm="1">
        <f t="array" ref="D75">_xlfn.LET(_xlpm.calc,IFERROR(ROWS(_xlfn.UNIQUE(_xlfn._xlws.FILTER(Pay_ID,(IFERROR(SEARCH($A$71,Pay_Key_Gps),0)&gt;0) * (Pay_Code=$A75) * (pp_Hrs_Wkd_Pay_Code &gt;= $V$1) * (pp_OT_Pay_Code &gt;= $V$2) * (pp_Bon_Pay_Code &gt;= $V$3) * (pp_Meal_Pay_Code &gt;= $V$4) * (pp_Sick_Pay_Code &gt;= $V$5) * (pp_Diff_Pay_Code &gt;= $V$6)))),0),_xlpm.perc,_xlpm.calc/D$100,IFERROR(IF(_xlpm.calc&gt;1000,_xlfn.CONCAT(TEXT(_xlpm.calc,"0,000")," (",TEXT(_xlpm.perc,"0.0%"),")"),_xlfn.CONCAT(_xlpm.calc," (",TEXT(_xlpm.perc,"0.0%"),")")),"-"))</f>
        <v>-</v>
      </c>
      <c r="E75" s="135" t="str" cm="1">
        <f t="array" ref="E75">_xlfn.LET(_xlpm.calc,IFERROR(ROWS(_xlfn.UNIQUE(_xlfn._xlws.FILTER(Pay_ID_Period_End,(IFERROR(SEARCH($A$71,Pay_Key_Gps),0)&gt;0) * (Pay_Code=$A75) * (pp_Hrs_Wkd_Pay_Code &gt;= $V$1) * (pp_OT_Pay_Code &gt;= $V$2) * (pp_Bon_Pay_Code &gt;= $V$3) * (pp_Meal_Pay_Code &gt;= $V$4) * (pp_Sick_Pay_Code &gt;= $V$5) * (pp_Diff_Pay_Code &gt;= $V$6)))),0),_xlpm.perc,_xlpm.calc/E$100,IFERROR(IF(_xlpm.calc&gt;1000,_xlfn.CONCAT(TEXT(_xlpm.calc,"0,000")," (",TEXT(_xlpm.perc,"0.0%"),")"),_xlfn.CONCAT(_xlpm.calc," (",TEXT(_xlpm.perc,"0.0%"),")")),"-"))</f>
        <v>-</v>
      </c>
      <c r="F75" s="136" t="e">
        <f t="shared" ref="F75:F99" si="12">SUMIFS(Pay_Hours,Pay_Key_Gps,"*"&amp;$A$71&amp;"*",Pay_Code,$A75,pp_Hrs_Wkd_Pay_Code,"&gt;="&amp;$V$1,pp_OT_Pay_Code,"&gt;="&amp;$V$2,pp_Bon_Pay_Code,"&gt;="&amp;$V$3,pp_Meal_Pay_Code,"&gt;="&amp;$V$4,pp_Sick_Pay_Code,"&gt;="&amp;$V$5,pp_Diff_Pay_Code,"&gt;="&amp;$V$6)</f>
        <v>#NAME?</v>
      </c>
      <c r="G75" s="137" t="e">
        <f t="shared" ref="G75:G99" si="13">SUMIFS(Pay_Amount,Pay_Key_Gps,"*"&amp;$A$71&amp;"*",Pay_Code,$A75,pp_Hrs_Wkd_Pay_Code,"&gt;="&amp;$V$1,pp_OT_Pay_Code,"&gt;="&amp;$V$2,pp_Bon_Pay_Code,"&gt;="&amp;$V$3,pp_Meal_Pay_Code,"&gt;="&amp;$V$4,pp_Sick_Pay_Code,"&gt;="&amp;$V$5,pp_Diff_Pay_Code,"&gt;="&amp;$V$6)</f>
        <v>#NAME?</v>
      </c>
      <c r="H75" s="137" t="str" cm="1">
        <f t="array" ref="H75">IFERROR(AVERAGEIFS(Pay_Amount,Pay_Key_Gps,"*"&amp;$A$71&amp;"*",Pay_Code,$A75,pp_Hrs_Wkd_Pay_Code,"&gt;="&amp;$V$1,pp_OT_Pay_Code,"&gt;="&amp;$V$2,pp_Bon_Pay_Code,"&gt;="&amp;$V$3,pp_Meal_Pay_Code,"&gt;="&amp;$V$4,pp_Sick_Pay_Code,"&gt;="&amp;$V$5,pp_Diff_Pay_Code,"&gt;="&amp;$V$6),"-")</f>
        <v>-</v>
      </c>
      <c r="J75" s="133" t="e">
        <f>A75</f>
        <v>#NAME?</v>
      </c>
      <c r="K75" s="138" t="e" cm="1">
        <f t="array" ref="K75">_xlfn.LET(_xlpm.calc,COUNTIFS(Rate_Gp,K$11,Pay_Key_Gps,"*"&amp;$A$71&amp;"*",Pay_Code,$A75,pp_Hrs_Wkd_Pay_Code,"&gt;="&amp;$V$1,pp_OT_Pay_Code,"&gt;="&amp;$V$2,pp_Bon_Pay_Code,"&gt;="&amp;$V$3,pp_Meal_Pay_Code,"&gt;="&amp;$V$4,pp_Sick_Pay_Code,"&gt;="&amp;$V$5,pp_Diff_Pay_Code,"&gt;="&amp;$V$6),_xlpm.calc2,COUNTIFS(Pay_Key_Gps,"*"&amp;$A$71&amp;"*",Pay_Code,$A75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75" s="138" t="e" cm="1">
        <f t="array" ref="L75">_xlfn.LET(_xlpm.calc,COUNTIFS(Rate_Gp,L$11,Pay_Key_Gps,"*"&amp;$A$71&amp;"*",Pay_Code,$A75,pp_Hrs_Wkd_Pay_Code,"&gt;="&amp;$V$1,pp_OT_Pay_Code,"&gt;="&amp;$V$2,pp_Bon_Pay_Code,"&gt;="&amp;$V$3,pp_Meal_Pay_Code,"&gt;="&amp;$V$4,pp_Sick_Pay_Code,"&gt;="&amp;$V$5,pp_Diff_Pay_Code,"&gt;="&amp;$V$6),_xlpm.calc2,COUNTIFS(Pay_Key_Gps,"*"&amp;$A$71&amp;"*",Pay_Code,$A75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75" s="138" t="e" cm="1">
        <f t="array" ref="M75">_xlfn.LET(_xlpm.calc,COUNTIFS(Rate_Gp,M$11,Pay_Key_Gps,"*"&amp;$A$71&amp;"*",Pay_Code,$A75,pp_Hrs_Wkd_Pay_Code,"&gt;="&amp;$V$1,pp_OT_Pay_Code,"&gt;="&amp;$V$2,pp_Bon_Pay_Code,"&gt;="&amp;$V$3,pp_Meal_Pay_Code,"&gt;="&amp;$V$4,pp_Sick_Pay_Code,"&gt;="&amp;$V$5,pp_Diff_Pay_Code,"&gt;="&amp;$V$6),_xlpm.calc2,COUNTIFS(Pay_Key_Gps,"*"&amp;$A$71&amp;"*",Pay_Code,$A75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75" s="138" t="e" cm="1">
        <f t="array" ref="N75">_xlfn.LET(_xlpm.calc,COUNTIFS(Rate_Gp,N$11,Pay_Key_Gps,"*"&amp;$A$71&amp;"*",Pay_Code,$A75,pp_Hrs_Wkd_Pay_Code,"&gt;="&amp;$V$1,pp_OT_Pay_Code,"&gt;="&amp;$V$2,pp_Bon_Pay_Code,"&gt;="&amp;$V$3,pp_Meal_Pay_Code,"&gt;="&amp;$V$4,pp_Sick_Pay_Code,"&gt;="&amp;$V$5,pp_Diff_Pay_Code,"&gt;="&amp;$V$6),_xlpm.calc2,COUNTIFS(Pay_Key_Gps,"*"&amp;$A$71&amp;"*",Pay_Code,$A75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75" s="138" t="e" cm="1">
        <f t="array" ref="O75">_xlfn.LET(_xlpm.calc,COUNTIFS(Rate_Gp,O$11,Pay_Key_Gps,"*"&amp;$A$71&amp;"*",Pay_Code,$A75,pp_Hrs_Wkd_Pay_Code,"&gt;="&amp;$V$1,pp_OT_Pay_Code,"&gt;="&amp;$V$2,pp_Bon_Pay_Code,"&gt;="&amp;$V$3,pp_Meal_Pay_Code,"&gt;="&amp;$V$4,pp_Sick_Pay_Code,"&gt;="&amp;$V$5,pp_Diff_Pay_Code,"&gt;="&amp;$V$6),_xlpm.calc2,COUNTIFS(Pay_Key_Gps,"*"&amp;$A$71&amp;"*",Pay_Code,$A75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75" s="138" t="e" cm="1">
        <f t="array" ref="P75">_xlfn.LET(_xlpm.calc,COUNTIFS(Rate_Gp,P$11,Pay_Key_Gps,"*"&amp;$A$71&amp;"*",Pay_Code,$A75,pp_Hrs_Wkd_Pay_Code,"&gt;="&amp;$V$1,pp_OT_Pay_Code,"&gt;="&amp;$V$2,pp_Bon_Pay_Code,"&gt;="&amp;$V$3,pp_Meal_Pay_Code,"&gt;="&amp;$V$4,pp_Sick_Pay_Code,"&gt;="&amp;$V$5,pp_Diff_Pay_Code,"&gt;="&amp;$V$6),_xlpm.calc2,COUNTIFS(Pay_Key_Gps,"*"&amp;$A$71&amp;"*",Pay_Code,$A75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75" s="138" t="e" cm="1">
        <f t="array" ref="Q75">_xlfn.LET(_xlpm.calc,COUNTIFS(Rate_Gp,Q$11,Pay_Key_Gps,"*"&amp;$A$71&amp;"*",Pay_Code,$A75,pp_Hrs_Wkd_Pay_Code,"&gt;="&amp;$V$1,pp_OT_Pay_Code,"&gt;="&amp;$V$2,pp_Bon_Pay_Code,"&gt;="&amp;$V$3,pp_Meal_Pay_Code,"&gt;="&amp;$V$4,pp_Sick_Pay_Code,"&gt;="&amp;$V$5,pp_Diff_Pay_Code,"&gt;="&amp;$V$6),_xlpm.calc2,COUNTIFS(Pay_Key_Gps,"*"&amp;$A$71&amp;"*",Pay_Code,$A75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75" s="138" t="e" cm="1">
        <f t="array" ref="R75">_xlfn.LET(_xlpm.calc,COUNTIFS(Rate_Gp,R$11,Pay_Key_Gps,"*"&amp;$A$71&amp;"*",Pay_Code,$A75,pp_Hrs_Wkd_Pay_Code,"&gt;="&amp;$V$1,pp_OT_Pay_Code,"&gt;="&amp;$V$2,pp_Bon_Pay_Code,"&gt;="&amp;$V$3,pp_Meal_Pay_Code,"&gt;="&amp;$V$4,pp_Sick_Pay_Code,"&gt;="&amp;$V$5,pp_Diff_Pay_Code,"&gt;="&amp;$V$6),_xlpm.calc2,COUNTIFS(Pay_Key_Gps,"*"&amp;$A$71&amp;"*",Pay_Code,$A75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75" s="138" t="e" cm="1">
        <f t="array" ref="S75">_xlfn.LET(_xlpm.calc,COUNTIFS(Rate_Gp,S$11,Pay_Key_Gps,"*"&amp;$A$71&amp;"*",Pay_Code,$A75,pp_Hrs_Wkd_Pay_Code,"&gt;="&amp;$V$1,pp_OT_Pay_Code,"&gt;="&amp;$V$2,pp_Bon_Pay_Code,"&gt;="&amp;$V$3,pp_Meal_Pay_Code,"&gt;="&amp;$V$4,pp_Sick_Pay_Code,"&gt;="&amp;$V$5,pp_Diff_Pay_Code,"&gt;="&amp;$V$6),_xlpm.calc2,COUNTIFS(Pay_Key_Gps,"*"&amp;$A$71&amp;"*",Pay_Code,$A75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75" s="138" t="e" cm="1">
        <f t="array" ref="T75">_xlfn.LET(_xlpm.calc,COUNTIFS(Rate_Gp,T$11,Pay_Key_Gps,"*"&amp;$A$71&amp;"*",Pay_Code,$A75,pp_Hrs_Wkd_Pay_Code,"&gt;="&amp;$V$1,pp_OT_Pay_Code,"&gt;="&amp;$V$2,pp_Bon_Pay_Code,"&gt;="&amp;$V$3,pp_Meal_Pay_Code,"&gt;="&amp;$V$4,pp_Sick_Pay_Code,"&gt;="&amp;$V$5,pp_Diff_Pay_Code,"&gt;="&amp;$V$6),_xlpm.calc2,COUNTIFS(Pay_Key_Gps,"*"&amp;$A$71&amp;"*",Pay_Code,$A75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75" s="139" t="e" cm="1">
        <f t="array" ref="U75">_xlfn.LET(_xlpm.calc,COUNTIFS(Pay_Key_Gps,"*"&amp;$A$71&amp;"*",Pay_Code,$A75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75" s="118"/>
      <c r="W75" s="118"/>
      <c r="X75" s="149"/>
      <c r="Y75" s="149"/>
      <c r="Z75" s="149"/>
      <c r="AA75" s="149"/>
      <c r="AB75" s="140" t="e">
        <f t="shared" ref="AB75:AB99" si="14">SUMIFS(Pay_Amount,Pay_Code,$AA75)</f>
        <v>#NAME?</v>
      </c>
    </row>
    <row r="76" spans="1:28" s="123" customFormat="1" x14ac:dyDescent="0.25">
      <c r="A76" s="133"/>
      <c r="B76" s="134" t="e" cm="1">
        <f t="array" ref="B76">_xlfn.LET(_xlpm.calc,_xlfn.MINIFS(Pay_Period_End,Pay_Key_Gps,"*"&amp;$A$71&amp;"*",Pay_Code,$A76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76" s="134" t="e" cm="1">
        <f t="array" ref="C76">_xlfn.LET(_xlpm.calc,_xlfn.MAXIFS(Pay_Period_End,Pay_Key_Gps,"*"&amp;$A$71&amp;"*",Pay_Code,$A76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76" s="135" t="str" cm="1">
        <f t="array" ref="D76">_xlfn.LET(_xlpm.calc,IFERROR(ROWS(_xlfn.UNIQUE(_xlfn._xlws.FILTER(Pay_ID,(IFERROR(SEARCH($A$71,Pay_Key_Gps),0)&gt;0) * (Pay_Code=$A76) * (pp_Hrs_Wkd_Pay_Code &gt;= $V$1) * (pp_OT_Pay_Code &gt;= $V$2) * (pp_Bon_Pay_Code &gt;= $V$3) * (pp_Meal_Pay_Code &gt;= $V$4) * (pp_Sick_Pay_Code &gt;= $V$5) * (pp_Diff_Pay_Code &gt;= $V$6)))),0),_xlpm.perc,_xlpm.calc/D$100,IFERROR(IF(_xlpm.calc&gt;1000,_xlfn.CONCAT(TEXT(_xlpm.calc,"0,000")," (",TEXT(_xlpm.perc,"0.0%"),")"),_xlfn.CONCAT(_xlpm.calc," (",TEXT(_xlpm.perc,"0.0%"),")")),"-"))</f>
        <v>-</v>
      </c>
      <c r="E76" s="135" t="str" cm="1">
        <f t="array" ref="E76">_xlfn.LET(_xlpm.calc,IFERROR(ROWS(_xlfn.UNIQUE(_xlfn._xlws.FILTER(Pay_ID_Period_End,(IFERROR(SEARCH($A$71,Pay_Key_Gps),0)&gt;0) * (Pay_Code=$A76) * (pp_Hrs_Wkd_Pay_Code &gt;= $V$1) * (pp_OT_Pay_Code &gt;= $V$2) * (pp_Bon_Pay_Code &gt;= $V$3) * (pp_Meal_Pay_Code &gt;= $V$4) * (pp_Sick_Pay_Code &gt;= $V$5) * (pp_Diff_Pay_Code &gt;= $V$6)))),0),_xlpm.perc,_xlpm.calc/E$100,IFERROR(IF(_xlpm.calc&gt;1000,_xlfn.CONCAT(TEXT(_xlpm.calc,"0,000")," (",TEXT(_xlpm.perc,"0.0%"),")"),_xlfn.CONCAT(_xlpm.calc," (",TEXT(_xlpm.perc,"0.0%"),")")),"-"))</f>
        <v>-</v>
      </c>
      <c r="F76" s="136" t="e">
        <f t="shared" si="12"/>
        <v>#NAME?</v>
      </c>
      <c r="G76" s="137" t="e">
        <f t="shared" si="13"/>
        <v>#NAME?</v>
      </c>
      <c r="H76" s="137" t="str" cm="1">
        <f t="array" ref="H76">IFERROR(AVERAGEIFS(Pay_Amount,Pay_Key_Gps,"*"&amp;$A$71&amp;"*",Pay_Code,$A76,pp_Hrs_Wkd_Pay_Code,"&gt;="&amp;$V$1,pp_OT_Pay_Code,"&gt;="&amp;$V$2,pp_Bon_Pay_Code,"&gt;="&amp;$V$3,pp_Meal_Pay_Code,"&gt;="&amp;$V$4,pp_Sick_Pay_Code,"&gt;="&amp;$V$5,pp_Diff_Pay_Code,"&gt;="&amp;$V$6),"-")</f>
        <v>-</v>
      </c>
      <c r="I76" s="122"/>
      <c r="J76" s="133">
        <f t="shared" ref="J76:J81" si="15">A76</f>
        <v>0</v>
      </c>
      <c r="K76" s="138" t="e" cm="1">
        <f t="array" ref="K76">_xlfn.LET(_xlpm.calc,COUNTIFS(Rate_Gp,K$11,Pay_Key_Gps,"*"&amp;$A$71&amp;"*",Pay_Code,$A76,pp_Hrs_Wkd_Pay_Code,"&gt;="&amp;$V$1,pp_OT_Pay_Code,"&gt;="&amp;$V$2,pp_Bon_Pay_Code,"&gt;="&amp;$V$3,pp_Meal_Pay_Code,"&gt;="&amp;$V$4,pp_Sick_Pay_Code,"&gt;="&amp;$V$5,pp_Diff_Pay_Code,"&gt;="&amp;$V$6),_xlpm.calc2,COUNTIFS(Pay_Key_Gps,"*"&amp;$A$71&amp;"*",Pay_Code,$A76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76" s="138" t="e" cm="1">
        <f t="array" ref="L76">_xlfn.LET(_xlpm.calc,COUNTIFS(Rate_Gp,L$11,Pay_Key_Gps,"*"&amp;$A$71&amp;"*",Pay_Code,$A76,pp_Hrs_Wkd_Pay_Code,"&gt;="&amp;$V$1,pp_OT_Pay_Code,"&gt;="&amp;$V$2,pp_Bon_Pay_Code,"&gt;="&amp;$V$3,pp_Meal_Pay_Code,"&gt;="&amp;$V$4,pp_Sick_Pay_Code,"&gt;="&amp;$V$5,pp_Diff_Pay_Code,"&gt;="&amp;$V$6),_xlpm.calc2,COUNTIFS(Pay_Key_Gps,"*"&amp;$A$71&amp;"*",Pay_Code,$A76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76" s="138" t="e" cm="1">
        <f t="array" ref="M76">_xlfn.LET(_xlpm.calc,COUNTIFS(Rate_Gp,M$11,Pay_Key_Gps,"*"&amp;$A$71&amp;"*",Pay_Code,$A76,pp_Hrs_Wkd_Pay_Code,"&gt;="&amp;$V$1,pp_OT_Pay_Code,"&gt;="&amp;$V$2,pp_Bon_Pay_Code,"&gt;="&amp;$V$3,pp_Meal_Pay_Code,"&gt;="&amp;$V$4,pp_Sick_Pay_Code,"&gt;="&amp;$V$5,pp_Diff_Pay_Code,"&gt;="&amp;$V$6),_xlpm.calc2,COUNTIFS(Pay_Key_Gps,"*"&amp;$A$71&amp;"*",Pay_Code,$A76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76" s="138" t="e" cm="1">
        <f t="array" ref="N76">_xlfn.LET(_xlpm.calc,COUNTIFS(Rate_Gp,N$11,Pay_Key_Gps,"*"&amp;$A$71&amp;"*",Pay_Code,$A76,pp_Hrs_Wkd_Pay_Code,"&gt;="&amp;$V$1,pp_OT_Pay_Code,"&gt;="&amp;$V$2,pp_Bon_Pay_Code,"&gt;="&amp;$V$3,pp_Meal_Pay_Code,"&gt;="&amp;$V$4,pp_Sick_Pay_Code,"&gt;="&amp;$V$5,pp_Diff_Pay_Code,"&gt;="&amp;$V$6),_xlpm.calc2,COUNTIFS(Pay_Key_Gps,"*"&amp;$A$71&amp;"*",Pay_Code,$A76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76" s="138" t="e" cm="1">
        <f t="array" ref="O76">_xlfn.LET(_xlpm.calc,COUNTIFS(Rate_Gp,O$11,Pay_Key_Gps,"*"&amp;$A$71&amp;"*",Pay_Code,$A76,pp_Hrs_Wkd_Pay_Code,"&gt;="&amp;$V$1,pp_OT_Pay_Code,"&gt;="&amp;$V$2,pp_Bon_Pay_Code,"&gt;="&amp;$V$3,pp_Meal_Pay_Code,"&gt;="&amp;$V$4,pp_Sick_Pay_Code,"&gt;="&amp;$V$5,pp_Diff_Pay_Code,"&gt;="&amp;$V$6),_xlpm.calc2,COUNTIFS(Pay_Key_Gps,"*"&amp;$A$71&amp;"*",Pay_Code,$A76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76" s="138" t="e" cm="1">
        <f t="array" ref="P76">_xlfn.LET(_xlpm.calc,COUNTIFS(Rate_Gp,P$11,Pay_Key_Gps,"*"&amp;$A$71&amp;"*",Pay_Code,$A76,pp_Hrs_Wkd_Pay_Code,"&gt;="&amp;$V$1,pp_OT_Pay_Code,"&gt;="&amp;$V$2,pp_Bon_Pay_Code,"&gt;="&amp;$V$3,pp_Meal_Pay_Code,"&gt;="&amp;$V$4,pp_Sick_Pay_Code,"&gt;="&amp;$V$5,pp_Diff_Pay_Code,"&gt;="&amp;$V$6),_xlpm.calc2,COUNTIFS(Pay_Key_Gps,"*"&amp;$A$71&amp;"*",Pay_Code,$A76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76" s="138" t="e" cm="1">
        <f t="array" ref="Q76">_xlfn.LET(_xlpm.calc,COUNTIFS(Rate_Gp,Q$11,Pay_Key_Gps,"*"&amp;$A$71&amp;"*",Pay_Code,$A76,pp_Hrs_Wkd_Pay_Code,"&gt;="&amp;$V$1,pp_OT_Pay_Code,"&gt;="&amp;$V$2,pp_Bon_Pay_Code,"&gt;="&amp;$V$3,pp_Meal_Pay_Code,"&gt;="&amp;$V$4,pp_Sick_Pay_Code,"&gt;="&amp;$V$5,pp_Diff_Pay_Code,"&gt;="&amp;$V$6),_xlpm.calc2,COUNTIFS(Pay_Key_Gps,"*"&amp;$A$71&amp;"*",Pay_Code,$A76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76" s="138" t="e" cm="1">
        <f t="array" ref="R76">_xlfn.LET(_xlpm.calc,COUNTIFS(Rate_Gp,R$11,Pay_Key_Gps,"*"&amp;$A$71&amp;"*",Pay_Code,$A76,pp_Hrs_Wkd_Pay_Code,"&gt;="&amp;$V$1,pp_OT_Pay_Code,"&gt;="&amp;$V$2,pp_Bon_Pay_Code,"&gt;="&amp;$V$3,pp_Meal_Pay_Code,"&gt;="&amp;$V$4,pp_Sick_Pay_Code,"&gt;="&amp;$V$5,pp_Diff_Pay_Code,"&gt;="&amp;$V$6),_xlpm.calc2,COUNTIFS(Pay_Key_Gps,"*"&amp;$A$71&amp;"*",Pay_Code,$A76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76" s="138" t="e" cm="1">
        <f t="array" ref="S76">_xlfn.LET(_xlpm.calc,COUNTIFS(Rate_Gp,S$11,Pay_Key_Gps,"*"&amp;$A$71&amp;"*",Pay_Code,$A76,pp_Hrs_Wkd_Pay_Code,"&gt;="&amp;$V$1,pp_OT_Pay_Code,"&gt;="&amp;$V$2,pp_Bon_Pay_Code,"&gt;="&amp;$V$3,pp_Meal_Pay_Code,"&gt;="&amp;$V$4,pp_Sick_Pay_Code,"&gt;="&amp;$V$5,pp_Diff_Pay_Code,"&gt;="&amp;$V$6),_xlpm.calc2,COUNTIFS(Pay_Key_Gps,"*"&amp;$A$71&amp;"*",Pay_Code,$A76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76" s="138" t="e" cm="1">
        <f t="array" ref="T76">_xlfn.LET(_xlpm.calc,COUNTIFS(Rate_Gp,T$11,Pay_Key_Gps,"*"&amp;$A$71&amp;"*",Pay_Code,$A76,pp_Hrs_Wkd_Pay_Code,"&gt;="&amp;$V$1,pp_OT_Pay_Code,"&gt;="&amp;$V$2,pp_Bon_Pay_Code,"&gt;="&amp;$V$3,pp_Meal_Pay_Code,"&gt;="&amp;$V$4,pp_Sick_Pay_Code,"&gt;="&amp;$V$5,pp_Diff_Pay_Code,"&gt;="&amp;$V$6),_xlpm.calc2,COUNTIFS(Pay_Key_Gps,"*"&amp;$A$71&amp;"*",Pay_Code,$A76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76" s="139" t="e" cm="1">
        <f t="array" ref="U76">_xlfn.LET(_xlpm.calc,COUNTIFS(Pay_Key_Gps,"*"&amp;$A$71&amp;"*",Pay_Code,$A76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76" s="118"/>
      <c r="W76" s="121"/>
      <c r="X76" s="149"/>
      <c r="Y76" s="149"/>
      <c r="Z76" s="149"/>
      <c r="AA76" s="149"/>
      <c r="AB76" s="140" t="e">
        <f t="shared" si="14"/>
        <v>#NAME?</v>
      </c>
    </row>
    <row r="77" spans="1:28" s="122" customFormat="1" x14ac:dyDescent="0.25">
      <c r="A77" s="133"/>
      <c r="B77" s="134" t="e" cm="1">
        <f t="array" ref="B77">_xlfn.LET(_xlpm.calc,_xlfn.MINIFS(Pay_Period_End,Pay_Key_Gps,"*"&amp;$A$71&amp;"*",Pay_Code,$A77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77" s="134" t="e" cm="1">
        <f t="array" ref="C77">_xlfn.LET(_xlpm.calc,_xlfn.MAXIFS(Pay_Period_End,Pay_Key_Gps,"*"&amp;$A$71&amp;"*",Pay_Code,$A77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77" s="135" t="str" cm="1">
        <f t="array" ref="D77">_xlfn.LET(_xlpm.calc,IFERROR(ROWS(_xlfn.UNIQUE(_xlfn._xlws.FILTER(Pay_ID,(IFERROR(SEARCH($A$71,Pay_Key_Gps),0)&gt;0) * (Pay_Code=$A77) * (pp_Hrs_Wkd_Pay_Code &gt;= $V$1) * (pp_OT_Pay_Code &gt;= $V$2) * (pp_Bon_Pay_Code &gt;= $V$3) * (pp_Meal_Pay_Code &gt;= $V$4) * (pp_Sick_Pay_Code &gt;= $V$5) * (pp_Diff_Pay_Code &gt;= $V$6)))),0),_xlpm.perc,_xlpm.calc/D$100,IFERROR(IF(_xlpm.calc&gt;1000,_xlfn.CONCAT(TEXT(_xlpm.calc,"0,000")," (",TEXT(_xlpm.perc,"0.0%"),")"),_xlfn.CONCAT(_xlpm.calc," (",TEXT(_xlpm.perc,"0.0%"),")")),"-"))</f>
        <v>-</v>
      </c>
      <c r="E77" s="135" t="str" cm="1">
        <f t="array" ref="E77">_xlfn.LET(_xlpm.calc,IFERROR(ROWS(_xlfn.UNIQUE(_xlfn._xlws.FILTER(Pay_ID_Period_End,(IFERROR(SEARCH($A$71,Pay_Key_Gps),0)&gt;0) * (Pay_Code=$A77) * (pp_Hrs_Wkd_Pay_Code &gt;= $V$1) * (pp_OT_Pay_Code &gt;= $V$2) * (pp_Bon_Pay_Code &gt;= $V$3) * (pp_Meal_Pay_Code &gt;= $V$4) * (pp_Sick_Pay_Code &gt;= $V$5) * (pp_Diff_Pay_Code &gt;= $V$6)))),0),_xlpm.perc,_xlpm.calc/E$100,IFERROR(IF(_xlpm.calc&gt;1000,_xlfn.CONCAT(TEXT(_xlpm.calc,"0,000")," (",TEXT(_xlpm.perc,"0.0%"),")"),_xlfn.CONCAT(_xlpm.calc," (",TEXT(_xlpm.perc,"0.0%"),")")),"-"))</f>
        <v>-</v>
      </c>
      <c r="F77" s="136" t="e">
        <f t="shared" si="12"/>
        <v>#NAME?</v>
      </c>
      <c r="G77" s="137" t="e">
        <f t="shared" si="13"/>
        <v>#NAME?</v>
      </c>
      <c r="H77" s="137" t="str" cm="1">
        <f t="array" ref="H77">IFERROR(AVERAGEIFS(Pay_Amount,Pay_Key_Gps,"*"&amp;$A$71&amp;"*",Pay_Code,$A77,pp_Hrs_Wkd_Pay_Code,"&gt;="&amp;$V$1,pp_OT_Pay_Code,"&gt;="&amp;$V$2,pp_Bon_Pay_Code,"&gt;="&amp;$V$3,pp_Meal_Pay_Code,"&gt;="&amp;$V$4,pp_Sick_Pay_Code,"&gt;="&amp;$V$5,pp_Diff_Pay_Code,"&gt;="&amp;$V$6),"-")</f>
        <v>-</v>
      </c>
      <c r="J77" s="133">
        <f t="shared" si="15"/>
        <v>0</v>
      </c>
      <c r="K77" s="138" t="e" cm="1">
        <f t="array" ref="K77">_xlfn.LET(_xlpm.calc,COUNTIFS(Rate_Gp,K$11,Pay_Key_Gps,"*"&amp;$A$71&amp;"*",Pay_Code,$A77,pp_Hrs_Wkd_Pay_Code,"&gt;="&amp;$V$1,pp_OT_Pay_Code,"&gt;="&amp;$V$2,pp_Bon_Pay_Code,"&gt;="&amp;$V$3,pp_Meal_Pay_Code,"&gt;="&amp;$V$4,pp_Sick_Pay_Code,"&gt;="&amp;$V$5,pp_Diff_Pay_Code,"&gt;="&amp;$V$6),_xlpm.calc2,COUNTIFS(Pay_Key_Gps,"*"&amp;$A$71&amp;"*",Pay_Code,$A77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77" s="138" t="e" cm="1">
        <f t="array" ref="L77">_xlfn.LET(_xlpm.calc,COUNTIFS(Rate_Gp,L$11,Pay_Key_Gps,"*"&amp;$A$71&amp;"*",Pay_Code,$A77,pp_Hrs_Wkd_Pay_Code,"&gt;="&amp;$V$1,pp_OT_Pay_Code,"&gt;="&amp;$V$2,pp_Bon_Pay_Code,"&gt;="&amp;$V$3,pp_Meal_Pay_Code,"&gt;="&amp;$V$4,pp_Sick_Pay_Code,"&gt;="&amp;$V$5,pp_Diff_Pay_Code,"&gt;="&amp;$V$6),_xlpm.calc2,COUNTIFS(Pay_Key_Gps,"*"&amp;$A$71&amp;"*",Pay_Code,$A77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77" s="138" t="e" cm="1">
        <f t="array" ref="M77">_xlfn.LET(_xlpm.calc,COUNTIFS(Rate_Gp,M$11,Pay_Key_Gps,"*"&amp;$A$71&amp;"*",Pay_Code,$A77,pp_Hrs_Wkd_Pay_Code,"&gt;="&amp;$V$1,pp_OT_Pay_Code,"&gt;="&amp;$V$2,pp_Bon_Pay_Code,"&gt;="&amp;$V$3,pp_Meal_Pay_Code,"&gt;="&amp;$V$4,pp_Sick_Pay_Code,"&gt;="&amp;$V$5,pp_Diff_Pay_Code,"&gt;="&amp;$V$6),_xlpm.calc2,COUNTIFS(Pay_Key_Gps,"*"&amp;$A$71&amp;"*",Pay_Code,$A77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77" s="138" t="e" cm="1">
        <f t="array" ref="N77">_xlfn.LET(_xlpm.calc,COUNTIFS(Rate_Gp,N$11,Pay_Key_Gps,"*"&amp;$A$71&amp;"*",Pay_Code,$A77,pp_Hrs_Wkd_Pay_Code,"&gt;="&amp;$V$1,pp_OT_Pay_Code,"&gt;="&amp;$V$2,pp_Bon_Pay_Code,"&gt;="&amp;$V$3,pp_Meal_Pay_Code,"&gt;="&amp;$V$4,pp_Sick_Pay_Code,"&gt;="&amp;$V$5,pp_Diff_Pay_Code,"&gt;="&amp;$V$6),_xlpm.calc2,COUNTIFS(Pay_Key_Gps,"*"&amp;$A$71&amp;"*",Pay_Code,$A77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77" s="138" t="e" cm="1">
        <f t="array" ref="O77">_xlfn.LET(_xlpm.calc,COUNTIFS(Rate_Gp,O$11,Pay_Key_Gps,"*"&amp;$A$71&amp;"*",Pay_Code,$A77,pp_Hrs_Wkd_Pay_Code,"&gt;="&amp;$V$1,pp_OT_Pay_Code,"&gt;="&amp;$V$2,pp_Bon_Pay_Code,"&gt;="&amp;$V$3,pp_Meal_Pay_Code,"&gt;="&amp;$V$4,pp_Sick_Pay_Code,"&gt;="&amp;$V$5,pp_Diff_Pay_Code,"&gt;="&amp;$V$6),_xlpm.calc2,COUNTIFS(Pay_Key_Gps,"*"&amp;$A$71&amp;"*",Pay_Code,$A77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77" s="138" t="e" cm="1">
        <f t="array" ref="P77">_xlfn.LET(_xlpm.calc,COUNTIFS(Rate_Gp,P$11,Pay_Key_Gps,"*"&amp;$A$71&amp;"*",Pay_Code,$A77,pp_Hrs_Wkd_Pay_Code,"&gt;="&amp;$V$1,pp_OT_Pay_Code,"&gt;="&amp;$V$2,pp_Bon_Pay_Code,"&gt;="&amp;$V$3,pp_Meal_Pay_Code,"&gt;="&amp;$V$4,pp_Sick_Pay_Code,"&gt;="&amp;$V$5,pp_Diff_Pay_Code,"&gt;="&amp;$V$6),_xlpm.calc2,COUNTIFS(Pay_Key_Gps,"*"&amp;$A$71&amp;"*",Pay_Code,$A77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77" s="138" t="e" cm="1">
        <f t="array" ref="Q77">_xlfn.LET(_xlpm.calc,COUNTIFS(Rate_Gp,Q$11,Pay_Key_Gps,"*"&amp;$A$71&amp;"*",Pay_Code,$A77,pp_Hrs_Wkd_Pay_Code,"&gt;="&amp;$V$1,pp_OT_Pay_Code,"&gt;="&amp;$V$2,pp_Bon_Pay_Code,"&gt;="&amp;$V$3,pp_Meal_Pay_Code,"&gt;="&amp;$V$4,pp_Sick_Pay_Code,"&gt;="&amp;$V$5,pp_Diff_Pay_Code,"&gt;="&amp;$V$6),_xlpm.calc2,COUNTIFS(Pay_Key_Gps,"*"&amp;$A$71&amp;"*",Pay_Code,$A77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77" s="138" t="e" cm="1">
        <f t="array" ref="R77">_xlfn.LET(_xlpm.calc,COUNTIFS(Rate_Gp,R$11,Pay_Key_Gps,"*"&amp;$A$71&amp;"*",Pay_Code,$A77,pp_Hrs_Wkd_Pay_Code,"&gt;="&amp;$V$1,pp_OT_Pay_Code,"&gt;="&amp;$V$2,pp_Bon_Pay_Code,"&gt;="&amp;$V$3,pp_Meal_Pay_Code,"&gt;="&amp;$V$4,pp_Sick_Pay_Code,"&gt;="&amp;$V$5,pp_Diff_Pay_Code,"&gt;="&amp;$V$6),_xlpm.calc2,COUNTIFS(Pay_Key_Gps,"*"&amp;$A$71&amp;"*",Pay_Code,$A77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77" s="138" t="e" cm="1">
        <f t="array" ref="S77">_xlfn.LET(_xlpm.calc,COUNTIFS(Rate_Gp,S$11,Pay_Key_Gps,"*"&amp;$A$71&amp;"*",Pay_Code,$A77,pp_Hrs_Wkd_Pay_Code,"&gt;="&amp;$V$1,pp_OT_Pay_Code,"&gt;="&amp;$V$2,pp_Bon_Pay_Code,"&gt;="&amp;$V$3,pp_Meal_Pay_Code,"&gt;="&amp;$V$4,pp_Sick_Pay_Code,"&gt;="&amp;$V$5,pp_Diff_Pay_Code,"&gt;="&amp;$V$6),_xlpm.calc2,COUNTIFS(Pay_Key_Gps,"*"&amp;$A$71&amp;"*",Pay_Code,$A77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77" s="138" t="e" cm="1">
        <f t="array" ref="T77">_xlfn.LET(_xlpm.calc,COUNTIFS(Rate_Gp,T$11,Pay_Key_Gps,"*"&amp;$A$71&amp;"*",Pay_Code,$A77,pp_Hrs_Wkd_Pay_Code,"&gt;="&amp;$V$1,pp_OT_Pay_Code,"&gt;="&amp;$V$2,pp_Bon_Pay_Code,"&gt;="&amp;$V$3,pp_Meal_Pay_Code,"&gt;="&amp;$V$4,pp_Sick_Pay_Code,"&gt;="&amp;$V$5,pp_Diff_Pay_Code,"&gt;="&amp;$V$6),_xlpm.calc2,COUNTIFS(Pay_Key_Gps,"*"&amp;$A$71&amp;"*",Pay_Code,$A77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77" s="139" t="e" cm="1">
        <f t="array" ref="U77">_xlfn.LET(_xlpm.calc,COUNTIFS(Pay_Key_Gps,"*"&amp;$A$71&amp;"*",Pay_Code,$A77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77" s="118"/>
      <c r="W77" s="118"/>
      <c r="X77" s="149"/>
      <c r="Y77" s="149"/>
      <c r="Z77" s="149"/>
      <c r="AA77" s="149"/>
      <c r="AB77" s="140" t="e">
        <f t="shared" si="14"/>
        <v>#NAME?</v>
      </c>
    </row>
    <row r="78" spans="1:28" s="122" customFormat="1" x14ac:dyDescent="0.25">
      <c r="A78" s="133"/>
      <c r="B78" s="134" t="e" cm="1">
        <f t="array" ref="B78">_xlfn.LET(_xlpm.calc,_xlfn.MINIFS(Pay_Period_End,Pay_Key_Gps,"*"&amp;$A$71&amp;"*",Pay_Code,$A78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78" s="134" t="e" cm="1">
        <f t="array" ref="C78">_xlfn.LET(_xlpm.calc,_xlfn.MAXIFS(Pay_Period_End,Pay_Key_Gps,"*"&amp;$A$71&amp;"*",Pay_Code,$A78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78" s="135" t="str" cm="1">
        <f t="array" ref="D78">_xlfn.LET(_xlpm.calc,IFERROR(ROWS(_xlfn.UNIQUE(_xlfn._xlws.FILTER(Pay_ID,(IFERROR(SEARCH($A$71,Pay_Key_Gps),0)&gt;0) * (Pay_Code=$A78) * (pp_Hrs_Wkd_Pay_Code &gt;= $V$1) * (pp_OT_Pay_Code &gt;= $V$2) * (pp_Bon_Pay_Code &gt;= $V$3) * (pp_Meal_Pay_Code &gt;= $V$4) * (pp_Sick_Pay_Code &gt;= $V$5) * (pp_Diff_Pay_Code &gt;= $V$6)))),0),_xlpm.perc,_xlpm.calc/D$100,IFERROR(IF(_xlpm.calc&gt;1000,_xlfn.CONCAT(TEXT(_xlpm.calc,"0,000")," (",TEXT(_xlpm.perc,"0.0%"),")"),_xlfn.CONCAT(_xlpm.calc," (",TEXT(_xlpm.perc,"0.0%"),")")),"-"))</f>
        <v>-</v>
      </c>
      <c r="E78" s="135" t="str" cm="1">
        <f t="array" ref="E78">_xlfn.LET(_xlpm.calc,IFERROR(ROWS(_xlfn.UNIQUE(_xlfn._xlws.FILTER(Pay_ID_Period_End,(IFERROR(SEARCH($A$71,Pay_Key_Gps),0)&gt;0) * (Pay_Code=$A78) * (pp_Hrs_Wkd_Pay_Code &gt;= $V$1) * (pp_OT_Pay_Code &gt;= $V$2) * (pp_Bon_Pay_Code &gt;= $V$3) * (pp_Meal_Pay_Code &gt;= $V$4) * (pp_Sick_Pay_Code &gt;= $V$5) * (pp_Diff_Pay_Code &gt;= $V$6)))),0),_xlpm.perc,_xlpm.calc/E$100,IFERROR(IF(_xlpm.calc&gt;1000,_xlfn.CONCAT(TEXT(_xlpm.calc,"0,000")," (",TEXT(_xlpm.perc,"0.0%"),")"),_xlfn.CONCAT(_xlpm.calc," (",TEXT(_xlpm.perc,"0.0%"),")")),"-"))</f>
        <v>-</v>
      </c>
      <c r="F78" s="136" t="e">
        <f t="shared" si="12"/>
        <v>#NAME?</v>
      </c>
      <c r="G78" s="137" t="e">
        <f t="shared" si="13"/>
        <v>#NAME?</v>
      </c>
      <c r="H78" s="137" t="str" cm="1">
        <f t="array" ref="H78">IFERROR(AVERAGEIFS(Pay_Amount,Pay_Key_Gps,"*"&amp;$A$71&amp;"*",Pay_Code,$A78,pp_Hrs_Wkd_Pay_Code,"&gt;="&amp;$V$1,pp_OT_Pay_Code,"&gt;="&amp;$V$2,pp_Bon_Pay_Code,"&gt;="&amp;$V$3,pp_Meal_Pay_Code,"&gt;="&amp;$V$4,pp_Sick_Pay_Code,"&gt;="&amp;$V$5,pp_Diff_Pay_Code,"&gt;="&amp;$V$6),"-")</f>
        <v>-</v>
      </c>
      <c r="J78" s="133">
        <f t="shared" si="15"/>
        <v>0</v>
      </c>
      <c r="K78" s="138" t="e" cm="1">
        <f t="array" ref="K78">_xlfn.LET(_xlpm.calc,COUNTIFS(Rate_Gp,K$11,Pay_Key_Gps,"*"&amp;$A$71&amp;"*",Pay_Code,$A78,pp_Hrs_Wkd_Pay_Code,"&gt;="&amp;$V$1,pp_OT_Pay_Code,"&gt;="&amp;$V$2,pp_Bon_Pay_Code,"&gt;="&amp;$V$3,pp_Meal_Pay_Code,"&gt;="&amp;$V$4,pp_Sick_Pay_Code,"&gt;="&amp;$V$5,pp_Diff_Pay_Code,"&gt;="&amp;$V$6),_xlpm.calc2,COUNTIFS(Pay_Key_Gps,"*"&amp;$A$71&amp;"*",Pay_Code,$A78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78" s="138" t="e" cm="1">
        <f t="array" ref="L78">_xlfn.LET(_xlpm.calc,COUNTIFS(Rate_Gp,L$11,Pay_Key_Gps,"*"&amp;$A$71&amp;"*",Pay_Code,$A78,pp_Hrs_Wkd_Pay_Code,"&gt;="&amp;$V$1,pp_OT_Pay_Code,"&gt;="&amp;$V$2,pp_Bon_Pay_Code,"&gt;="&amp;$V$3,pp_Meal_Pay_Code,"&gt;="&amp;$V$4,pp_Sick_Pay_Code,"&gt;="&amp;$V$5,pp_Diff_Pay_Code,"&gt;="&amp;$V$6),_xlpm.calc2,COUNTIFS(Pay_Key_Gps,"*"&amp;$A$71&amp;"*",Pay_Code,$A78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78" s="138" t="e" cm="1">
        <f t="array" ref="M78">_xlfn.LET(_xlpm.calc,COUNTIFS(Rate_Gp,M$11,Pay_Key_Gps,"*"&amp;$A$71&amp;"*",Pay_Code,$A78,pp_Hrs_Wkd_Pay_Code,"&gt;="&amp;$V$1,pp_OT_Pay_Code,"&gt;="&amp;$V$2,pp_Bon_Pay_Code,"&gt;="&amp;$V$3,pp_Meal_Pay_Code,"&gt;="&amp;$V$4,pp_Sick_Pay_Code,"&gt;="&amp;$V$5,pp_Diff_Pay_Code,"&gt;="&amp;$V$6),_xlpm.calc2,COUNTIFS(Pay_Key_Gps,"*"&amp;$A$71&amp;"*",Pay_Code,$A78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78" s="138" t="e" cm="1">
        <f t="array" ref="N78">_xlfn.LET(_xlpm.calc,COUNTIFS(Rate_Gp,N$11,Pay_Key_Gps,"*"&amp;$A$71&amp;"*",Pay_Code,$A78,pp_Hrs_Wkd_Pay_Code,"&gt;="&amp;$V$1,pp_OT_Pay_Code,"&gt;="&amp;$V$2,pp_Bon_Pay_Code,"&gt;="&amp;$V$3,pp_Meal_Pay_Code,"&gt;="&amp;$V$4,pp_Sick_Pay_Code,"&gt;="&amp;$V$5,pp_Diff_Pay_Code,"&gt;="&amp;$V$6),_xlpm.calc2,COUNTIFS(Pay_Key_Gps,"*"&amp;$A$71&amp;"*",Pay_Code,$A78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78" s="138" t="e" cm="1">
        <f t="array" ref="O78">_xlfn.LET(_xlpm.calc,COUNTIFS(Rate_Gp,O$11,Pay_Key_Gps,"*"&amp;$A$71&amp;"*",Pay_Code,$A78,pp_Hrs_Wkd_Pay_Code,"&gt;="&amp;$V$1,pp_OT_Pay_Code,"&gt;="&amp;$V$2,pp_Bon_Pay_Code,"&gt;="&amp;$V$3,pp_Meal_Pay_Code,"&gt;="&amp;$V$4,pp_Sick_Pay_Code,"&gt;="&amp;$V$5,pp_Diff_Pay_Code,"&gt;="&amp;$V$6),_xlpm.calc2,COUNTIFS(Pay_Key_Gps,"*"&amp;$A$71&amp;"*",Pay_Code,$A78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78" s="138" t="e" cm="1">
        <f t="array" ref="P78">_xlfn.LET(_xlpm.calc,COUNTIFS(Rate_Gp,P$11,Pay_Key_Gps,"*"&amp;$A$71&amp;"*",Pay_Code,$A78,pp_Hrs_Wkd_Pay_Code,"&gt;="&amp;$V$1,pp_OT_Pay_Code,"&gt;="&amp;$V$2,pp_Bon_Pay_Code,"&gt;="&amp;$V$3,pp_Meal_Pay_Code,"&gt;="&amp;$V$4,pp_Sick_Pay_Code,"&gt;="&amp;$V$5,pp_Diff_Pay_Code,"&gt;="&amp;$V$6),_xlpm.calc2,COUNTIFS(Pay_Key_Gps,"*"&amp;$A$71&amp;"*",Pay_Code,$A78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78" s="138" t="e" cm="1">
        <f t="array" ref="Q78">_xlfn.LET(_xlpm.calc,COUNTIFS(Rate_Gp,Q$11,Pay_Key_Gps,"*"&amp;$A$71&amp;"*",Pay_Code,$A78,pp_Hrs_Wkd_Pay_Code,"&gt;="&amp;$V$1,pp_OT_Pay_Code,"&gt;="&amp;$V$2,pp_Bon_Pay_Code,"&gt;="&amp;$V$3,pp_Meal_Pay_Code,"&gt;="&amp;$V$4,pp_Sick_Pay_Code,"&gt;="&amp;$V$5,pp_Diff_Pay_Code,"&gt;="&amp;$V$6),_xlpm.calc2,COUNTIFS(Pay_Key_Gps,"*"&amp;$A$71&amp;"*",Pay_Code,$A78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78" s="138" t="e" cm="1">
        <f t="array" ref="R78">_xlfn.LET(_xlpm.calc,COUNTIFS(Rate_Gp,R$11,Pay_Key_Gps,"*"&amp;$A$71&amp;"*",Pay_Code,$A78,pp_Hrs_Wkd_Pay_Code,"&gt;="&amp;$V$1,pp_OT_Pay_Code,"&gt;="&amp;$V$2,pp_Bon_Pay_Code,"&gt;="&amp;$V$3,pp_Meal_Pay_Code,"&gt;="&amp;$V$4,pp_Sick_Pay_Code,"&gt;="&amp;$V$5,pp_Diff_Pay_Code,"&gt;="&amp;$V$6),_xlpm.calc2,COUNTIFS(Pay_Key_Gps,"*"&amp;$A$71&amp;"*",Pay_Code,$A78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78" s="138" t="e" cm="1">
        <f t="array" ref="S78">_xlfn.LET(_xlpm.calc,COUNTIFS(Rate_Gp,S$11,Pay_Key_Gps,"*"&amp;$A$71&amp;"*",Pay_Code,$A78,pp_Hrs_Wkd_Pay_Code,"&gt;="&amp;$V$1,pp_OT_Pay_Code,"&gt;="&amp;$V$2,pp_Bon_Pay_Code,"&gt;="&amp;$V$3,pp_Meal_Pay_Code,"&gt;="&amp;$V$4,pp_Sick_Pay_Code,"&gt;="&amp;$V$5,pp_Diff_Pay_Code,"&gt;="&amp;$V$6),_xlpm.calc2,COUNTIFS(Pay_Key_Gps,"*"&amp;$A$71&amp;"*",Pay_Code,$A78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78" s="138" t="e" cm="1">
        <f t="array" ref="T78">_xlfn.LET(_xlpm.calc,COUNTIFS(Rate_Gp,T$11,Pay_Key_Gps,"*"&amp;$A$71&amp;"*",Pay_Code,$A78,pp_Hrs_Wkd_Pay_Code,"&gt;="&amp;$V$1,pp_OT_Pay_Code,"&gt;="&amp;$V$2,pp_Bon_Pay_Code,"&gt;="&amp;$V$3,pp_Meal_Pay_Code,"&gt;="&amp;$V$4,pp_Sick_Pay_Code,"&gt;="&amp;$V$5,pp_Diff_Pay_Code,"&gt;="&amp;$V$6),_xlpm.calc2,COUNTIFS(Pay_Key_Gps,"*"&amp;$A$71&amp;"*",Pay_Code,$A78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78" s="139" t="e" cm="1">
        <f t="array" ref="U78">_xlfn.LET(_xlpm.calc,COUNTIFS(Pay_Key_Gps,"*"&amp;$A$71&amp;"*",Pay_Code,$A78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78" s="118"/>
      <c r="W78" s="118"/>
      <c r="X78" s="149"/>
      <c r="Y78" s="149"/>
      <c r="Z78" s="149"/>
      <c r="AA78" s="149"/>
      <c r="AB78" s="140" t="e">
        <f t="shared" si="14"/>
        <v>#NAME?</v>
      </c>
    </row>
    <row r="79" spans="1:28" s="122" customFormat="1" x14ac:dyDescent="0.25">
      <c r="A79" s="133"/>
      <c r="B79" s="134" t="e" cm="1">
        <f t="array" ref="B79">_xlfn.LET(_xlpm.calc,_xlfn.MINIFS(Pay_Period_End,Pay_Key_Gps,"*"&amp;$A$71&amp;"*",Pay_Code,$A79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79" s="134" t="e" cm="1">
        <f t="array" ref="C79">_xlfn.LET(_xlpm.calc,_xlfn.MAXIFS(Pay_Period_End,Pay_Key_Gps,"*"&amp;$A$71&amp;"*",Pay_Code,$A79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79" s="135" t="str" cm="1">
        <f t="array" ref="D79">_xlfn.LET(_xlpm.calc,IFERROR(ROWS(_xlfn.UNIQUE(_xlfn._xlws.FILTER(Pay_ID,(IFERROR(SEARCH($A$71,Pay_Key_Gps),0)&gt;0) * (Pay_Code=$A79) * (pp_Hrs_Wkd_Pay_Code &gt;= $V$1) * (pp_OT_Pay_Code &gt;= $V$2) * (pp_Bon_Pay_Code &gt;= $V$3) * (pp_Meal_Pay_Code &gt;= $V$4) * (pp_Sick_Pay_Code &gt;= $V$5) * (pp_Diff_Pay_Code &gt;= $V$6)))),0),_xlpm.perc,_xlpm.calc/D$100,IFERROR(IF(_xlpm.calc&gt;1000,_xlfn.CONCAT(TEXT(_xlpm.calc,"0,000")," (",TEXT(_xlpm.perc,"0.0%"),")"),_xlfn.CONCAT(_xlpm.calc," (",TEXT(_xlpm.perc,"0.0%"),")")),"-"))</f>
        <v>-</v>
      </c>
      <c r="E79" s="135" t="str" cm="1">
        <f t="array" ref="E79">_xlfn.LET(_xlpm.calc,IFERROR(ROWS(_xlfn.UNIQUE(_xlfn._xlws.FILTER(Pay_ID_Period_End,(IFERROR(SEARCH($A$71,Pay_Key_Gps),0)&gt;0) * (Pay_Code=$A79) * (pp_Hrs_Wkd_Pay_Code &gt;= $V$1) * (pp_OT_Pay_Code &gt;= $V$2) * (pp_Bon_Pay_Code &gt;= $V$3) * (pp_Meal_Pay_Code &gt;= $V$4) * (pp_Sick_Pay_Code &gt;= $V$5) * (pp_Diff_Pay_Code &gt;= $V$6)))),0),_xlpm.perc,_xlpm.calc/E$100,IFERROR(IF(_xlpm.calc&gt;1000,_xlfn.CONCAT(TEXT(_xlpm.calc,"0,000")," (",TEXT(_xlpm.perc,"0.0%"),")"),_xlfn.CONCAT(_xlpm.calc," (",TEXT(_xlpm.perc,"0.0%"),")")),"-"))</f>
        <v>-</v>
      </c>
      <c r="F79" s="136" t="e">
        <f t="shared" si="12"/>
        <v>#NAME?</v>
      </c>
      <c r="G79" s="137" t="e">
        <f t="shared" si="13"/>
        <v>#NAME?</v>
      </c>
      <c r="H79" s="137" t="str" cm="1">
        <f t="array" ref="H79">IFERROR(AVERAGEIFS(Pay_Amount,Pay_Key_Gps,"*"&amp;$A$71&amp;"*",Pay_Code,$A79,pp_Hrs_Wkd_Pay_Code,"&gt;="&amp;$V$1,pp_OT_Pay_Code,"&gt;="&amp;$V$2,pp_Bon_Pay_Code,"&gt;="&amp;$V$3,pp_Meal_Pay_Code,"&gt;="&amp;$V$4,pp_Sick_Pay_Code,"&gt;="&amp;$V$5,pp_Diff_Pay_Code,"&gt;="&amp;$V$6),"-")</f>
        <v>-</v>
      </c>
      <c r="J79" s="133">
        <f t="shared" si="15"/>
        <v>0</v>
      </c>
      <c r="K79" s="138" t="e" cm="1">
        <f t="array" ref="K79">_xlfn.LET(_xlpm.calc,COUNTIFS(Rate_Gp,K$11,Pay_Key_Gps,"*"&amp;$A$71&amp;"*",Pay_Code,$A79,pp_Hrs_Wkd_Pay_Code,"&gt;="&amp;$V$1,pp_OT_Pay_Code,"&gt;="&amp;$V$2,pp_Bon_Pay_Code,"&gt;="&amp;$V$3,pp_Meal_Pay_Code,"&gt;="&amp;$V$4,pp_Sick_Pay_Code,"&gt;="&amp;$V$5,pp_Diff_Pay_Code,"&gt;="&amp;$V$6),_xlpm.calc2,COUNTIFS(Pay_Key_Gps,"*"&amp;$A$71&amp;"*",Pay_Code,$A79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79" s="138" t="e" cm="1">
        <f t="array" ref="L79">_xlfn.LET(_xlpm.calc,COUNTIFS(Rate_Gp,L$11,Pay_Key_Gps,"*"&amp;$A$71&amp;"*",Pay_Code,$A79,pp_Hrs_Wkd_Pay_Code,"&gt;="&amp;$V$1,pp_OT_Pay_Code,"&gt;="&amp;$V$2,pp_Bon_Pay_Code,"&gt;="&amp;$V$3,pp_Meal_Pay_Code,"&gt;="&amp;$V$4,pp_Sick_Pay_Code,"&gt;="&amp;$V$5,pp_Diff_Pay_Code,"&gt;="&amp;$V$6),_xlpm.calc2,COUNTIFS(Pay_Key_Gps,"*"&amp;$A$71&amp;"*",Pay_Code,$A79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79" s="138" t="e" cm="1">
        <f t="array" ref="M79">_xlfn.LET(_xlpm.calc,COUNTIFS(Rate_Gp,M$11,Pay_Key_Gps,"*"&amp;$A$71&amp;"*",Pay_Code,$A79,pp_Hrs_Wkd_Pay_Code,"&gt;="&amp;$V$1,pp_OT_Pay_Code,"&gt;="&amp;$V$2,pp_Bon_Pay_Code,"&gt;="&amp;$V$3,pp_Meal_Pay_Code,"&gt;="&amp;$V$4,pp_Sick_Pay_Code,"&gt;="&amp;$V$5,pp_Diff_Pay_Code,"&gt;="&amp;$V$6),_xlpm.calc2,COUNTIFS(Pay_Key_Gps,"*"&amp;$A$71&amp;"*",Pay_Code,$A79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79" s="138" t="e" cm="1">
        <f t="array" ref="N79">_xlfn.LET(_xlpm.calc,COUNTIFS(Rate_Gp,N$11,Pay_Key_Gps,"*"&amp;$A$71&amp;"*",Pay_Code,$A79,pp_Hrs_Wkd_Pay_Code,"&gt;="&amp;$V$1,pp_OT_Pay_Code,"&gt;="&amp;$V$2,pp_Bon_Pay_Code,"&gt;="&amp;$V$3,pp_Meal_Pay_Code,"&gt;="&amp;$V$4,pp_Sick_Pay_Code,"&gt;="&amp;$V$5,pp_Diff_Pay_Code,"&gt;="&amp;$V$6),_xlpm.calc2,COUNTIFS(Pay_Key_Gps,"*"&amp;$A$71&amp;"*",Pay_Code,$A79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79" s="138" t="e" cm="1">
        <f t="array" ref="O79">_xlfn.LET(_xlpm.calc,COUNTIFS(Rate_Gp,O$11,Pay_Key_Gps,"*"&amp;$A$71&amp;"*",Pay_Code,$A79,pp_Hrs_Wkd_Pay_Code,"&gt;="&amp;$V$1,pp_OT_Pay_Code,"&gt;="&amp;$V$2,pp_Bon_Pay_Code,"&gt;="&amp;$V$3,pp_Meal_Pay_Code,"&gt;="&amp;$V$4,pp_Sick_Pay_Code,"&gt;="&amp;$V$5,pp_Diff_Pay_Code,"&gt;="&amp;$V$6),_xlpm.calc2,COUNTIFS(Pay_Key_Gps,"*"&amp;$A$71&amp;"*",Pay_Code,$A79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79" s="138" t="e" cm="1">
        <f t="array" ref="P79">_xlfn.LET(_xlpm.calc,COUNTIFS(Rate_Gp,P$11,Pay_Key_Gps,"*"&amp;$A$71&amp;"*",Pay_Code,$A79,pp_Hrs_Wkd_Pay_Code,"&gt;="&amp;$V$1,pp_OT_Pay_Code,"&gt;="&amp;$V$2,pp_Bon_Pay_Code,"&gt;="&amp;$V$3,pp_Meal_Pay_Code,"&gt;="&amp;$V$4,pp_Sick_Pay_Code,"&gt;="&amp;$V$5,pp_Diff_Pay_Code,"&gt;="&amp;$V$6),_xlpm.calc2,COUNTIFS(Pay_Key_Gps,"*"&amp;$A$71&amp;"*",Pay_Code,$A79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79" s="138" t="e" cm="1">
        <f t="array" ref="Q79">_xlfn.LET(_xlpm.calc,COUNTIFS(Rate_Gp,Q$11,Pay_Key_Gps,"*"&amp;$A$71&amp;"*",Pay_Code,$A79,pp_Hrs_Wkd_Pay_Code,"&gt;="&amp;$V$1,pp_OT_Pay_Code,"&gt;="&amp;$V$2,pp_Bon_Pay_Code,"&gt;="&amp;$V$3,pp_Meal_Pay_Code,"&gt;="&amp;$V$4,pp_Sick_Pay_Code,"&gt;="&amp;$V$5,pp_Diff_Pay_Code,"&gt;="&amp;$V$6),_xlpm.calc2,COUNTIFS(Pay_Key_Gps,"*"&amp;$A$71&amp;"*",Pay_Code,$A79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79" s="138" t="e" cm="1">
        <f t="array" ref="R79">_xlfn.LET(_xlpm.calc,COUNTIFS(Rate_Gp,R$11,Pay_Key_Gps,"*"&amp;$A$71&amp;"*",Pay_Code,$A79,pp_Hrs_Wkd_Pay_Code,"&gt;="&amp;$V$1,pp_OT_Pay_Code,"&gt;="&amp;$V$2,pp_Bon_Pay_Code,"&gt;="&amp;$V$3,pp_Meal_Pay_Code,"&gt;="&amp;$V$4,pp_Sick_Pay_Code,"&gt;="&amp;$V$5,pp_Diff_Pay_Code,"&gt;="&amp;$V$6),_xlpm.calc2,COUNTIFS(Pay_Key_Gps,"*"&amp;$A$71&amp;"*",Pay_Code,$A79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79" s="138" t="e" cm="1">
        <f t="array" ref="S79">_xlfn.LET(_xlpm.calc,COUNTIFS(Rate_Gp,S$11,Pay_Key_Gps,"*"&amp;$A$71&amp;"*",Pay_Code,$A79,pp_Hrs_Wkd_Pay_Code,"&gt;="&amp;$V$1,pp_OT_Pay_Code,"&gt;="&amp;$V$2,pp_Bon_Pay_Code,"&gt;="&amp;$V$3,pp_Meal_Pay_Code,"&gt;="&amp;$V$4,pp_Sick_Pay_Code,"&gt;="&amp;$V$5,pp_Diff_Pay_Code,"&gt;="&amp;$V$6),_xlpm.calc2,COUNTIFS(Pay_Key_Gps,"*"&amp;$A$71&amp;"*",Pay_Code,$A79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79" s="138" t="e" cm="1">
        <f t="array" ref="T79">_xlfn.LET(_xlpm.calc,COUNTIFS(Rate_Gp,T$11,Pay_Key_Gps,"*"&amp;$A$71&amp;"*",Pay_Code,$A79,pp_Hrs_Wkd_Pay_Code,"&gt;="&amp;$V$1,pp_OT_Pay_Code,"&gt;="&amp;$V$2,pp_Bon_Pay_Code,"&gt;="&amp;$V$3,pp_Meal_Pay_Code,"&gt;="&amp;$V$4,pp_Sick_Pay_Code,"&gt;="&amp;$V$5,pp_Diff_Pay_Code,"&gt;="&amp;$V$6),_xlpm.calc2,COUNTIFS(Pay_Key_Gps,"*"&amp;$A$71&amp;"*",Pay_Code,$A79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79" s="139" t="e" cm="1">
        <f t="array" ref="U79">_xlfn.LET(_xlpm.calc,COUNTIFS(Pay_Key_Gps,"*"&amp;$A$71&amp;"*",Pay_Code,$A79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79" s="118"/>
      <c r="W79" s="118"/>
      <c r="X79" s="149"/>
      <c r="Y79" s="149"/>
      <c r="Z79" s="149"/>
      <c r="AA79" s="149"/>
      <c r="AB79" s="140" t="e">
        <f t="shared" si="14"/>
        <v>#NAME?</v>
      </c>
    </row>
    <row r="80" spans="1:28" s="122" customFormat="1" x14ac:dyDescent="0.25">
      <c r="A80" s="133"/>
      <c r="B80" s="134" t="e" cm="1">
        <f t="array" ref="B80">_xlfn.LET(_xlpm.calc,_xlfn.MINIFS(Pay_Period_End,Pay_Key_Gps,"*"&amp;$A$71&amp;"*",Pay_Code,$A80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80" s="134" t="e" cm="1">
        <f t="array" ref="C80">_xlfn.LET(_xlpm.calc,_xlfn.MAXIFS(Pay_Period_End,Pay_Key_Gps,"*"&amp;$A$71&amp;"*",Pay_Code,$A80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80" s="135" t="str" cm="1">
        <f t="array" ref="D80">_xlfn.LET(_xlpm.calc,IFERROR(ROWS(_xlfn.UNIQUE(_xlfn._xlws.FILTER(Pay_ID,(IFERROR(SEARCH($A$71,Pay_Key_Gps),0)&gt;0) * (Pay_Code=$A80) * (pp_Hrs_Wkd_Pay_Code &gt;= $V$1) * (pp_OT_Pay_Code &gt;= $V$2) * (pp_Bon_Pay_Code &gt;= $V$3) * (pp_Meal_Pay_Code &gt;= $V$4) * (pp_Sick_Pay_Code &gt;= $V$5) * (pp_Diff_Pay_Code &gt;= $V$6)))),0),_xlpm.perc,_xlpm.calc/D$100,IFERROR(IF(_xlpm.calc&gt;1000,_xlfn.CONCAT(TEXT(_xlpm.calc,"0,000")," (",TEXT(_xlpm.perc,"0.0%"),")"),_xlfn.CONCAT(_xlpm.calc," (",TEXT(_xlpm.perc,"0.0%"),")")),"-"))</f>
        <v>-</v>
      </c>
      <c r="E80" s="135" t="str" cm="1">
        <f t="array" ref="E80">_xlfn.LET(_xlpm.calc,IFERROR(ROWS(_xlfn.UNIQUE(_xlfn._xlws.FILTER(Pay_ID_Period_End,(IFERROR(SEARCH($A$71,Pay_Key_Gps),0)&gt;0) * (Pay_Code=$A80) * (pp_Hrs_Wkd_Pay_Code &gt;= $V$1) * (pp_OT_Pay_Code &gt;= $V$2) * (pp_Bon_Pay_Code &gt;= $V$3) * (pp_Meal_Pay_Code &gt;= $V$4) * (pp_Sick_Pay_Code &gt;= $V$5) * (pp_Diff_Pay_Code &gt;= $V$6)))),0),_xlpm.perc,_xlpm.calc/E$100,IFERROR(IF(_xlpm.calc&gt;1000,_xlfn.CONCAT(TEXT(_xlpm.calc,"0,000")," (",TEXT(_xlpm.perc,"0.0%"),")"),_xlfn.CONCAT(_xlpm.calc," (",TEXT(_xlpm.perc,"0.0%"),")")),"-"))</f>
        <v>-</v>
      </c>
      <c r="F80" s="136" t="e">
        <f t="shared" si="12"/>
        <v>#NAME?</v>
      </c>
      <c r="G80" s="137" t="e">
        <f t="shared" si="13"/>
        <v>#NAME?</v>
      </c>
      <c r="H80" s="137" t="str" cm="1">
        <f t="array" ref="H80">IFERROR(AVERAGEIFS(Pay_Amount,Pay_Key_Gps,"*"&amp;$A$71&amp;"*",Pay_Code,$A80,pp_Hrs_Wkd_Pay_Code,"&gt;="&amp;$V$1,pp_OT_Pay_Code,"&gt;="&amp;$V$2,pp_Bon_Pay_Code,"&gt;="&amp;$V$3,pp_Meal_Pay_Code,"&gt;="&amp;$V$4,pp_Sick_Pay_Code,"&gt;="&amp;$V$5,pp_Diff_Pay_Code,"&gt;="&amp;$V$6),"-")</f>
        <v>-</v>
      </c>
      <c r="J80" s="133">
        <f t="shared" si="15"/>
        <v>0</v>
      </c>
      <c r="K80" s="138" t="e" cm="1">
        <f t="array" ref="K80">_xlfn.LET(_xlpm.calc,COUNTIFS(Rate_Gp,K$11,Pay_Key_Gps,"*"&amp;$A$71&amp;"*",Pay_Code,$A80,pp_Hrs_Wkd_Pay_Code,"&gt;="&amp;$V$1,pp_OT_Pay_Code,"&gt;="&amp;$V$2,pp_Bon_Pay_Code,"&gt;="&amp;$V$3,pp_Meal_Pay_Code,"&gt;="&amp;$V$4,pp_Sick_Pay_Code,"&gt;="&amp;$V$5,pp_Diff_Pay_Code,"&gt;="&amp;$V$6),_xlpm.calc2,COUNTIFS(Pay_Key_Gps,"*"&amp;$A$71&amp;"*",Pay_Code,$A80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80" s="138" t="e" cm="1">
        <f t="array" ref="L80">_xlfn.LET(_xlpm.calc,COUNTIFS(Rate_Gp,L$11,Pay_Key_Gps,"*"&amp;$A$71&amp;"*",Pay_Code,$A80,pp_Hrs_Wkd_Pay_Code,"&gt;="&amp;$V$1,pp_OT_Pay_Code,"&gt;="&amp;$V$2,pp_Bon_Pay_Code,"&gt;="&amp;$V$3,pp_Meal_Pay_Code,"&gt;="&amp;$V$4,pp_Sick_Pay_Code,"&gt;="&amp;$V$5,pp_Diff_Pay_Code,"&gt;="&amp;$V$6),_xlpm.calc2,COUNTIFS(Pay_Key_Gps,"*"&amp;$A$71&amp;"*",Pay_Code,$A80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80" s="138" t="e" cm="1">
        <f t="array" ref="M80">_xlfn.LET(_xlpm.calc,COUNTIFS(Rate_Gp,M$11,Pay_Key_Gps,"*"&amp;$A$71&amp;"*",Pay_Code,$A80,pp_Hrs_Wkd_Pay_Code,"&gt;="&amp;$V$1,pp_OT_Pay_Code,"&gt;="&amp;$V$2,pp_Bon_Pay_Code,"&gt;="&amp;$V$3,pp_Meal_Pay_Code,"&gt;="&amp;$V$4,pp_Sick_Pay_Code,"&gt;="&amp;$V$5,pp_Diff_Pay_Code,"&gt;="&amp;$V$6),_xlpm.calc2,COUNTIFS(Pay_Key_Gps,"*"&amp;$A$71&amp;"*",Pay_Code,$A80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80" s="138" t="e" cm="1">
        <f t="array" ref="N80">_xlfn.LET(_xlpm.calc,COUNTIFS(Rate_Gp,N$11,Pay_Key_Gps,"*"&amp;$A$71&amp;"*",Pay_Code,$A80,pp_Hrs_Wkd_Pay_Code,"&gt;="&amp;$V$1,pp_OT_Pay_Code,"&gt;="&amp;$V$2,pp_Bon_Pay_Code,"&gt;="&amp;$V$3,pp_Meal_Pay_Code,"&gt;="&amp;$V$4,pp_Sick_Pay_Code,"&gt;="&amp;$V$5,pp_Diff_Pay_Code,"&gt;="&amp;$V$6),_xlpm.calc2,COUNTIFS(Pay_Key_Gps,"*"&amp;$A$71&amp;"*",Pay_Code,$A80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80" s="138" t="e" cm="1">
        <f t="array" ref="O80">_xlfn.LET(_xlpm.calc,COUNTIFS(Rate_Gp,O$11,Pay_Key_Gps,"*"&amp;$A$71&amp;"*",Pay_Code,$A80,pp_Hrs_Wkd_Pay_Code,"&gt;="&amp;$V$1,pp_OT_Pay_Code,"&gt;="&amp;$V$2,pp_Bon_Pay_Code,"&gt;="&amp;$V$3,pp_Meal_Pay_Code,"&gt;="&amp;$V$4,pp_Sick_Pay_Code,"&gt;="&amp;$V$5,pp_Diff_Pay_Code,"&gt;="&amp;$V$6),_xlpm.calc2,COUNTIFS(Pay_Key_Gps,"*"&amp;$A$71&amp;"*",Pay_Code,$A80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80" s="138" t="e" cm="1">
        <f t="array" ref="P80">_xlfn.LET(_xlpm.calc,COUNTIFS(Rate_Gp,P$11,Pay_Key_Gps,"*"&amp;$A$71&amp;"*",Pay_Code,$A80,pp_Hrs_Wkd_Pay_Code,"&gt;="&amp;$V$1,pp_OT_Pay_Code,"&gt;="&amp;$V$2,pp_Bon_Pay_Code,"&gt;="&amp;$V$3,pp_Meal_Pay_Code,"&gt;="&amp;$V$4,pp_Sick_Pay_Code,"&gt;="&amp;$V$5,pp_Diff_Pay_Code,"&gt;="&amp;$V$6),_xlpm.calc2,COUNTIFS(Pay_Key_Gps,"*"&amp;$A$71&amp;"*",Pay_Code,$A80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80" s="138" t="e" cm="1">
        <f t="array" ref="Q80">_xlfn.LET(_xlpm.calc,COUNTIFS(Rate_Gp,Q$11,Pay_Key_Gps,"*"&amp;$A$71&amp;"*",Pay_Code,$A80,pp_Hrs_Wkd_Pay_Code,"&gt;="&amp;$V$1,pp_OT_Pay_Code,"&gt;="&amp;$V$2,pp_Bon_Pay_Code,"&gt;="&amp;$V$3,pp_Meal_Pay_Code,"&gt;="&amp;$V$4,pp_Sick_Pay_Code,"&gt;="&amp;$V$5,pp_Diff_Pay_Code,"&gt;="&amp;$V$6),_xlpm.calc2,COUNTIFS(Pay_Key_Gps,"*"&amp;$A$71&amp;"*",Pay_Code,$A80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80" s="138" t="e" cm="1">
        <f t="array" ref="R80">_xlfn.LET(_xlpm.calc,COUNTIFS(Rate_Gp,R$11,Pay_Key_Gps,"*"&amp;$A$71&amp;"*",Pay_Code,$A80,pp_Hrs_Wkd_Pay_Code,"&gt;="&amp;$V$1,pp_OT_Pay_Code,"&gt;="&amp;$V$2,pp_Bon_Pay_Code,"&gt;="&amp;$V$3,pp_Meal_Pay_Code,"&gt;="&amp;$V$4,pp_Sick_Pay_Code,"&gt;="&amp;$V$5,pp_Diff_Pay_Code,"&gt;="&amp;$V$6),_xlpm.calc2,COUNTIFS(Pay_Key_Gps,"*"&amp;$A$71&amp;"*",Pay_Code,$A80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80" s="138" t="e" cm="1">
        <f t="array" ref="S80">_xlfn.LET(_xlpm.calc,COUNTIFS(Rate_Gp,S$11,Pay_Key_Gps,"*"&amp;$A$71&amp;"*",Pay_Code,$A80,pp_Hrs_Wkd_Pay_Code,"&gt;="&amp;$V$1,pp_OT_Pay_Code,"&gt;="&amp;$V$2,pp_Bon_Pay_Code,"&gt;="&amp;$V$3,pp_Meal_Pay_Code,"&gt;="&amp;$V$4,pp_Sick_Pay_Code,"&gt;="&amp;$V$5,pp_Diff_Pay_Code,"&gt;="&amp;$V$6),_xlpm.calc2,COUNTIFS(Pay_Key_Gps,"*"&amp;$A$71&amp;"*",Pay_Code,$A80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80" s="138" t="e" cm="1">
        <f t="array" ref="T80">_xlfn.LET(_xlpm.calc,COUNTIFS(Rate_Gp,T$11,Pay_Key_Gps,"*"&amp;$A$71&amp;"*",Pay_Code,$A80,pp_Hrs_Wkd_Pay_Code,"&gt;="&amp;$V$1,pp_OT_Pay_Code,"&gt;="&amp;$V$2,pp_Bon_Pay_Code,"&gt;="&amp;$V$3,pp_Meal_Pay_Code,"&gt;="&amp;$V$4,pp_Sick_Pay_Code,"&gt;="&amp;$V$5,pp_Diff_Pay_Code,"&gt;="&amp;$V$6),_xlpm.calc2,COUNTIFS(Pay_Key_Gps,"*"&amp;$A$71&amp;"*",Pay_Code,$A80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80" s="139" t="e" cm="1">
        <f t="array" ref="U80">_xlfn.LET(_xlpm.calc,COUNTIFS(Pay_Key_Gps,"*"&amp;$A$71&amp;"*",Pay_Code,$A80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80" s="118"/>
      <c r="W80" s="118"/>
      <c r="X80" s="149"/>
      <c r="Y80" s="149"/>
      <c r="Z80" s="149"/>
      <c r="AA80" s="149"/>
      <c r="AB80" s="140" t="e">
        <f t="shared" si="14"/>
        <v>#NAME?</v>
      </c>
    </row>
    <row r="81" spans="1:28" s="122" customFormat="1" x14ac:dyDescent="0.25">
      <c r="A81" s="133"/>
      <c r="B81" s="134" t="e" cm="1">
        <f t="array" ref="B81">_xlfn.LET(_xlpm.calc,_xlfn.MINIFS(Pay_Period_End,Pay_Key_Gps,"*"&amp;$A$71&amp;"*",Pay_Code,$A81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81" s="134" t="e" cm="1">
        <f t="array" ref="C81">_xlfn.LET(_xlpm.calc,_xlfn.MAXIFS(Pay_Period_End,Pay_Key_Gps,"*"&amp;$A$71&amp;"*",Pay_Code,$A81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81" s="135" t="str" cm="1">
        <f t="array" ref="D81">_xlfn.LET(_xlpm.calc,IFERROR(ROWS(_xlfn.UNIQUE(_xlfn._xlws.FILTER(Pay_ID,(IFERROR(SEARCH($A$71,Pay_Key_Gps),0)&gt;0) * (Pay_Code=$A81) * (pp_Hrs_Wkd_Pay_Code &gt;= $V$1) * (pp_OT_Pay_Code &gt;= $V$2) * (pp_Bon_Pay_Code &gt;= $V$3) * (pp_Meal_Pay_Code &gt;= $V$4) * (pp_Sick_Pay_Code &gt;= $V$5) * (pp_Diff_Pay_Code &gt;= $V$6)))),0),_xlpm.perc,_xlpm.calc/D$100,IFERROR(IF(_xlpm.calc&gt;1000,_xlfn.CONCAT(TEXT(_xlpm.calc,"0,000")," (",TEXT(_xlpm.perc,"0.0%"),")"),_xlfn.CONCAT(_xlpm.calc," (",TEXT(_xlpm.perc,"0.0%"),")")),"-"))</f>
        <v>-</v>
      </c>
      <c r="E81" s="135" t="str" cm="1">
        <f t="array" ref="E81">_xlfn.LET(_xlpm.calc,IFERROR(ROWS(_xlfn.UNIQUE(_xlfn._xlws.FILTER(Pay_ID_Period_End,(IFERROR(SEARCH($A$71,Pay_Key_Gps),0)&gt;0) * (Pay_Code=$A81) * (pp_Hrs_Wkd_Pay_Code &gt;= $V$1) * (pp_OT_Pay_Code &gt;= $V$2) * (pp_Bon_Pay_Code &gt;= $V$3) * (pp_Meal_Pay_Code &gt;= $V$4) * (pp_Sick_Pay_Code &gt;= $V$5) * (pp_Diff_Pay_Code &gt;= $V$6)))),0),_xlpm.perc,_xlpm.calc/E$100,IFERROR(IF(_xlpm.calc&gt;1000,_xlfn.CONCAT(TEXT(_xlpm.calc,"0,000")," (",TEXT(_xlpm.perc,"0.0%"),")"),_xlfn.CONCAT(_xlpm.calc," (",TEXT(_xlpm.perc,"0.0%"),")")),"-"))</f>
        <v>-</v>
      </c>
      <c r="F81" s="136" t="e">
        <f t="shared" si="12"/>
        <v>#NAME?</v>
      </c>
      <c r="G81" s="137" t="e">
        <f t="shared" si="13"/>
        <v>#NAME?</v>
      </c>
      <c r="H81" s="137" t="str" cm="1">
        <f t="array" ref="H81">IFERROR(AVERAGEIFS(Pay_Amount,Pay_Key_Gps,"*"&amp;$A$71&amp;"*",Pay_Code,$A81,pp_Hrs_Wkd_Pay_Code,"&gt;="&amp;$V$1,pp_OT_Pay_Code,"&gt;="&amp;$V$2,pp_Bon_Pay_Code,"&gt;="&amp;$V$3,pp_Meal_Pay_Code,"&gt;="&amp;$V$4,pp_Sick_Pay_Code,"&gt;="&amp;$V$5,pp_Diff_Pay_Code,"&gt;="&amp;$V$6),"-")</f>
        <v>-</v>
      </c>
      <c r="J81" s="133">
        <f t="shared" si="15"/>
        <v>0</v>
      </c>
      <c r="K81" s="138" t="e" cm="1">
        <f t="array" ref="K81">_xlfn.LET(_xlpm.calc,COUNTIFS(Rate_Gp,K$11,Pay_Key_Gps,"*"&amp;$A$71&amp;"*",Pay_Code,$A81,pp_Hrs_Wkd_Pay_Code,"&gt;="&amp;$V$1,pp_OT_Pay_Code,"&gt;="&amp;$V$2,pp_Bon_Pay_Code,"&gt;="&amp;$V$3,pp_Meal_Pay_Code,"&gt;="&amp;$V$4,pp_Sick_Pay_Code,"&gt;="&amp;$V$5,pp_Diff_Pay_Code,"&gt;="&amp;$V$6),_xlpm.calc2,COUNTIFS(Pay_Key_Gps,"*"&amp;$A$71&amp;"*",Pay_Code,$A81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81" s="138" t="e" cm="1">
        <f t="array" ref="L81">_xlfn.LET(_xlpm.calc,COUNTIFS(Rate_Gp,L$11,Pay_Key_Gps,"*"&amp;$A$71&amp;"*",Pay_Code,$A81,pp_Hrs_Wkd_Pay_Code,"&gt;="&amp;$V$1,pp_OT_Pay_Code,"&gt;="&amp;$V$2,pp_Bon_Pay_Code,"&gt;="&amp;$V$3,pp_Meal_Pay_Code,"&gt;="&amp;$V$4,pp_Sick_Pay_Code,"&gt;="&amp;$V$5,pp_Diff_Pay_Code,"&gt;="&amp;$V$6),_xlpm.calc2,COUNTIFS(Pay_Key_Gps,"*"&amp;$A$71&amp;"*",Pay_Code,$A81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81" s="138" t="e" cm="1">
        <f t="array" ref="M81">_xlfn.LET(_xlpm.calc,COUNTIFS(Rate_Gp,M$11,Pay_Key_Gps,"*"&amp;$A$71&amp;"*",Pay_Code,$A81,pp_Hrs_Wkd_Pay_Code,"&gt;="&amp;$V$1,pp_OT_Pay_Code,"&gt;="&amp;$V$2,pp_Bon_Pay_Code,"&gt;="&amp;$V$3,pp_Meal_Pay_Code,"&gt;="&amp;$V$4,pp_Sick_Pay_Code,"&gt;="&amp;$V$5,pp_Diff_Pay_Code,"&gt;="&amp;$V$6),_xlpm.calc2,COUNTIFS(Pay_Key_Gps,"*"&amp;$A$71&amp;"*",Pay_Code,$A81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81" s="138" t="e" cm="1">
        <f t="array" ref="N81">_xlfn.LET(_xlpm.calc,COUNTIFS(Rate_Gp,N$11,Pay_Key_Gps,"*"&amp;$A$71&amp;"*",Pay_Code,$A81,pp_Hrs_Wkd_Pay_Code,"&gt;="&amp;$V$1,pp_OT_Pay_Code,"&gt;="&amp;$V$2,pp_Bon_Pay_Code,"&gt;="&amp;$V$3,pp_Meal_Pay_Code,"&gt;="&amp;$V$4,pp_Sick_Pay_Code,"&gt;="&amp;$V$5,pp_Diff_Pay_Code,"&gt;="&amp;$V$6),_xlpm.calc2,COUNTIFS(Pay_Key_Gps,"*"&amp;$A$71&amp;"*",Pay_Code,$A81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81" s="138" t="e" cm="1">
        <f t="array" ref="O81">_xlfn.LET(_xlpm.calc,COUNTIFS(Rate_Gp,O$11,Pay_Key_Gps,"*"&amp;$A$71&amp;"*",Pay_Code,$A81,pp_Hrs_Wkd_Pay_Code,"&gt;="&amp;$V$1,pp_OT_Pay_Code,"&gt;="&amp;$V$2,pp_Bon_Pay_Code,"&gt;="&amp;$V$3,pp_Meal_Pay_Code,"&gt;="&amp;$V$4,pp_Sick_Pay_Code,"&gt;="&amp;$V$5,pp_Diff_Pay_Code,"&gt;="&amp;$V$6),_xlpm.calc2,COUNTIFS(Pay_Key_Gps,"*"&amp;$A$71&amp;"*",Pay_Code,$A81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81" s="138" t="e" cm="1">
        <f t="array" ref="P81">_xlfn.LET(_xlpm.calc,COUNTIFS(Rate_Gp,P$11,Pay_Key_Gps,"*"&amp;$A$71&amp;"*",Pay_Code,$A81,pp_Hrs_Wkd_Pay_Code,"&gt;="&amp;$V$1,pp_OT_Pay_Code,"&gt;="&amp;$V$2,pp_Bon_Pay_Code,"&gt;="&amp;$V$3,pp_Meal_Pay_Code,"&gt;="&amp;$V$4,pp_Sick_Pay_Code,"&gt;="&amp;$V$5,pp_Diff_Pay_Code,"&gt;="&amp;$V$6),_xlpm.calc2,COUNTIFS(Pay_Key_Gps,"*"&amp;$A$71&amp;"*",Pay_Code,$A81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81" s="138" t="e" cm="1">
        <f t="array" ref="Q81">_xlfn.LET(_xlpm.calc,COUNTIFS(Rate_Gp,Q$11,Pay_Key_Gps,"*"&amp;$A$71&amp;"*",Pay_Code,$A81,pp_Hrs_Wkd_Pay_Code,"&gt;="&amp;$V$1,pp_OT_Pay_Code,"&gt;="&amp;$V$2,pp_Bon_Pay_Code,"&gt;="&amp;$V$3,pp_Meal_Pay_Code,"&gt;="&amp;$V$4,pp_Sick_Pay_Code,"&gt;="&amp;$V$5,pp_Diff_Pay_Code,"&gt;="&amp;$V$6),_xlpm.calc2,COUNTIFS(Pay_Key_Gps,"*"&amp;$A$71&amp;"*",Pay_Code,$A81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81" s="138" t="e" cm="1">
        <f t="array" ref="R81">_xlfn.LET(_xlpm.calc,COUNTIFS(Rate_Gp,R$11,Pay_Key_Gps,"*"&amp;$A$71&amp;"*",Pay_Code,$A81,pp_Hrs_Wkd_Pay_Code,"&gt;="&amp;$V$1,pp_OT_Pay_Code,"&gt;="&amp;$V$2,pp_Bon_Pay_Code,"&gt;="&amp;$V$3,pp_Meal_Pay_Code,"&gt;="&amp;$V$4,pp_Sick_Pay_Code,"&gt;="&amp;$V$5,pp_Diff_Pay_Code,"&gt;="&amp;$V$6),_xlpm.calc2,COUNTIFS(Pay_Key_Gps,"*"&amp;$A$71&amp;"*",Pay_Code,$A81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81" s="138" t="e" cm="1">
        <f t="array" ref="S81">_xlfn.LET(_xlpm.calc,COUNTIFS(Rate_Gp,S$11,Pay_Key_Gps,"*"&amp;$A$71&amp;"*",Pay_Code,$A81,pp_Hrs_Wkd_Pay_Code,"&gt;="&amp;$V$1,pp_OT_Pay_Code,"&gt;="&amp;$V$2,pp_Bon_Pay_Code,"&gt;="&amp;$V$3,pp_Meal_Pay_Code,"&gt;="&amp;$V$4,pp_Sick_Pay_Code,"&gt;="&amp;$V$5,pp_Diff_Pay_Code,"&gt;="&amp;$V$6),_xlpm.calc2,COUNTIFS(Pay_Key_Gps,"*"&amp;$A$71&amp;"*",Pay_Code,$A81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81" s="138" t="e" cm="1">
        <f t="array" ref="T81">_xlfn.LET(_xlpm.calc,COUNTIFS(Rate_Gp,T$11,Pay_Key_Gps,"*"&amp;$A$71&amp;"*",Pay_Code,$A81,pp_Hrs_Wkd_Pay_Code,"&gt;="&amp;$V$1,pp_OT_Pay_Code,"&gt;="&amp;$V$2,pp_Bon_Pay_Code,"&gt;="&amp;$V$3,pp_Meal_Pay_Code,"&gt;="&amp;$V$4,pp_Sick_Pay_Code,"&gt;="&amp;$V$5,pp_Diff_Pay_Code,"&gt;="&amp;$V$6),_xlpm.calc2,COUNTIFS(Pay_Key_Gps,"*"&amp;$A$71&amp;"*",Pay_Code,$A81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81" s="139" t="e" cm="1">
        <f t="array" ref="U81">_xlfn.LET(_xlpm.calc,COUNTIFS(Pay_Key_Gps,"*"&amp;$A$71&amp;"*",Pay_Code,$A81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81" s="118"/>
      <c r="W81" s="118"/>
      <c r="X81" s="149"/>
      <c r="Y81" s="149"/>
      <c r="Z81" s="149"/>
      <c r="AA81" s="149"/>
      <c r="AB81" s="140" t="e">
        <f t="shared" si="14"/>
        <v>#NAME?</v>
      </c>
    </row>
    <row r="82" spans="1:28" s="123" customFormat="1" x14ac:dyDescent="0.25">
      <c r="A82" s="133"/>
      <c r="B82" s="134" t="e" cm="1">
        <f t="array" ref="B82">_xlfn.LET(_xlpm.calc,_xlfn.MINIFS(Pay_Period_End,Pay_Key_Gps,"*"&amp;$A$71&amp;"*",Pay_Code,$A82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82" s="134" t="e" cm="1">
        <f t="array" ref="C82">_xlfn.LET(_xlpm.calc,_xlfn.MAXIFS(Pay_Period_End,Pay_Key_Gps,"*"&amp;$A$71&amp;"*",Pay_Code,$A82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82" s="135" t="str" cm="1">
        <f t="array" ref="D82">_xlfn.LET(_xlpm.calc,IFERROR(ROWS(_xlfn.UNIQUE(_xlfn._xlws.FILTER(Pay_ID,(IFERROR(SEARCH($A$71,Pay_Key_Gps),0)&gt;0) * (Pay_Code=$A82) * (pp_Hrs_Wkd_Pay_Code &gt;= $V$1) * (pp_OT_Pay_Code &gt;= $V$2) * (pp_Bon_Pay_Code &gt;= $V$3) * (pp_Meal_Pay_Code &gt;= $V$4) * (pp_Sick_Pay_Code &gt;= $V$5) * (pp_Diff_Pay_Code &gt;= $V$6)))),0),_xlpm.perc,_xlpm.calc/D$100,IFERROR(IF(_xlpm.calc&gt;1000,_xlfn.CONCAT(TEXT(_xlpm.calc,"0,000")," (",TEXT(_xlpm.perc,"0.0%"),")"),_xlfn.CONCAT(_xlpm.calc," (",TEXT(_xlpm.perc,"0.0%"),")")),"-"))</f>
        <v>-</v>
      </c>
      <c r="E82" s="135" t="str" cm="1">
        <f t="array" ref="E82">_xlfn.LET(_xlpm.calc,IFERROR(ROWS(_xlfn.UNIQUE(_xlfn._xlws.FILTER(Pay_ID_Period_End,(IFERROR(SEARCH($A$71,Pay_Key_Gps),0)&gt;0) * (Pay_Code=$A82) * (pp_Hrs_Wkd_Pay_Code &gt;= $V$1) * (pp_OT_Pay_Code &gt;= $V$2) * (pp_Bon_Pay_Code &gt;= $V$3) * (pp_Meal_Pay_Code &gt;= $V$4) * (pp_Sick_Pay_Code &gt;= $V$5) * (pp_Diff_Pay_Code &gt;= $V$6)))),0),_xlpm.perc,_xlpm.calc/E$100,IFERROR(IF(_xlpm.calc&gt;1000,_xlfn.CONCAT(TEXT(_xlpm.calc,"0,000")," (",TEXT(_xlpm.perc,"0.0%"),")"),_xlfn.CONCAT(_xlpm.calc," (",TEXT(_xlpm.perc,"0.0%"),")")),"-"))</f>
        <v>-</v>
      </c>
      <c r="F82" s="136" t="e">
        <f t="shared" si="12"/>
        <v>#NAME?</v>
      </c>
      <c r="G82" s="137" t="e">
        <f t="shared" si="13"/>
        <v>#NAME?</v>
      </c>
      <c r="H82" s="137" t="str" cm="1">
        <f t="array" ref="H82">IFERROR(AVERAGEIFS(Pay_Amount,Pay_Key_Gps,"*"&amp;$A$71&amp;"*",Pay_Code,$A82,pp_Hrs_Wkd_Pay_Code,"&gt;="&amp;$V$1,pp_OT_Pay_Code,"&gt;="&amp;$V$2,pp_Bon_Pay_Code,"&gt;="&amp;$V$3,pp_Meal_Pay_Code,"&gt;="&amp;$V$4,pp_Sick_Pay_Code,"&gt;="&amp;$V$5,pp_Diff_Pay_Code,"&gt;="&amp;$V$6),"-")</f>
        <v>-</v>
      </c>
      <c r="I82" s="122"/>
      <c r="J82" s="133">
        <f t="shared" ref="J82:J87" si="16">A82</f>
        <v>0</v>
      </c>
      <c r="K82" s="138" t="e" cm="1">
        <f t="array" ref="K82">_xlfn.LET(_xlpm.calc,COUNTIFS(Rate_Gp,K$11,Pay_Key_Gps,"*"&amp;$A$71&amp;"*",Pay_Code,$A82,pp_Hrs_Wkd_Pay_Code,"&gt;="&amp;$V$1,pp_OT_Pay_Code,"&gt;="&amp;$V$2,pp_Bon_Pay_Code,"&gt;="&amp;$V$3,pp_Meal_Pay_Code,"&gt;="&amp;$V$4,pp_Sick_Pay_Code,"&gt;="&amp;$V$5,pp_Diff_Pay_Code,"&gt;="&amp;$V$6),_xlpm.calc2,COUNTIFS(Pay_Key_Gps,"*"&amp;$A$71&amp;"*",Pay_Code,$A82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82" s="138" t="e" cm="1">
        <f t="array" ref="L82">_xlfn.LET(_xlpm.calc,COUNTIFS(Rate_Gp,L$11,Pay_Key_Gps,"*"&amp;$A$71&amp;"*",Pay_Code,$A82,pp_Hrs_Wkd_Pay_Code,"&gt;="&amp;$V$1,pp_OT_Pay_Code,"&gt;="&amp;$V$2,pp_Bon_Pay_Code,"&gt;="&amp;$V$3,pp_Meal_Pay_Code,"&gt;="&amp;$V$4,pp_Sick_Pay_Code,"&gt;="&amp;$V$5,pp_Diff_Pay_Code,"&gt;="&amp;$V$6),_xlpm.calc2,COUNTIFS(Pay_Key_Gps,"*"&amp;$A$71&amp;"*",Pay_Code,$A82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82" s="138" t="e" cm="1">
        <f t="array" ref="M82">_xlfn.LET(_xlpm.calc,COUNTIFS(Rate_Gp,M$11,Pay_Key_Gps,"*"&amp;$A$71&amp;"*",Pay_Code,$A82,pp_Hrs_Wkd_Pay_Code,"&gt;="&amp;$V$1,pp_OT_Pay_Code,"&gt;="&amp;$V$2,pp_Bon_Pay_Code,"&gt;="&amp;$V$3,pp_Meal_Pay_Code,"&gt;="&amp;$V$4,pp_Sick_Pay_Code,"&gt;="&amp;$V$5,pp_Diff_Pay_Code,"&gt;="&amp;$V$6),_xlpm.calc2,COUNTIFS(Pay_Key_Gps,"*"&amp;$A$71&amp;"*",Pay_Code,$A82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82" s="138" t="e" cm="1">
        <f t="array" ref="N82">_xlfn.LET(_xlpm.calc,COUNTIFS(Rate_Gp,N$11,Pay_Key_Gps,"*"&amp;$A$71&amp;"*",Pay_Code,$A82,pp_Hrs_Wkd_Pay_Code,"&gt;="&amp;$V$1,pp_OT_Pay_Code,"&gt;="&amp;$V$2,pp_Bon_Pay_Code,"&gt;="&amp;$V$3,pp_Meal_Pay_Code,"&gt;="&amp;$V$4,pp_Sick_Pay_Code,"&gt;="&amp;$V$5,pp_Diff_Pay_Code,"&gt;="&amp;$V$6),_xlpm.calc2,COUNTIFS(Pay_Key_Gps,"*"&amp;$A$71&amp;"*",Pay_Code,$A82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82" s="138" t="e" cm="1">
        <f t="array" ref="O82">_xlfn.LET(_xlpm.calc,COUNTIFS(Rate_Gp,O$11,Pay_Key_Gps,"*"&amp;$A$71&amp;"*",Pay_Code,$A82,pp_Hrs_Wkd_Pay_Code,"&gt;="&amp;$V$1,pp_OT_Pay_Code,"&gt;="&amp;$V$2,pp_Bon_Pay_Code,"&gt;="&amp;$V$3,pp_Meal_Pay_Code,"&gt;="&amp;$V$4,pp_Sick_Pay_Code,"&gt;="&amp;$V$5,pp_Diff_Pay_Code,"&gt;="&amp;$V$6),_xlpm.calc2,COUNTIFS(Pay_Key_Gps,"*"&amp;$A$71&amp;"*",Pay_Code,$A82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82" s="138" t="e" cm="1">
        <f t="array" ref="P82">_xlfn.LET(_xlpm.calc,COUNTIFS(Rate_Gp,P$11,Pay_Key_Gps,"*"&amp;$A$71&amp;"*",Pay_Code,$A82,pp_Hrs_Wkd_Pay_Code,"&gt;="&amp;$V$1,pp_OT_Pay_Code,"&gt;="&amp;$V$2,pp_Bon_Pay_Code,"&gt;="&amp;$V$3,pp_Meal_Pay_Code,"&gt;="&amp;$V$4,pp_Sick_Pay_Code,"&gt;="&amp;$V$5,pp_Diff_Pay_Code,"&gt;="&amp;$V$6),_xlpm.calc2,COUNTIFS(Pay_Key_Gps,"*"&amp;$A$71&amp;"*",Pay_Code,$A82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82" s="138" t="e" cm="1">
        <f t="array" ref="Q82">_xlfn.LET(_xlpm.calc,COUNTIFS(Rate_Gp,Q$11,Pay_Key_Gps,"*"&amp;$A$71&amp;"*",Pay_Code,$A82,pp_Hrs_Wkd_Pay_Code,"&gt;="&amp;$V$1,pp_OT_Pay_Code,"&gt;="&amp;$V$2,pp_Bon_Pay_Code,"&gt;="&amp;$V$3,pp_Meal_Pay_Code,"&gt;="&amp;$V$4,pp_Sick_Pay_Code,"&gt;="&amp;$V$5,pp_Diff_Pay_Code,"&gt;="&amp;$V$6),_xlpm.calc2,COUNTIFS(Pay_Key_Gps,"*"&amp;$A$71&amp;"*",Pay_Code,$A82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82" s="138" t="e" cm="1">
        <f t="array" ref="R82">_xlfn.LET(_xlpm.calc,COUNTIFS(Rate_Gp,R$11,Pay_Key_Gps,"*"&amp;$A$71&amp;"*",Pay_Code,$A82,pp_Hrs_Wkd_Pay_Code,"&gt;="&amp;$V$1,pp_OT_Pay_Code,"&gt;="&amp;$V$2,pp_Bon_Pay_Code,"&gt;="&amp;$V$3,pp_Meal_Pay_Code,"&gt;="&amp;$V$4,pp_Sick_Pay_Code,"&gt;="&amp;$V$5,pp_Diff_Pay_Code,"&gt;="&amp;$V$6),_xlpm.calc2,COUNTIFS(Pay_Key_Gps,"*"&amp;$A$71&amp;"*",Pay_Code,$A82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82" s="138" t="e" cm="1">
        <f t="array" ref="S82">_xlfn.LET(_xlpm.calc,COUNTIFS(Rate_Gp,S$11,Pay_Key_Gps,"*"&amp;$A$71&amp;"*",Pay_Code,$A82,pp_Hrs_Wkd_Pay_Code,"&gt;="&amp;$V$1,pp_OT_Pay_Code,"&gt;="&amp;$V$2,pp_Bon_Pay_Code,"&gt;="&amp;$V$3,pp_Meal_Pay_Code,"&gt;="&amp;$V$4,pp_Sick_Pay_Code,"&gt;="&amp;$V$5,pp_Diff_Pay_Code,"&gt;="&amp;$V$6),_xlpm.calc2,COUNTIFS(Pay_Key_Gps,"*"&amp;$A$71&amp;"*",Pay_Code,$A82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82" s="138" t="e" cm="1">
        <f t="array" ref="T82">_xlfn.LET(_xlpm.calc,COUNTIFS(Rate_Gp,T$11,Pay_Key_Gps,"*"&amp;$A$71&amp;"*",Pay_Code,$A82,pp_Hrs_Wkd_Pay_Code,"&gt;="&amp;$V$1,pp_OT_Pay_Code,"&gt;="&amp;$V$2,pp_Bon_Pay_Code,"&gt;="&amp;$V$3,pp_Meal_Pay_Code,"&gt;="&amp;$V$4,pp_Sick_Pay_Code,"&gt;="&amp;$V$5,pp_Diff_Pay_Code,"&gt;="&amp;$V$6),_xlpm.calc2,COUNTIFS(Pay_Key_Gps,"*"&amp;$A$71&amp;"*",Pay_Code,$A82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82" s="139" t="e" cm="1">
        <f t="array" ref="U82">_xlfn.LET(_xlpm.calc,COUNTIFS(Pay_Key_Gps,"*"&amp;$A$71&amp;"*",Pay_Code,$A82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82" s="118"/>
      <c r="W82" s="121"/>
      <c r="X82" s="149"/>
      <c r="Y82" s="149"/>
      <c r="Z82" s="149"/>
      <c r="AA82" s="149"/>
      <c r="AB82" s="140" t="e">
        <f t="shared" si="14"/>
        <v>#NAME?</v>
      </c>
    </row>
    <row r="83" spans="1:28" s="122" customFormat="1" x14ac:dyDescent="0.25">
      <c r="A83" s="133"/>
      <c r="B83" s="134" t="e" cm="1">
        <f t="array" ref="B83">_xlfn.LET(_xlpm.calc,_xlfn.MINIFS(Pay_Period_End,Pay_Key_Gps,"*"&amp;$A$71&amp;"*",Pay_Code,$A83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83" s="134" t="e" cm="1">
        <f t="array" ref="C83">_xlfn.LET(_xlpm.calc,_xlfn.MAXIFS(Pay_Period_End,Pay_Key_Gps,"*"&amp;$A$71&amp;"*",Pay_Code,$A83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83" s="135" t="str" cm="1">
        <f t="array" ref="D83">_xlfn.LET(_xlpm.calc,IFERROR(ROWS(_xlfn.UNIQUE(_xlfn._xlws.FILTER(Pay_ID,(IFERROR(SEARCH($A$71,Pay_Key_Gps),0)&gt;0) * (Pay_Code=$A83) * (pp_Hrs_Wkd_Pay_Code &gt;= $V$1) * (pp_OT_Pay_Code &gt;= $V$2) * (pp_Bon_Pay_Code &gt;= $V$3) * (pp_Meal_Pay_Code &gt;= $V$4) * (pp_Sick_Pay_Code &gt;= $V$5) * (pp_Diff_Pay_Code &gt;= $V$6)))),0),_xlpm.perc,_xlpm.calc/D$100,IFERROR(IF(_xlpm.calc&gt;1000,_xlfn.CONCAT(TEXT(_xlpm.calc,"0,000")," (",TEXT(_xlpm.perc,"0.0%"),")"),_xlfn.CONCAT(_xlpm.calc," (",TEXT(_xlpm.perc,"0.0%"),")")),"-"))</f>
        <v>-</v>
      </c>
      <c r="E83" s="135" t="str" cm="1">
        <f t="array" ref="E83">_xlfn.LET(_xlpm.calc,IFERROR(ROWS(_xlfn.UNIQUE(_xlfn._xlws.FILTER(Pay_ID_Period_End,(IFERROR(SEARCH($A$71,Pay_Key_Gps),0)&gt;0) * (Pay_Code=$A83) * (pp_Hrs_Wkd_Pay_Code &gt;= $V$1) * (pp_OT_Pay_Code &gt;= $V$2) * (pp_Bon_Pay_Code &gt;= $V$3) * (pp_Meal_Pay_Code &gt;= $V$4) * (pp_Sick_Pay_Code &gt;= $V$5) * (pp_Diff_Pay_Code &gt;= $V$6)))),0),_xlpm.perc,_xlpm.calc/E$100,IFERROR(IF(_xlpm.calc&gt;1000,_xlfn.CONCAT(TEXT(_xlpm.calc,"0,000")," (",TEXT(_xlpm.perc,"0.0%"),")"),_xlfn.CONCAT(_xlpm.calc," (",TEXT(_xlpm.perc,"0.0%"),")")),"-"))</f>
        <v>-</v>
      </c>
      <c r="F83" s="136" t="e">
        <f t="shared" si="12"/>
        <v>#NAME?</v>
      </c>
      <c r="G83" s="137" t="e">
        <f t="shared" si="13"/>
        <v>#NAME?</v>
      </c>
      <c r="H83" s="137" t="str" cm="1">
        <f t="array" ref="H83">IFERROR(AVERAGEIFS(Pay_Amount,Pay_Key_Gps,"*"&amp;$A$71&amp;"*",Pay_Code,$A83,pp_Hrs_Wkd_Pay_Code,"&gt;="&amp;$V$1,pp_OT_Pay_Code,"&gt;="&amp;$V$2,pp_Bon_Pay_Code,"&gt;="&amp;$V$3,pp_Meal_Pay_Code,"&gt;="&amp;$V$4,pp_Sick_Pay_Code,"&gt;="&amp;$V$5,pp_Diff_Pay_Code,"&gt;="&amp;$V$6),"-")</f>
        <v>-</v>
      </c>
      <c r="J83" s="133">
        <f t="shared" si="16"/>
        <v>0</v>
      </c>
      <c r="K83" s="138" t="e" cm="1">
        <f t="array" ref="K83">_xlfn.LET(_xlpm.calc,COUNTIFS(Rate_Gp,K$11,Pay_Key_Gps,"*"&amp;$A$71&amp;"*",Pay_Code,$A83,pp_Hrs_Wkd_Pay_Code,"&gt;="&amp;$V$1,pp_OT_Pay_Code,"&gt;="&amp;$V$2,pp_Bon_Pay_Code,"&gt;="&amp;$V$3,pp_Meal_Pay_Code,"&gt;="&amp;$V$4,pp_Sick_Pay_Code,"&gt;="&amp;$V$5,pp_Diff_Pay_Code,"&gt;="&amp;$V$6),_xlpm.calc2,COUNTIFS(Pay_Key_Gps,"*"&amp;$A$71&amp;"*",Pay_Code,$A83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83" s="138" t="e" cm="1">
        <f t="array" ref="L83">_xlfn.LET(_xlpm.calc,COUNTIFS(Rate_Gp,L$11,Pay_Key_Gps,"*"&amp;$A$71&amp;"*",Pay_Code,$A83,pp_Hrs_Wkd_Pay_Code,"&gt;="&amp;$V$1,pp_OT_Pay_Code,"&gt;="&amp;$V$2,pp_Bon_Pay_Code,"&gt;="&amp;$V$3,pp_Meal_Pay_Code,"&gt;="&amp;$V$4,pp_Sick_Pay_Code,"&gt;="&amp;$V$5,pp_Diff_Pay_Code,"&gt;="&amp;$V$6),_xlpm.calc2,COUNTIFS(Pay_Key_Gps,"*"&amp;$A$71&amp;"*",Pay_Code,$A83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83" s="138" t="e" cm="1">
        <f t="array" ref="M83">_xlfn.LET(_xlpm.calc,COUNTIFS(Rate_Gp,M$11,Pay_Key_Gps,"*"&amp;$A$71&amp;"*",Pay_Code,$A83,pp_Hrs_Wkd_Pay_Code,"&gt;="&amp;$V$1,pp_OT_Pay_Code,"&gt;="&amp;$V$2,pp_Bon_Pay_Code,"&gt;="&amp;$V$3,pp_Meal_Pay_Code,"&gt;="&amp;$V$4,pp_Sick_Pay_Code,"&gt;="&amp;$V$5,pp_Diff_Pay_Code,"&gt;="&amp;$V$6),_xlpm.calc2,COUNTIFS(Pay_Key_Gps,"*"&amp;$A$71&amp;"*",Pay_Code,$A83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83" s="138" t="e" cm="1">
        <f t="array" ref="N83">_xlfn.LET(_xlpm.calc,COUNTIFS(Rate_Gp,N$11,Pay_Key_Gps,"*"&amp;$A$71&amp;"*",Pay_Code,$A83,pp_Hrs_Wkd_Pay_Code,"&gt;="&amp;$V$1,pp_OT_Pay_Code,"&gt;="&amp;$V$2,pp_Bon_Pay_Code,"&gt;="&amp;$V$3,pp_Meal_Pay_Code,"&gt;="&amp;$V$4,pp_Sick_Pay_Code,"&gt;="&amp;$V$5,pp_Diff_Pay_Code,"&gt;="&amp;$V$6),_xlpm.calc2,COUNTIFS(Pay_Key_Gps,"*"&amp;$A$71&amp;"*",Pay_Code,$A83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83" s="138" t="e" cm="1">
        <f t="array" ref="O83">_xlfn.LET(_xlpm.calc,COUNTIFS(Rate_Gp,O$11,Pay_Key_Gps,"*"&amp;$A$71&amp;"*",Pay_Code,$A83,pp_Hrs_Wkd_Pay_Code,"&gt;="&amp;$V$1,pp_OT_Pay_Code,"&gt;="&amp;$V$2,pp_Bon_Pay_Code,"&gt;="&amp;$V$3,pp_Meal_Pay_Code,"&gt;="&amp;$V$4,pp_Sick_Pay_Code,"&gt;="&amp;$V$5,pp_Diff_Pay_Code,"&gt;="&amp;$V$6),_xlpm.calc2,COUNTIFS(Pay_Key_Gps,"*"&amp;$A$71&amp;"*",Pay_Code,$A83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83" s="138" t="e" cm="1">
        <f t="array" ref="P83">_xlfn.LET(_xlpm.calc,COUNTIFS(Rate_Gp,P$11,Pay_Key_Gps,"*"&amp;$A$71&amp;"*",Pay_Code,$A83,pp_Hrs_Wkd_Pay_Code,"&gt;="&amp;$V$1,pp_OT_Pay_Code,"&gt;="&amp;$V$2,pp_Bon_Pay_Code,"&gt;="&amp;$V$3,pp_Meal_Pay_Code,"&gt;="&amp;$V$4,pp_Sick_Pay_Code,"&gt;="&amp;$V$5,pp_Diff_Pay_Code,"&gt;="&amp;$V$6),_xlpm.calc2,COUNTIFS(Pay_Key_Gps,"*"&amp;$A$71&amp;"*",Pay_Code,$A83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83" s="138" t="e" cm="1">
        <f t="array" ref="Q83">_xlfn.LET(_xlpm.calc,COUNTIFS(Rate_Gp,Q$11,Pay_Key_Gps,"*"&amp;$A$71&amp;"*",Pay_Code,$A83,pp_Hrs_Wkd_Pay_Code,"&gt;="&amp;$V$1,pp_OT_Pay_Code,"&gt;="&amp;$V$2,pp_Bon_Pay_Code,"&gt;="&amp;$V$3,pp_Meal_Pay_Code,"&gt;="&amp;$V$4,pp_Sick_Pay_Code,"&gt;="&amp;$V$5,pp_Diff_Pay_Code,"&gt;="&amp;$V$6),_xlpm.calc2,COUNTIFS(Pay_Key_Gps,"*"&amp;$A$71&amp;"*",Pay_Code,$A83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83" s="138" t="e" cm="1">
        <f t="array" ref="R83">_xlfn.LET(_xlpm.calc,COUNTIFS(Rate_Gp,R$11,Pay_Key_Gps,"*"&amp;$A$71&amp;"*",Pay_Code,$A83,pp_Hrs_Wkd_Pay_Code,"&gt;="&amp;$V$1,pp_OT_Pay_Code,"&gt;="&amp;$V$2,pp_Bon_Pay_Code,"&gt;="&amp;$V$3,pp_Meal_Pay_Code,"&gt;="&amp;$V$4,pp_Sick_Pay_Code,"&gt;="&amp;$V$5,pp_Diff_Pay_Code,"&gt;="&amp;$V$6),_xlpm.calc2,COUNTIFS(Pay_Key_Gps,"*"&amp;$A$71&amp;"*",Pay_Code,$A83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83" s="138" t="e" cm="1">
        <f t="array" ref="S83">_xlfn.LET(_xlpm.calc,COUNTIFS(Rate_Gp,S$11,Pay_Key_Gps,"*"&amp;$A$71&amp;"*",Pay_Code,$A83,pp_Hrs_Wkd_Pay_Code,"&gt;="&amp;$V$1,pp_OT_Pay_Code,"&gt;="&amp;$V$2,pp_Bon_Pay_Code,"&gt;="&amp;$V$3,pp_Meal_Pay_Code,"&gt;="&amp;$V$4,pp_Sick_Pay_Code,"&gt;="&amp;$V$5,pp_Diff_Pay_Code,"&gt;="&amp;$V$6),_xlpm.calc2,COUNTIFS(Pay_Key_Gps,"*"&amp;$A$71&amp;"*",Pay_Code,$A83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83" s="138" t="e" cm="1">
        <f t="array" ref="T83">_xlfn.LET(_xlpm.calc,COUNTIFS(Rate_Gp,T$11,Pay_Key_Gps,"*"&amp;$A$71&amp;"*",Pay_Code,$A83,pp_Hrs_Wkd_Pay_Code,"&gt;="&amp;$V$1,pp_OT_Pay_Code,"&gt;="&amp;$V$2,pp_Bon_Pay_Code,"&gt;="&amp;$V$3,pp_Meal_Pay_Code,"&gt;="&amp;$V$4,pp_Sick_Pay_Code,"&gt;="&amp;$V$5,pp_Diff_Pay_Code,"&gt;="&amp;$V$6),_xlpm.calc2,COUNTIFS(Pay_Key_Gps,"*"&amp;$A$71&amp;"*",Pay_Code,$A83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83" s="139" t="e" cm="1">
        <f t="array" ref="U83">_xlfn.LET(_xlpm.calc,COUNTIFS(Pay_Key_Gps,"*"&amp;$A$71&amp;"*",Pay_Code,$A83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83" s="118"/>
      <c r="W83" s="118"/>
      <c r="X83" s="149"/>
      <c r="Y83" s="149"/>
      <c r="Z83" s="149"/>
      <c r="AA83" s="149"/>
      <c r="AB83" s="140" t="e">
        <f t="shared" si="14"/>
        <v>#NAME?</v>
      </c>
    </row>
    <row r="84" spans="1:28" s="122" customFormat="1" x14ac:dyDescent="0.25">
      <c r="A84" s="133"/>
      <c r="B84" s="134" t="e" cm="1">
        <f t="array" ref="B84">_xlfn.LET(_xlpm.calc,_xlfn.MINIFS(Pay_Period_End,Pay_Key_Gps,"*"&amp;$A$71&amp;"*",Pay_Code,$A84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84" s="134" t="e" cm="1">
        <f t="array" ref="C84">_xlfn.LET(_xlpm.calc,_xlfn.MAXIFS(Pay_Period_End,Pay_Key_Gps,"*"&amp;$A$71&amp;"*",Pay_Code,$A84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84" s="135" t="str" cm="1">
        <f t="array" ref="D84">_xlfn.LET(_xlpm.calc,IFERROR(ROWS(_xlfn.UNIQUE(_xlfn._xlws.FILTER(Pay_ID,(IFERROR(SEARCH($A$71,Pay_Key_Gps),0)&gt;0) * (Pay_Code=$A84) * (pp_Hrs_Wkd_Pay_Code &gt;= $V$1) * (pp_OT_Pay_Code &gt;= $V$2) * (pp_Bon_Pay_Code &gt;= $V$3) * (pp_Meal_Pay_Code &gt;= $V$4) * (pp_Sick_Pay_Code &gt;= $V$5) * (pp_Diff_Pay_Code &gt;= $V$6)))),0),_xlpm.perc,_xlpm.calc/D$100,IFERROR(IF(_xlpm.calc&gt;1000,_xlfn.CONCAT(TEXT(_xlpm.calc,"0,000")," (",TEXT(_xlpm.perc,"0.0%"),")"),_xlfn.CONCAT(_xlpm.calc," (",TEXT(_xlpm.perc,"0.0%"),")")),"-"))</f>
        <v>-</v>
      </c>
      <c r="E84" s="135" t="str" cm="1">
        <f t="array" ref="E84">_xlfn.LET(_xlpm.calc,IFERROR(ROWS(_xlfn.UNIQUE(_xlfn._xlws.FILTER(Pay_ID_Period_End,(IFERROR(SEARCH($A$71,Pay_Key_Gps),0)&gt;0) * (Pay_Code=$A84) * (pp_Hrs_Wkd_Pay_Code &gt;= $V$1) * (pp_OT_Pay_Code &gt;= $V$2) * (pp_Bon_Pay_Code &gt;= $V$3) * (pp_Meal_Pay_Code &gt;= $V$4) * (pp_Sick_Pay_Code &gt;= $V$5) * (pp_Diff_Pay_Code &gt;= $V$6)))),0),_xlpm.perc,_xlpm.calc/E$100,IFERROR(IF(_xlpm.calc&gt;1000,_xlfn.CONCAT(TEXT(_xlpm.calc,"0,000")," (",TEXT(_xlpm.perc,"0.0%"),")"),_xlfn.CONCAT(_xlpm.calc," (",TEXT(_xlpm.perc,"0.0%"),")")),"-"))</f>
        <v>-</v>
      </c>
      <c r="F84" s="136" t="e">
        <f t="shared" si="12"/>
        <v>#NAME?</v>
      </c>
      <c r="G84" s="137" t="e">
        <f t="shared" si="13"/>
        <v>#NAME?</v>
      </c>
      <c r="H84" s="137" t="str" cm="1">
        <f t="array" ref="H84">IFERROR(AVERAGEIFS(Pay_Amount,Pay_Key_Gps,"*"&amp;$A$71&amp;"*",Pay_Code,$A84,pp_Hrs_Wkd_Pay_Code,"&gt;="&amp;$V$1,pp_OT_Pay_Code,"&gt;="&amp;$V$2,pp_Bon_Pay_Code,"&gt;="&amp;$V$3,pp_Meal_Pay_Code,"&gt;="&amp;$V$4,pp_Sick_Pay_Code,"&gt;="&amp;$V$5,pp_Diff_Pay_Code,"&gt;="&amp;$V$6),"-")</f>
        <v>-</v>
      </c>
      <c r="J84" s="133">
        <f t="shared" si="16"/>
        <v>0</v>
      </c>
      <c r="K84" s="138" t="e" cm="1">
        <f t="array" ref="K84">_xlfn.LET(_xlpm.calc,COUNTIFS(Rate_Gp,K$11,Pay_Key_Gps,"*"&amp;$A$71&amp;"*",Pay_Code,$A84,pp_Hrs_Wkd_Pay_Code,"&gt;="&amp;$V$1,pp_OT_Pay_Code,"&gt;="&amp;$V$2,pp_Bon_Pay_Code,"&gt;="&amp;$V$3,pp_Meal_Pay_Code,"&gt;="&amp;$V$4,pp_Sick_Pay_Code,"&gt;="&amp;$V$5,pp_Diff_Pay_Code,"&gt;="&amp;$V$6),_xlpm.calc2,COUNTIFS(Pay_Key_Gps,"*"&amp;$A$71&amp;"*",Pay_Code,$A84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84" s="138" t="e" cm="1">
        <f t="array" ref="L84">_xlfn.LET(_xlpm.calc,COUNTIFS(Rate_Gp,L$11,Pay_Key_Gps,"*"&amp;$A$71&amp;"*",Pay_Code,$A84,pp_Hrs_Wkd_Pay_Code,"&gt;="&amp;$V$1,pp_OT_Pay_Code,"&gt;="&amp;$V$2,pp_Bon_Pay_Code,"&gt;="&amp;$V$3,pp_Meal_Pay_Code,"&gt;="&amp;$V$4,pp_Sick_Pay_Code,"&gt;="&amp;$V$5,pp_Diff_Pay_Code,"&gt;="&amp;$V$6),_xlpm.calc2,COUNTIFS(Pay_Key_Gps,"*"&amp;$A$71&amp;"*",Pay_Code,$A84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84" s="138" t="e" cm="1">
        <f t="array" ref="M84">_xlfn.LET(_xlpm.calc,COUNTIFS(Rate_Gp,M$11,Pay_Key_Gps,"*"&amp;$A$71&amp;"*",Pay_Code,$A84,pp_Hrs_Wkd_Pay_Code,"&gt;="&amp;$V$1,pp_OT_Pay_Code,"&gt;="&amp;$V$2,pp_Bon_Pay_Code,"&gt;="&amp;$V$3,pp_Meal_Pay_Code,"&gt;="&amp;$V$4,pp_Sick_Pay_Code,"&gt;="&amp;$V$5,pp_Diff_Pay_Code,"&gt;="&amp;$V$6),_xlpm.calc2,COUNTIFS(Pay_Key_Gps,"*"&amp;$A$71&amp;"*",Pay_Code,$A84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84" s="138" t="e" cm="1">
        <f t="array" ref="N84">_xlfn.LET(_xlpm.calc,COUNTIFS(Rate_Gp,N$11,Pay_Key_Gps,"*"&amp;$A$71&amp;"*",Pay_Code,$A84,pp_Hrs_Wkd_Pay_Code,"&gt;="&amp;$V$1,pp_OT_Pay_Code,"&gt;="&amp;$V$2,pp_Bon_Pay_Code,"&gt;="&amp;$V$3,pp_Meal_Pay_Code,"&gt;="&amp;$V$4,pp_Sick_Pay_Code,"&gt;="&amp;$V$5,pp_Diff_Pay_Code,"&gt;="&amp;$V$6),_xlpm.calc2,COUNTIFS(Pay_Key_Gps,"*"&amp;$A$71&amp;"*",Pay_Code,$A84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84" s="138" t="e" cm="1">
        <f t="array" ref="O84">_xlfn.LET(_xlpm.calc,COUNTIFS(Rate_Gp,O$11,Pay_Key_Gps,"*"&amp;$A$71&amp;"*",Pay_Code,$A84,pp_Hrs_Wkd_Pay_Code,"&gt;="&amp;$V$1,pp_OT_Pay_Code,"&gt;="&amp;$V$2,pp_Bon_Pay_Code,"&gt;="&amp;$V$3,pp_Meal_Pay_Code,"&gt;="&amp;$V$4,pp_Sick_Pay_Code,"&gt;="&amp;$V$5,pp_Diff_Pay_Code,"&gt;="&amp;$V$6),_xlpm.calc2,COUNTIFS(Pay_Key_Gps,"*"&amp;$A$71&amp;"*",Pay_Code,$A84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84" s="138" t="e" cm="1">
        <f t="array" ref="P84">_xlfn.LET(_xlpm.calc,COUNTIFS(Rate_Gp,P$11,Pay_Key_Gps,"*"&amp;$A$71&amp;"*",Pay_Code,$A84,pp_Hrs_Wkd_Pay_Code,"&gt;="&amp;$V$1,pp_OT_Pay_Code,"&gt;="&amp;$V$2,pp_Bon_Pay_Code,"&gt;="&amp;$V$3,pp_Meal_Pay_Code,"&gt;="&amp;$V$4,pp_Sick_Pay_Code,"&gt;="&amp;$V$5,pp_Diff_Pay_Code,"&gt;="&amp;$V$6),_xlpm.calc2,COUNTIFS(Pay_Key_Gps,"*"&amp;$A$71&amp;"*",Pay_Code,$A84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84" s="138" t="e" cm="1">
        <f t="array" ref="Q84">_xlfn.LET(_xlpm.calc,COUNTIFS(Rate_Gp,Q$11,Pay_Key_Gps,"*"&amp;$A$71&amp;"*",Pay_Code,$A84,pp_Hrs_Wkd_Pay_Code,"&gt;="&amp;$V$1,pp_OT_Pay_Code,"&gt;="&amp;$V$2,pp_Bon_Pay_Code,"&gt;="&amp;$V$3,pp_Meal_Pay_Code,"&gt;="&amp;$V$4,pp_Sick_Pay_Code,"&gt;="&amp;$V$5,pp_Diff_Pay_Code,"&gt;="&amp;$V$6),_xlpm.calc2,COUNTIFS(Pay_Key_Gps,"*"&amp;$A$71&amp;"*",Pay_Code,$A84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84" s="138" t="e" cm="1">
        <f t="array" ref="R84">_xlfn.LET(_xlpm.calc,COUNTIFS(Rate_Gp,R$11,Pay_Key_Gps,"*"&amp;$A$71&amp;"*",Pay_Code,$A84,pp_Hrs_Wkd_Pay_Code,"&gt;="&amp;$V$1,pp_OT_Pay_Code,"&gt;="&amp;$V$2,pp_Bon_Pay_Code,"&gt;="&amp;$V$3,pp_Meal_Pay_Code,"&gt;="&amp;$V$4,pp_Sick_Pay_Code,"&gt;="&amp;$V$5,pp_Diff_Pay_Code,"&gt;="&amp;$V$6),_xlpm.calc2,COUNTIFS(Pay_Key_Gps,"*"&amp;$A$71&amp;"*",Pay_Code,$A84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84" s="138" t="e" cm="1">
        <f t="array" ref="S84">_xlfn.LET(_xlpm.calc,COUNTIFS(Rate_Gp,S$11,Pay_Key_Gps,"*"&amp;$A$71&amp;"*",Pay_Code,$A84,pp_Hrs_Wkd_Pay_Code,"&gt;="&amp;$V$1,pp_OT_Pay_Code,"&gt;="&amp;$V$2,pp_Bon_Pay_Code,"&gt;="&amp;$V$3,pp_Meal_Pay_Code,"&gt;="&amp;$V$4,pp_Sick_Pay_Code,"&gt;="&amp;$V$5,pp_Diff_Pay_Code,"&gt;="&amp;$V$6),_xlpm.calc2,COUNTIFS(Pay_Key_Gps,"*"&amp;$A$71&amp;"*",Pay_Code,$A84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84" s="138" t="e" cm="1">
        <f t="array" ref="T84">_xlfn.LET(_xlpm.calc,COUNTIFS(Rate_Gp,T$11,Pay_Key_Gps,"*"&amp;$A$71&amp;"*",Pay_Code,$A84,pp_Hrs_Wkd_Pay_Code,"&gt;="&amp;$V$1,pp_OT_Pay_Code,"&gt;="&amp;$V$2,pp_Bon_Pay_Code,"&gt;="&amp;$V$3,pp_Meal_Pay_Code,"&gt;="&amp;$V$4,pp_Sick_Pay_Code,"&gt;="&amp;$V$5,pp_Diff_Pay_Code,"&gt;="&amp;$V$6),_xlpm.calc2,COUNTIFS(Pay_Key_Gps,"*"&amp;$A$71&amp;"*",Pay_Code,$A84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84" s="139" t="e" cm="1">
        <f t="array" ref="U84">_xlfn.LET(_xlpm.calc,COUNTIFS(Pay_Key_Gps,"*"&amp;$A$71&amp;"*",Pay_Code,$A84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84" s="118"/>
      <c r="W84" s="118"/>
      <c r="X84" s="149"/>
      <c r="Y84" s="149"/>
      <c r="Z84" s="149"/>
      <c r="AA84" s="149"/>
      <c r="AB84" s="140" t="e">
        <f t="shared" si="14"/>
        <v>#NAME?</v>
      </c>
    </row>
    <row r="85" spans="1:28" s="122" customFormat="1" x14ac:dyDescent="0.25">
      <c r="A85" s="133"/>
      <c r="B85" s="134" t="e" cm="1">
        <f t="array" ref="B85">_xlfn.LET(_xlpm.calc,_xlfn.MINIFS(Pay_Period_End,Pay_Key_Gps,"*"&amp;$A$71&amp;"*",Pay_Code,$A85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85" s="134" t="e" cm="1">
        <f t="array" ref="C85">_xlfn.LET(_xlpm.calc,_xlfn.MAXIFS(Pay_Period_End,Pay_Key_Gps,"*"&amp;$A$71&amp;"*",Pay_Code,$A85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85" s="135" t="str" cm="1">
        <f t="array" ref="D85">_xlfn.LET(_xlpm.calc,IFERROR(ROWS(_xlfn.UNIQUE(_xlfn._xlws.FILTER(Pay_ID,(IFERROR(SEARCH($A$71,Pay_Key_Gps),0)&gt;0) * (Pay_Code=$A85) * (pp_Hrs_Wkd_Pay_Code &gt;= $V$1) * (pp_OT_Pay_Code &gt;= $V$2) * (pp_Bon_Pay_Code &gt;= $V$3) * (pp_Meal_Pay_Code &gt;= $V$4) * (pp_Sick_Pay_Code &gt;= $V$5) * (pp_Diff_Pay_Code &gt;= $V$6)))),0),_xlpm.perc,_xlpm.calc/D$100,IFERROR(IF(_xlpm.calc&gt;1000,_xlfn.CONCAT(TEXT(_xlpm.calc,"0,000")," (",TEXT(_xlpm.perc,"0.0%"),")"),_xlfn.CONCAT(_xlpm.calc," (",TEXT(_xlpm.perc,"0.0%"),")")),"-"))</f>
        <v>-</v>
      </c>
      <c r="E85" s="135" t="str" cm="1">
        <f t="array" ref="E85">_xlfn.LET(_xlpm.calc,IFERROR(ROWS(_xlfn.UNIQUE(_xlfn._xlws.FILTER(Pay_ID_Period_End,(IFERROR(SEARCH($A$71,Pay_Key_Gps),0)&gt;0) * (Pay_Code=$A85) * (pp_Hrs_Wkd_Pay_Code &gt;= $V$1) * (pp_OT_Pay_Code &gt;= $V$2) * (pp_Bon_Pay_Code &gt;= $V$3) * (pp_Meal_Pay_Code &gt;= $V$4) * (pp_Sick_Pay_Code &gt;= $V$5) * (pp_Diff_Pay_Code &gt;= $V$6)))),0),_xlpm.perc,_xlpm.calc/E$100,IFERROR(IF(_xlpm.calc&gt;1000,_xlfn.CONCAT(TEXT(_xlpm.calc,"0,000")," (",TEXT(_xlpm.perc,"0.0%"),")"),_xlfn.CONCAT(_xlpm.calc," (",TEXT(_xlpm.perc,"0.0%"),")")),"-"))</f>
        <v>-</v>
      </c>
      <c r="F85" s="136" t="e">
        <f t="shared" si="12"/>
        <v>#NAME?</v>
      </c>
      <c r="G85" s="137" t="e">
        <f t="shared" si="13"/>
        <v>#NAME?</v>
      </c>
      <c r="H85" s="137" t="str" cm="1">
        <f t="array" ref="H85">IFERROR(AVERAGEIFS(Pay_Amount,Pay_Key_Gps,"*"&amp;$A$71&amp;"*",Pay_Code,$A85,pp_Hrs_Wkd_Pay_Code,"&gt;="&amp;$V$1,pp_OT_Pay_Code,"&gt;="&amp;$V$2,pp_Bon_Pay_Code,"&gt;="&amp;$V$3,pp_Meal_Pay_Code,"&gt;="&amp;$V$4,pp_Sick_Pay_Code,"&gt;="&amp;$V$5,pp_Diff_Pay_Code,"&gt;="&amp;$V$6),"-")</f>
        <v>-</v>
      </c>
      <c r="J85" s="133">
        <f t="shared" si="16"/>
        <v>0</v>
      </c>
      <c r="K85" s="138" t="e" cm="1">
        <f t="array" ref="K85">_xlfn.LET(_xlpm.calc,COUNTIFS(Rate_Gp,K$11,Pay_Key_Gps,"*"&amp;$A$71&amp;"*",Pay_Code,$A85,pp_Hrs_Wkd_Pay_Code,"&gt;="&amp;$V$1,pp_OT_Pay_Code,"&gt;="&amp;$V$2,pp_Bon_Pay_Code,"&gt;="&amp;$V$3,pp_Meal_Pay_Code,"&gt;="&amp;$V$4,pp_Sick_Pay_Code,"&gt;="&amp;$V$5,pp_Diff_Pay_Code,"&gt;="&amp;$V$6),_xlpm.calc2,COUNTIFS(Pay_Key_Gps,"*"&amp;$A$71&amp;"*",Pay_Code,$A85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85" s="138" t="e" cm="1">
        <f t="array" ref="L85">_xlfn.LET(_xlpm.calc,COUNTIFS(Rate_Gp,L$11,Pay_Key_Gps,"*"&amp;$A$71&amp;"*",Pay_Code,$A85,pp_Hrs_Wkd_Pay_Code,"&gt;="&amp;$V$1,pp_OT_Pay_Code,"&gt;="&amp;$V$2,pp_Bon_Pay_Code,"&gt;="&amp;$V$3,pp_Meal_Pay_Code,"&gt;="&amp;$V$4,pp_Sick_Pay_Code,"&gt;="&amp;$V$5,pp_Diff_Pay_Code,"&gt;="&amp;$V$6),_xlpm.calc2,COUNTIFS(Pay_Key_Gps,"*"&amp;$A$71&amp;"*",Pay_Code,$A85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85" s="138" t="e" cm="1">
        <f t="array" ref="M85">_xlfn.LET(_xlpm.calc,COUNTIFS(Rate_Gp,M$11,Pay_Key_Gps,"*"&amp;$A$71&amp;"*",Pay_Code,$A85,pp_Hrs_Wkd_Pay_Code,"&gt;="&amp;$V$1,pp_OT_Pay_Code,"&gt;="&amp;$V$2,pp_Bon_Pay_Code,"&gt;="&amp;$V$3,pp_Meal_Pay_Code,"&gt;="&amp;$V$4,pp_Sick_Pay_Code,"&gt;="&amp;$V$5,pp_Diff_Pay_Code,"&gt;="&amp;$V$6),_xlpm.calc2,COUNTIFS(Pay_Key_Gps,"*"&amp;$A$71&amp;"*",Pay_Code,$A85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85" s="138" t="e" cm="1">
        <f t="array" ref="N85">_xlfn.LET(_xlpm.calc,COUNTIFS(Rate_Gp,N$11,Pay_Key_Gps,"*"&amp;$A$71&amp;"*",Pay_Code,$A85,pp_Hrs_Wkd_Pay_Code,"&gt;="&amp;$V$1,pp_OT_Pay_Code,"&gt;="&amp;$V$2,pp_Bon_Pay_Code,"&gt;="&amp;$V$3,pp_Meal_Pay_Code,"&gt;="&amp;$V$4,pp_Sick_Pay_Code,"&gt;="&amp;$V$5,pp_Diff_Pay_Code,"&gt;="&amp;$V$6),_xlpm.calc2,COUNTIFS(Pay_Key_Gps,"*"&amp;$A$71&amp;"*",Pay_Code,$A85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85" s="138" t="e" cm="1">
        <f t="array" ref="O85">_xlfn.LET(_xlpm.calc,COUNTIFS(Rate_Gp,O$11,Pay_Key_Gps,"*"&amp;$A$71&amp;"*",Pay_Code,$A85,pp_Hrs_Wkd_Pay_Code,"&gt;="&amp;$V$1,pp_OT_Pay_Code,"&gt;="&amp;$V$2,pp_Bon_Pay_Code,"&gt;="&amp;$V$3,pp_Meal_Pay_Code,"&gt;="&amp;$V$4,pp_Sick_Pay_Code,"&gt;="&amp;$V$5,pp_Diff_Pay_Code,"&gt;="&amp;$V$6),_xlpm.calc2,COUNTIFS(Pay_Key_Gps,"*"&amp;$A$71&amp;"*",Pay_Code,$A85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85" s="138" t="e" cm="1">
        <f t="array" ref="P85">_xlfn.LET(_xlpm.calc,COUNTIFS(Rate_Gp,P$11,Pay_Key_Gps,"*"&amp;$A$71&amp;"*",Pay_Code,$A85,pp_Hrs_Wkd_Pay_Code,"&gt;="&amp;$V$1,pp_OT_Pay_Code,"&gt;="&amp;$V$2,pp_Bon_Pay_Code,"&gt;="&amp;$V$3,pp_Meal_Pay_Code,"&gt;="&amp;$V$4,pp_Sick_Pay_Code,"&gt;="&amp;$V$5,pp_Diff_Pay_Code,"&gt;="&amp;$V$6),_xlpm.calc2,COUNTIFS(Pay_Key_Gps,"*"&amp;$A$71&amp;"*",Pay_Code,$A85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85" s="138" t="e" cm="1">
        <f t="array" ref="Q85">_xlfn.LET(_xlpm.calc,COUNTIFS(Rate_Gp,Q$11,Pay_Key_Gps,"*"&amp;$A$71&amp;"*",Pay_Code,$A85,pp_Hrs_Wkd_Pay_Code,"&gt;="&amp;$V$1,pp_OT_Pay_Code,"&gt;="&amp;$V$2,pp_Bon_Pay_Code,"&gt;="&amp;$V$3,pp_Meal_Pay_Code,"&gt;="&amp;$V$4,pp_Sick_Pay_Code,"&gt;="&amp;$V$5,pp_Diff_Pay_Code,"&gt;="&amp;$V$6),_xlpm.calc2,COUNTIFS(Pay_Key_Gps,"*"&amp;$A$71&amp;"*",Pay_Code,$A85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85" s="138" t="e" cm="1">
        <f t="array" ref="R85">_xlfn.LET(_xlpm.calc,COUNTIFS(Rate_Gp,R$11,Pay_Key_Gps,"*"&amp;$A$71&amp;"*",Pay_Code,$A85,pp_Hrs_Wkd_Pay_Code,"&gt;="&amp;$V$1,pp_OT_Pay_Code,"&gt;="&amp;$V$2,pp_Bon_Pay_Code,"&gt;="&amp;$V$3,pp_Meal_Pay_Code,"&gt;="&amp;$V$4,pp_Sick_Pay_Code,"&gt;="&amp;$V$5,pp_Diff_Pay_Code,"&gt;="&amp;$V$6),_xlpm.calc2,COUNTIFS(Pay_Key_Gps,"*"&amp;$A$71&amp;"*",Pay_Code,$A85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85" s="138" t="e" cm="1">
        <f t="array" ref="S85">_xlfn.LET(_xlpm.calc,COUNTIFS(Rate_Gp,S$11,Pay_Key_Gps,"*"&amp;$A$71&amp;"*",Pay_Code,$A85,pp_Hrs_Wkd_Pay_Code,"&gt;="&amp;$V$1,pp_OT_Pay_Code,"&gt;="&amp;$V$2,pp_Bon_Pay_Code,"&gt;="&amp;$V$3,pp_Meal_Pay_Code,"&gt;="&amp;$V$4,pp_Sick_Pay_Code,"&gt;="&amp;$V$5,pp_Diff_Pay_Code,"&gt;="&amp;$V$6),_xlpm.calc2,COUNTIFS(Pay_Key_Gps,"*"&amp;$A$71&amp;"*",Pay_Code,$A85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85" s="138" t="e" cm="1">
        <f t="array" ref="T85">_xlfn.LET(_xlpm.calc,COUNTIFS(Rate_Gp,T$11,Pay_Key_Gps,"*"&amp;$A$71&amp;"*",Pay_Code,$A85,pp_Hrs_Wkd_Pay_Code,"&gt;="&amp;$V$1,pp_OT_Pay_Code,"&gt;="&amp;$V$2,pp_Bon_Pay_Code,"&gt;="&amp;$V$3,pp_Meal_Pay_Code,"&gt;="&amp;$V$4,pp_Sick_Pay_Code,"&gt;="&amp;$V$5,pp_Diff_Pay_Code,"&gt;="&amp;$V$6),_xlpm.calc2,COUNTIFS(Pay_Key_Gps,"*"&amp;$A$71&amp;"*",Pay_Code,$A85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85" s="139" t="e" cm="1">
        <f t="array" ref="U85">_xlfn.LET(_xlpm.calc,COUNTIFS(Pay_Key_Gps,"*"&amp;$A$71&amp;"*",Pay_Code,$A85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85" s="118"/>
      <c r="W85" s="118"/>
      <c r="X85" s="149"/>
      <c r="Y85" s="149"/>
      <c r="Z85" s="149"/>
      <c r="AA85" s="149"/>
      <c r="AB85" s="140" t="e">
        <f t="shared" si="14"/>
        <v>#NAME?</v>
      </c>
    </row>
    <row r="86" spans="1:28" s="122" customFormat="1" x14ac:dyDescent="0.25">
      <c r="A86" s="133"/>
      <c r="B86" s="134" t="e" cm="1">
        <f t="array" ref="B86">_xlfn.LET(_xlpm.calc,_xlfn.MINIFS(Pay_Period_End,Pay_Key_Gps,"*"&amp;$A$71&amp;"*",Pay_Code,$A86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86" s="134" t="e" cm="1">
        <f t="array" ref="C86">_xlfn.LET(_xlpm.calc,_xlfn.MAXIFS(Pay_Period_End,Pay_Key_Gps,"*"&amp;$A$71&amp;"*",Pay_Code,$A86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86" s="135" t="str" cm="1">
        <f t="array" ref="D86">_xlfn.LET(_xlpm.calc,IFERROR(ROWS(_xlfn.UNIQUE(_xlfn._xlws.FILTER(Pay_ID,(IFERROR(SEARCH($A$71,Pay_Key_Gps),0)&gt;0) * (Pay_Code=$A86) * (pp_Hrs_Wkd_Pay_Code &gt;= $V$1) * (pp_OT_Pay_Code &gt;= $V$2) * (pp_Bon_Pay_Code &gt;= $V$3) * (pp_Meal_Pay_Code &gt;= $V$4) * (pp_Sick_Pay_Code &gt;= $V$5) * (pp_Diff_Pay_Code &gt;= $V$6)))),0),_xlpm.perc,_xlpm.calc/D$100,IFERROR(IF(_xlpm.calc&gt;1000,_xlfn.CONCAT(TEXT(_xlpm.calc,"0,000")," (",TEXT(_xlpm.perc,"0.0%"),")"),_xlfn.CONCAT(_xlpm.calc," (",TEXT(_xlpm.perc,"0.0%"),")")),"-"))</f>
        <v>-</v>
      </c>
      <c r="E86" s="135" t="str" cm="1">
        <f t="array" ref="E86">_xlfn.LET(_xlpm.calc,IFERROR(ROWS(_xlfn.UNIQUE(_xlfn._xlws.FILTER(Pay_ID_Period_End,(IFERROR(SEARCH($A$71,Pay_Key_Gps),0)&gt;0) * (Pay_Code=$A86) * (pp_Hrs_Wkd_Pay_Code &gt;= $V$1) * (pp_OT_Pay_Code &gt;= $V$2) * (pp_Bon_Pay_Code &gt;= $V$3) * (pp_Meal_Pay_Code &gt;= $V$4) * (pp_Sick_Pay_Code &gt;= $V$5) * (pp_Diff_Pay_Code &gt;= $V$6)))),0),_xlpm.perc,_xlpm.calc/E$100,IFERROR(IF(_xlpm.calc&gt;1000,_xlfn.CONCAT(TEXT(_xlpm.calc,"0,000")," (",TEXT(_xlpm.perc,"0.0%"),")"),_xlfn.CONCAT(_xlpm.calc," (",TEXT(_xlpm.perc,"0.0%"),")")),"-"))</f>
        <v>-</v>
      </c>
      <c r="F86" s="136" t="e">
        <f t="shared" si="12"/>
        <v>#NAME?</v>
      </c>
      <c r="G86" s="137" t="e">
        <f t="shared" si="13"/>
        <v>#NAME?</v>
      </c>
      <c r="H86" s="137" t="str" cm="1">
        <f t="array" ref="H86">IFERROR(AVERAGEIFS(Pay_Amount,Pay_Key_Gps,"*"&amp;$A$71&amp;"*",Pay_Code,$A86,pp_Hrs_Wkd_Pay_Code,"&gt;="&amp;$V$1,pp_OT_Pay_Code,"&gt;="&amp;$V$2,pp_Bon_Pay_Code,"&gt;="&amp;$V$3,pp_Meal_Pay_Code,"&gt;="&amp;$V$4,pp_Sick_Pay_Code,"&gt;="&amp;$V$5,pp_Diff_Pay_Code,"&gt;="&amp;$V$6),"-")</f>
        <v>-</v>
      </c>
      <c r="J86" s="133">
        <f t="shared" si="16"/>
        <v>0</v>
      </c>
      <c r="K86" s="138" t="e" cm="1">
        <f t="array" ref="K86">_xlfn.LET(_xlpm.calc,COUNTIFS(Rate_Gp,K$11,Pay_Key_Gps,"*"&amp;$A$71&amp;"*",Pay_Code,$A86,pp_Hrs_Wkd_Pay_Code,"&gt;="&amp;$V$1,pp_OT_Pay_Code,"&gt;="&amp;$V$2,pp_Bon_Pay_Code,"&gt;="&amp;$V$3,pp_Meal_Pay_Code,"&gt;="&amp;$V$4,pp_Sick_Pay_Code,"&gt;="&amp;$V$5,pp_Diff_Pay_Code,"&gt;="&amp;$V$6),_xlpm.calc2,COUNTIFS(Pay_Key_Gps,"*"&amp;$A$71&amp;"*",Pay_Code,$A86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86" s="138" t="e" cm="1">
        <f t="array" ref="L86">_xlfn.LET(_xlpm.calc,COUNTIFS(Rate_Gp,L$11,Pay_Key_Gps,"*"&amp;$A$71&amp;"*",Pay_Code,$A86,pp_Hrs_Wkd_Pay_Code,"&gt;="&amp;$V$1,pp_OT_Pay_Code,"&gt;="&amp;$V$2,pp_Bon_Pay_Code,"&gt;="&amp;$V$3,pp_Meal_Pay_Code,"&gt;="&amp;$V$4,pp_Sick_Pay_Code,"&gt;="&amp;$V$5,pp_Diff_Pay_Code,"&gt;="&amp;$V$6),_xlpm.calc2,COUNTIFS(Pay_Key_Gps,"*"&amp;$A$71&amp;"*",Pay_Code,$A86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86" s="138" t="e" cm="1">
        <f t="array" ref="M86">_xlfn.LET(_xlpm.calc,COUNTIFS(Rate_Gp,M$11,Pay_Key_Gps,"*"&amp;$A$71&amp;"*",Pay_Code,$A86,pp_Hrs_Wkd_Pay_Code,"&gt;="&amp;$V$1,pp_OT_Pay_Code,"&gt;="&amp;$V$2,pp_Bon_Pay_Code,"&gt;="&amp;$V$3,pp_Meal_Pay_Code,"&gt;="&amp;$V$4,pp_Sick_Pay_Code,"&gt;="&amp;$V$5,pp_Diff_Pay_Code,"&gt;="&amp;$V$6),_xlpm.calc2,COUNTIFS(Pay_Key_Gps,"*"&amp;$A$71&amp;"*",Pay_Code,$A86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86" s="138" t="e" cm="1">
        <f t="array" ref="N86">_xlfn.LET(_xlpm.calc,COUNTIFS(Rate_Gp,N$11,Pay_Key_Gps,"*"&amp;$A$71&amp;"*",Pay_Code,$A86,pp_Hrs_Wkd_Pay_Code,"&gt;="&amp;$V$1,pp_OT_Pay_Code,"&gt;="&amp;$V$2,pp_Bon_Pay_Code,"&gt;="&amp;$V$3,pp_Meal_Pay_Code,"&gt;="&amp;$V$4,pp_Sick_Pay_Code,"&gt;="&amp;$V$5,pp_Diff_Pay_Code,"&gt;="&amp;$V$6),_xlpm.calc2,COUNTIFS(Pay_Key_Gps,"*"&amp;$A$71&amp;"*",Pay_Code,$A86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86" s="138" t="e" cm="1">
        <f t="array" ref="O86">_xlfn.LET(_xlpm.calc,COUNTIFS(Rate_Gp,O$11,Pay_Key_Gps,"*"&amp;$A$71&amp;"*",Pay_Code,$A86,pp_Hrs_Wkd_Pay_Code,"&gt;="&amp;$V$1,pp_OT_Pay_Code,"&gt;="&amp;$V$2,pp_Bon_Pay_Code,"&gt;="&amp;$V$3,pp_Meal_Pay_Code,"&gt;="&amp;$V$4,pp_Sick_Pay_Code,"&gt;="&amp;$V$5,pp_Diff_Pay_Code,"&gt;="&amp;$V$6),_xlpm.calc2,COUNTIFS(Pay_Key_Gps,"*"&amp;$A$71&amp;"*",Pay_Code,$A86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86" s="138" t="e" cm="1">
        <f t="array" ref="P86">_xlfn.LET(_xlpm.calc,COUNTIFS(Rate_Gp,P$11,Pay_Key_Gps,"*"&amp;$A$71&amp;"*",Pay_Code,$A86,pp_Hrs_Wkd_Pay_Code,"&gt;="&amp;$V$1,pp_OT_Pay_Code,"&gt;="&amp;$V$2,pp_Bon_Pay_Code,"&gt;="&amp;$V$3,pp_Meal_Pay_Code,"&gt;="&amp;$V$4,pp_Sick_Pay_Code,"&gt;="&amp;$V$5,pp_Diff_Pay_Code,"&gt;="&amp;$V$6),_xlpm.calc2,COUNTIFS(Pay_Key_Gps,"*"&amp;$A$71&amp;"*",Pay_Code,$A86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86" s="138" t="e" cm="1">
        <f t="array" ref="Q86">_xlfn.LET(_xlpm.calc,COUNTIFS(Rate_Gp,Q$11,Pay_Key_Gps,"*"&amp;$A$71&amp;"*",Pay_Code,$A86,pp_Hrs_Wkd_Pay_Code,"&gt;="&amp;$V$1,pp_OT_Pay_Code,"&gt;="&amp;$V$2,pp_Bon_Pay_Code,"&gt;="&amp;$V$3,pp_Meal_Pay_Code,"&gt;="&amp;$V$4,pp_Sick_Pay_Code,"&gt;="&amp;$V$5,pp_Diff_Pay_Code,"&gt;="&amp;$V$6),_xlpm.calc2,COUNTIFS(Pay_Key_Gps,"*"&amp;$A$71&amp;"*",Pay_Code,$A86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86" s="138" t="e" cm="1">
        <f t="array" ref="R86">_xlfn.LET(_xlpm.calc,COUNTIFS(Rate_Gp,R$11,Pay_Key_Gps,"*"&amp;$A$71&amp;"*",Pay_Code,$A86,pp_Hrs_Wkd_Pay_Code,"&gt;="&amp;$V$1,pp_OT_Pay_Code,"&gt;="&amp;$V$2,pp_Bon_Pay_Code,"&gt;="&amp;$V$3,pp_Meal_Pay_Code,"&gt;="&amp;$V$4,pp_Sick_Pay_Code,"&gt;="&amp;$V$5,pp_Diff_Pay_Code,"&gt;="&amp;$V$6),_xlpm.calc2,COUNTIFS(Pay_Key_Gps,"*"&amp;$A$71&amp;"*",Pay_Code,$A86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86" s="138" t="e" cm="1">
        <f t="array" ref="S86">_xlfn.LET(_xlpm.calc,COUNTIFS(Rate_Gp,S$11,Pay_Key_Gps,"*"&amp;$A$71&amp;"*",Pay_Code,$A86,pp_Hrs_Wkd_Pay_Code,"&gt;="&amp;$V$1,pp_OT_Pay_Code,"&gt;="&amp;$V$2,pp_Bon_Pay_Code,"&gt;="&amp;$V$3,pp_Meal_Pay_Code,"&gt;="&amp;$V$4,pp_Sick_Pay_Code,"&gt;="&amp;$V$5,pp_Diff_Pay_Code,"&gt;="&amp;$V$6),_xlpm.calc2,COUNTIFS(Pay_Key_Gps,"*"&amp;$A$71&amp;"*",Pay_Code,$A86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86" s="138" t="e" cm="1">
        <f t="array" ref="T86">_xlfn.LET(_xlpm.calc,COUNTIFS(Rate_Gp,T$11,Pay_Key_Gps,"*"&amp;$A$71&amp;"*",Pay_Code,$A86,pp_Hrs_Wkd_Pay_Code,"&gt;="&amp;$V$1,pp_OT_Pay_Code,"&gt;="&amp;$V$2,pp_Bon_Pay_Code,"&gt;="&amp;$V$3,pp_Meal_Pay_Code,"&gt;="&amp;$V$4,pp_Sick_Pay_Code,"&gt;="&amp;$V$5,pp_Diff_Pay_Code,"&gt;="&amp;$V$6),_xlpm.calc2,COUNTIFS(Pay_Key_Gps,"*"&amp;$A$71&amp;"*",Pay_Code,$A86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86" s="139" t="e" cm="1">
        <f t="array" ref="U86">_xlfn.LET(_xlpm.calc,COUNTIFS(Pay_Key_Gps,"*"&amp;$A$71&amp;"*",Pay_Code,$A86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86" s="118"/>
      <c r="W86" s="118"/>
      <c r="X86" s="149"/>
      <c r="Y86" s="149"/>
      <c r="Z86" s="149"/>
      <c r="AA86" s="149"/>
      <c r="AB86" s="140" t="e">
        <f t="shared" si="14"/>
        <v>#NAME?</v>
      </c>
    </row>
    <row r="87" spans="1:28" s="122" customFormat="1" x14ac:dyDescent="0.25">
      <c r="A87" s="133"/>
      <c r="B87" s="134" t="e" cm="1">
        <f t="array" ref="B87">_xlfn.LET(_xlpm.calc,_xlfn.MINIFS(Pay_Period_End,Pay_Key_Gps,"*"&amp;$A$71&amp;"*",Pay_Code,$A87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87" s="134" t="e" cm="1">
        <f t="array" ref="C87">_xlfn.LET(_xlpm.calc,_xlfn.MAXIFS(Pay_Period_End,Pay_Key_Gps,"*"&amp;$A$71&amp;"*",Pay_Code,$A87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87" s="135" t="str" cm="1">
        <f t="array" ref="D87">_xlfn.LET(_xlpm.calc,IFERROR(ROWS(_xlfn.UNIQUE(_xlfn._xlws.FILTER(Pay_ID,(IFERROR(SEARCH($A$71,Pay_Key_Gps),0)&gt;0) * (Pay_Code=$A87) * (pp_Hrs_Wkd_Pay_Code &gt;= $V$1) * (pp_OT_Pay_Code &gt;= $V$2) * (pp_Bon_Pay_Code &gt;= $V$3) * (pp_Meal_Pay_Code &gt;= $V$4) * (pp_Sick_Pay_Code &gt;= $V$5) * (pp_Diff_Pay_Code &gt;= $V$6)))),0),_xlpm.perc,_xlpm.calc/D$100,IFERROR(IF(_xlpm.calc&gt;1000,_xlfn.CONCAT(TEXT(_xlpm.calc,"0,000")," (",TEXT(_xlpm.perc,"0.0%"),")"),_xlfn.CONCAT(_xlpm.calc," (",TEXT(_xlpm.perc,"0.0%"),")")),"-"))</f>
        <v>-</v>
      </c>
      <c r="E87" s="135" t="str" cm="1">
        <f t="array" ref="E87">_xlfn.LET(_xlpm.calc,IFERROR(ROWS(_xlfn.UNIQUE(_xlfn._xlws.FILTER(Pay_ID_Period_End,(IFERROR(SEARCH($A$71,Pay_Key_Gps),0)&gt;0) * (Pay_Code=$A87) * (pp_Hrs_Wkd_Pay_Code &gt;= $V$1) * (pp_OT_Pay_Code &gt;= $V$2) * (pp_Bon_Pay_Code &gt;= $V$3) * (pp_Meal_Pay_Code &gt;= $V$4) * (pp_Sick_Pay_Code &gt;= $V$5) * (pp_Diff_Pay_Code &gt;= $V$6)))),0),_xlpm.perc,_xlpm.calc/E$100,IFERROR(IF(_xlpm.calc&gt;1000,_xlfn.CONCAT(TEXT(_xlpm.calc,"0,000")," (",TEXT(_xlpm.perc,"0.0%"),")"),_xlfn.CONCAT(_xlpm.calc," (",TEXT(_xlpm.perc,"0.0%"),")")),"-"))</f>
        <v>-</v>
      </c>
      <c r="F87" s="136" t="e">
        <f t="shared" si="12"/>
        <v>#NAME?</v>
      </c>
      <c r="G87" s="137" t="e">
        <f t="shared" si="13"/>
        <v>#NAME?</v>
      </c>
      <c r="H87" s="137" t="str" cm="1">
        <f t="array" ref="H87">IFERROR(AVERAGEIFS(Pay_Amount,Pay_Key_Gps,"*"&amp;$A$71&amp;"*",Pay_Code,$A87,pp_Hrs_Wkd_Pay_Code,"&gt;="&amp;$V$1,pp_OT_Pay_Code,"&gt;="&amp;$V$2,pp_Bon_Pay_Code,"&gt;="&amp;$V$3,pp_Meal_Pay_Code,"&gt;="&amp;$V$4,pp_Sick_Pay_Code,"&gt;="&amp;$V$5,pp_Diff_Pay_Code,"&gt;="&amp;$V$6),"-")</f>
        <v>-</v>
      </c>
      <c r="J87" s="133">
        <f t="shared" si="16"/>
        <v>0</v>
      </c>
      <c r="K87" s="138" t="e" cm="1">
        <f t="array" ref="K87">_xlfn.LET(_xlpm.calc,COUNTIFS(Rate_Gp,K$11,Pay_Key_Gps,"*"&amp;$A$71&amp;"*",Pay_Code,$A87,pp_Hrs_Wkd_Pay_Code,"&gt;="&amp;$V$1,pp_OT_Pay_Code,"&gt;="&amp;$V$2,pp_Bon_Pay_Code,"&gt;="&amp;$V$3,pp_Meal_Pay_Code,"&gt;="&amp;$V$4,pp_Sick_Pay_Code,"&gt;="&amp;$V$5,pp_Diff_Pay_Code,"&gt;="&amp;$V$6),_xlpm.calc2,COUNTIFS(Pay_Key_Gps,"*"&amp;$A$71&amp;"*",Pay_Code,$A87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87" s="138" t="e" cm="1">
        <f t="array" ref="L87">_xlfn.LET(_xlpm.calc,COUNTIFS(Rate_Gp,L$11,Pay_Key_Gps,"*"&amp;$A$71&amp;"*",Pay_Code,$A87,pp_Hrs_Wkd_Pay_Code,"&gt;="&amp;$V$1,pp_OT_Pay_Code,"&gt;="&amp;$V$2,pp_Bon_Pay_Code,"&gt;="&amp;$V$3,pp_Meal_Pay_Code,"&gt;="&amp;$V$4,pp_Sick_Pay_Code,"&gt;="&amp;$V$5,pp_Diff_Pay_Code,"&gt;="&amp;$V$6),_xlpm.calc2,COUNTIFS(Pay_Key_Gps,"*"&amp;$A$71&amp;"*",Pay_Code,$A87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87" s="138" t="e" cm="1">
        <f t="array" ref="M87">_xlfn.LET(_xlpm.calc,COUNTIFS(Rate_Gp,M$11,Pay_Key_Gps,"*"&amp;$A$71&amp;"*",Pay_Code,$A87,pp_Hrs_Wkd_Pay_Code,"&gt;="&amp;$V$1,pp_OT_Pay_Code,"&gt;="&amp;$V$2,pp_Bon_Pay_Code,"&gt;="&amp;$V$3,pp_Meal_Pay_Code,"&gt;="&amp;$V$4,pp_Sick_Pay_Code,"&gt;="&amp;$V$5,pp_Diff_Pay_Code,"&gt;="&amp;$V$6),_xlpm.calc2,COUNTIFS(Pay_Key_Gps,"*"&amp;$A$71&amp;"*",Pay_Code,$A87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87" s="138" t="e" cm="1">
        <f t="array" ref="N87">_xlfn.LET(_xlpm.calc,COUNTIFS(Rate_Gp,N$11,Pay_Key_Gps,"*"&amp;$A$71&amp;"*",Pay_Code,$A87,pp_Hrs_Wkd_Pay_Code,"&gt;="&amp;$V$1,pp_OT_Pay_Code,"&gt;="&amp;$V$2,pp_Bon_Pay_Code,"&gt;="&amp;$V$3,pp_Meal_Pay_Code,"&gt;="&amp;$V$4,pp_Sick_Pay_Code,"&gt;="&amp;$V$5,pp_Diff_Pay_Code,"&gt;="&amp;$V$6),_xlpm.calc2,COUNTIFS(Pay_Key_Gps,"*"&amp;$A$71&amp;"*",Pay_Code,$A87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87" s="138" t="e" cm="1">
        <f t="array" ref="O87">_xlfn.LET(_xlpm.calc,COUNTIFS(Rate_Gp,O$11,Pay_Key_Gps,"*"&amp;$A$71&amp;"*",Pay_Code,$A87,pp_Hrs_Wkd_Pay_Code,"&gt;="&amp;$V$1,pp_OT_Pay_Code,"&gt;="&amp;$V$2,pp_Bon_Pay_Code,"&gt;="&amp;$V$3,pp_Meal_Pay_Code,"&gt;="&amp;$V$4,pp_Sick_Pay_Code,"&gt;="&amp;$V$5,pp_Diff_Pay_Code,"&gt;="&amp;$V$6),_xlpm.calc2,COUNTIFS(Pay_Key_Gps,"*"&amp;$A$71&amp;"*",Pay_Code,$A87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87" s="138" t="e" cm="1">
        <f t="array" ref="P87">_xlfn.LET(_xlpm.calc,COUNTIFS(Rate_Gp,P$11,Pay_Key_Gps,"*"&amp;$A$71&amp;"*",Pay_Code,$A87,pp_Hrs_Wkd_Pay_Code,"&gt;="&amp;$V$1,pp_OT_Pay_Code,"&gt;="&amp;$V$2,pp_Bon_Pay_Code,"&gt;="&amp;$V$3,pp_Meal_Pay_Code,"&gt;="&amp;$V$4,pp_Sick_Pay_Code,"&gt;="&amp;$V$5,pp_Diff_Pay_Code,"&gt;="&amp;$V$6),_xlpm.calc2,COUNTIFS(Pay_Key_Gps,"*"&amp;$A$71&amp;"*",Pay_Code,$A87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87" s="138" t="e" cm="1">
        <f t="array" ref="Q87">_xlfn.LET(_xlpm.calc,COUNTIFS(Rate_Gp,Q$11,Pay_Key_Gps,"*"&amp;$A$71&amp;"*",Pay_Code,$A87,pp_Hrs_Wkd_Pay_Code,"&gt;="&amp;$V$1,pp_OT_Pay_Code,"&gt;="&amp;$V$2,pp_Bon_Pay_Code,"&gt;="&amp;$V$3,pp_Meal_Pay_Code,"&gt;="&amp;$V$4,pp_Sick_Pay_Code,"&gt;="&amp;$V$5,pp_Diff_Pay_Code,"&gt;="&amp;$V$6),_xlpm.calc2,COUNTIFS(Pay_Key_Gps,"*"&amp;$A$71&amp;"*",Pay_Code,$A87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87" s="138" t="e" cm="1">
        <f t="array" ref="R87">_xlfn.LET(_xlpm.calc,COUNTIFS(Rate_Gp,R$11,Pay_Key_Gps,"*"&amp;$A$71&amp;"*",Pay_Code,$A87,pp_Hrs_Wkd_Pay_Code,"&gt;="&amp;$V$1,pp_OT_Pay_Code,"&gt;="&amp;$V$2,pp_Bon_Pay_Code,"&gt;="&amp;$V$3,pp_Meal_Pay_Code,"&gt;="&amp;$V$4,pp_Sick_Pay_Code,"&gt;="&amp;$V$5,pp_Diff_Pay_Code,"&gt;="&amp;$V$6),_xlpm.calc2,COUNTIFS(Pay_Key_Gps,"*"&amp;$A$71&amp;"*",Pay_Code,$A87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87" s="138" t="e" cm="1">
        <f t="array" ref="S87">_xlfn.LET(_xlpm.calc,COUNTIFS(Rate_Gp,S$11,Pay_Key_Gps,"*"&amp;$A$71&amp;"*",Pay_Code,$A87,pp_Hrs_Wkd_Pay_Code,"&gt;="&amp;$V$1,pp_OT_Pay_Code,"&gt;="&amp;$V$2,pp_Bon_Pay_Code,"&gt;="&amp;$V$3,pp_Meal_Pay_Code,"&gt;="&amp;$V$4,pp_Sick_Pay_Code,"&gt;="&amp;$V$5,pp_Diff_Pay_Code,"&gt;="&amp;$V$6),_xlpm.calc2,COUNTIFS(Pay_Key_Gps,"*"&amp;$A$71&amp;"*",Pay_Code,$A87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87" s="138" t="e" cm="1">
        <f t="array" ref="T87">_xlfn.LET(_xlpm.calc,COUNTIFS(Rate_Gp,T$11,Pay_Key_Gps,"*"&amp;$A$71&amp;"*",Pay_Code,$A87,pp_Hrs_Wkd_Pay_Code,"&gt;="&amp;$V$1,pp_OT_Pay_Code,"&gt;="&amp;$V$2,pp_Bon_Pay_Code,"&gt;="&amp;$V$3,pp_Meal_Pay_Code,"&gt;="&amp;$V$4,pp_Sick_Pay_Code,"&gt;="&amp;$V$5,pp_Diff_Pay_Code,"&gt;="&amp;$V$6),_xlpm.calc2,COUNTIFS(Pay_Key_Gps,"*"&amp;$A$71&amp;"*",Pay_Code,$A87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87" s="139" t="e" cm="1">
        <f t="array" ref="U87">_xlfn.LET(_xlpm.calc,COUNTIFS(Pay_Key_Gps,"*"&amp;$A$71&amp;"*",Pay_Code,$A87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87" s="118"/>
      <c r="W87" s="118"/>
      <c r="X87" s="149"/>
      <c r="Y87" s="149"/>
      <c r="Z87" s="149"/>
      <c r="AA87" s="149"/>
      <c r="AB87" s="140" t="e">
        <f t="shared" si="14"/>
        <v>#NAME?</v>
      </c>
    </row>
    <row r="88" spans="1:28" s="123" customFormat="1" x14ac:dyDescent="0.25">
      <c r="A88" s="133"/>
      <c r="B88" s="134" t="e" cm="1">
        <f t="array" ref="B88">_xlfn.LET(_xlpm.calc,_xlfn.MINIFS(Pay_Period_End,Pay_Key_Gps,"*"&amp;$A$71&amp;"*",Pay_Code,$A88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88" s="134" t="e" cm="1">
        <f t="array" ref="C88">_xlfn.LET(_xlpm.calc,_xlfn.MAXIFS(Pay_Period_End,Pay_Key_Gps,"*"&amp;$A$71&amp;"*",Pay_Code,$A88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88" s="135" t="str" cm="1">
        <f t="array" ref="D88">_xlfn.LET(_xlpm.calc,IFERROR(ROWS(_xlfn.UNIQUE(_xlfn._xlws.FILTER(Pay_ID,(IFERROR(SEARCH($A$71,Pay_Key_Gps),0)&gt;0) * (Pay_Code=$A88) * (pp_Hrs_Wkd_Pay_Code &gt;= $V$1) * (pp_OT_Pay_Code &gt;= $V$2) * (pp_Bon_Pay_Code &gt;= $V$3) * (pp_Meal_Pay_Code &gt;= $V$4) * (pp_Sick_Pay_Code &gt;= $V$5) * (pp_Diff_Pay_Code &gt;= $V$6)))),0),_xlpm.perc,_xlpm.calc/D$100,IFERROR(IF(_xlpm.calc&gt;1000,_xlfn.CONCAT(TEXT(_xlpm.calc,"0,000")," (",TEXT(_xlpm.perc,"0.0%"),")"),_xlfn.CONCAT(_xlpm.calc," (",TEXT(_xlpm.perc,"0.0%"),")")),"-"))</f>
        <v>-</v>
      </c>
      <c r="E88" s="135" t="str" cm="1">
        <f t="array" ref="E88">_xlfn.LET(_xlpm.calc,IFERROR(ROWS(_xlfn.UNIQUE(_xlfn._xlws.FILTER(Pay_ID_Period_End,(IFERROR(SEARCH($A$71,Pay_Key_Gps),0)&gt;0) * (Pay_Code=$A88) * (pp_Hrs_Wkd_Pay_Code &gt;= $V$1) * (pp_OT_Pay_Code &gt;= $V$2) * (pp_Bon_Pay_Code &gt;= $V$3) * (pp_Meal_Pay_Code &gt;= $V$4) * (pp_Sick_Pay_Code &gt;= $V$5) * (pp_Diff_Pay_Code &gt;= $V$6)))),0),_xlpm.perc,_xlpm.calc/E$100,IFERROR(IF(_xlpm.calc&gt;1000,_xlfn.CONCAT(TEXT(_xlpm.calc,"0,000")," (",TEXT(_xlpm.perc,"0.0%"),")"),_xlfn.CONCAT(_xlpm.calc," (",TEXT(_xlpm.perc,"0.0%"),")")),"-"))</f>
        <v>-</v>
      </c>
      <c r="F88" s="136" t="e">
        <f t="shared" si="12"/>
        <v>#NAME?</v>
      </c>
      <c r="G88" s="137" t="e">
        <f t="shared" si="13"/>
        <v>#NAME?</v>
      </c>
      <c r="H88" s="137" t="str" cm="1">
        <f t="array" ref="H88">IFERROR(AVERAGEIFS(Pay_Amount,Pay_Key_Gps,"*"&amp;$A$71&amp;"*",Pay_Code,$A88,pp_Hrs_Wkd_Pay_Code,"&gt;="&amp;$V$1,pp_OT_Pay_Code,"&gt;="&amp;$V$2,pp_Bon_Pay_Code,"&gt;="&amp;$V$3,pp_Meal_Pay_Code,"&gt;="&amp;$V$4,pp_Sick_Pay_Code,"&gt;="&amp;$V$5,pp_Diff_Pay_Code,"&gt;="&amp;$V$6),"-")</f>
        <v>-</v>
      </c>
      <c r="I88" s="122"/>
      <c r="J88" s="133">
        <f t="shared" ref="J88:J93" si="17">A88</f>
        <v>0</v>
      </c>
      <c r="K88" s="138" t="e" cm="1">
        <f t="array" ref="K88">_xlfn.LET(_xlpm.calc,COUNTIFS(Rate_Gp,K$11,Pay_Key_Gps,"*"&amp;$A$71&amp;"*",Pay_Code,$A88,pp_Hrs_Wkd_Pay_Code,"&gt;="&amp;$V$1,pp_OT_Pay_Code,"&gt;="&amp;$V$2,pp_Bon_Pay_Code,"&gt;="&amp;$V$3,pp_Meal_Pay_Code,"&gt;="&amp;$V$4,pp_Sick_Pay_Code,"&gt;="&amp;$V$5,pp_Diff_Pay_Code,"&gt;="&amp;$V$6),_xlpm.calc2,COUNTIFS(Pay_Key_Gps,"*"&amp;$A$71&amp;"*",Pay_Code,$A88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88" s="138" t="e" cm="1">
        <f t="array" ref="L88">_xlfn.LET(_xlpm.calc,COUNTIFS(Rate_Gp,L$11,Pay_Key_Gps,"*"&amp;$A$71&amp;"*",Pay_Code,$A88,pp_Hrs_Wkd_Pay_Code,"&gt;="&amp;$V$1,pp_OT_Pay_Code,"&gt;="&amp;$V$2,pp_Bon_Pay_Code,"&gt;="&amp;$V$3,pp_Meal_Pay_Code,"&gt;="&amp;$V$4,pp_Sick_Pay_Code,"&gt;="&amp;$V$5,pp_Diff_Pay_Code,"&gt;="&amp;$V$6),_xlpm.calc2,COUNTIFS(Pay_Key_Gps,"*"&amp;$A$71&amp;"*",Pay_Code,$A88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88" s="138" t="e" cm="1">
        <f t="array" ref="M88">_xlfn.LET(_xlpm.calc,COUNTIFS(Rate_Gp,M$11,Pay_Key_Gps,"*"&amp;$A$71&amp;"*",Pay_Code,$A88,pp_Hrs_Wkd_Pay_Code,"&gt;="&amp;$V$1,pp_OT_Pay_Code,"&gt;="&amp;$V$2,pp_Bon_Pay_Code,"&gt;="&amp;$V$3,pp_Meal_Pay_Code,"&gt;="&amp;$V$4,pp_Sick_Pay_Code,"&gt;="&amp;$V$5,pp_Diff_Pay_Code,"&gt;="&amp;$V$6),_xlpm.calc2,COUNTIFS(Pay_Key_Gps,"*"&amp;$A$71&amp;"*",Pay_Code,$A88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88" s="138" t="e" cm="1">
        <f t="array" ref="N88">_xlfn.LET(_xlpm.calc,COUNTIFS(Rate_Gp,N$11,Pay_Key_Gps,"*"&amp;$A$71&amp;"*",Pay_Code,$A88,pp_Hrs_Wkd_Pay_Code,"&gt;="&amp;$V$1,pp_OT_Pay_Code,"&gt;="&amp;$V$2,pp_Bon_Pay_Code,"&gt;="&amp;$V$3,pp_Meal_Pay_Code,"&gt;="&amp;$V$4,pp_Sick_Pay_Code,"&gt;="&amp;$V$5,pp_Diff_Pay_Code,"&gt;="&amp;$V$6),_xlpm.calc2,COUNTIFS(Pay_Key_Gps,"*"&amp;$A$71&amp;"*",Pay_Code,$A88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88" s="138" t="e" cm="1">
        <f t="array" ref="O88">_xlfn.LET(_xlpm.calc,COUNTIFS(Rate_Gp,O$11,Pay_Key_Gps,"*"&amp;$A$71&amp;"*",Pay_Code,$A88,pp_Hrs_Wkd_Pay_Code,"&gt;="&amp;$V$1,pp_OT_Pay_Code,"&gt;="&amp;$V$2,pp_Bon_Pay_Code,"&gt;="&amp;$V$3,pp_Meal_Pay_Code,"&gt;="&amp;$V$4,pp_Sick_Pay_Code,"&gt;="&amp;$V$5,pp_Diff_Pay_Code,"&gt;="&amp;$V$6),_xlpm.calc2,COUNTIFS(Pay_Key_Gps,"*"&amp;$A$71&amp;"*",Pay_Code,$A88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88" s="138" t="e" cm="1">
        <f t="array" ref="P88">_xlfn.LET(_xlpm.calc,COUNTIFS(Rate_Gp,P$11,Pay_Key_Gps,"*"&amp;$A$71&amp;"*",Pay_Code,$A88,pp_Hrs_Wkd_Pay_Code,"&gt;="&amp;$V$1,pp_OT_Pay_Code,"&gt;="&amp;$V$2,pp_Bon_Pay_Code,"&gt;="&amp;$V$3,pp_Meal_Pay_Code,"&gt;="&amp;$V$4,pp_Sick_Pay_Code,"&gt;="&amp;$V$5,pp_Diff_Pay_Code,"&gt;="&amp;$V$6),_xlpm.calc2,COUNTIFS(Pay_Key_Gps,"*"&amp;$A$71&amp;"*",Pay_Code,$A88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88" s="138" t="e" cm="1">
        <f t="array" ref="Q88">_xlfn.LET(_xlpm.calc,COUNTIFS(Rate_Gp,Q$11,Pay_Key_Gps,"*"&amp;$A$71&amp;"*",Pay_Code,$A88,pp_Hrs_Wkd_Pay_Code,"&gt;="&amp;$V$1,pp_OT_Pay_Code,"&gt;="&amp;$V$2,pp_Bon_Pay_Code,"&gt;="&amp;$V$3,pp_Meal_Pay_Code,"&gt;="&amp;$V$4,pp_Sick_Pay_Code,"&gt;="&amp;$V$5,pp_Diff_Pay_Code,"&gt;="&amp;$V$6),_xlpm.calc2,COUNTIFS(Pay_Key_Gps,"*"&amp;$A$71&amp;"*",Pay_Code,$A88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88" s="138" t="e" cm="1">
        <f t="array" ref="R88">_xlfn.LET(_xlpm.calc,COUNTIFS(Rate_Gp,R$11,Pay_Key_Gps,"*"&amp;$A$71&amp;"*",Pay_Code,$A88,pp_Hrs_Wkd_Pay_Code,"&gt;="&amp;$V$1,pp_OT_Pay_Code,"&gt;="&amp;$V$2,pp_Bon_Pay_Code,"&gt;="&amp;$V$3,pp_Meal_Pay_Code,"&gt;="&amp;$V$4,pp_Sick_Pay_Code,"&gt;="&amp;$V$5,pp_Diff_Pay_Code,"&gt;="&amp;$V$6),_xlpm.calc2,COUNTIFS(Pay_Key_Gps,"*"&amp;$A$71&amp;"*",Pay_Code,$A88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88" s="138" t="e" cm="1">
        <f t="array" ref="S88">_xlfn.LET(_xlpm.calc,COUNTIFS(Rate_Gp,S$11,Pay_Key_Gps,"*"&amp;$A$71&amp;"*",Pay_Code,$A88,pp_Hrs_Wkd_Pay_Code,"&gt;="&amp;$V$1,pp_OT_Pay_Code,"&gt;="&amp;$V$2,pp_Bon_Pay_Code,"&gt;="&amp;$V$3,pp_Meal_Pay_Code,"&gt;="&amp;$V$4,pp_Sick_Pay_Code,"&gt;="&amp;$V$5,pp_Diff_Pay_Code,"&gt;="&amp;$V$6),_xlpm.calc2,COUNTIFS(Pay_Key_Gps,"*"&amp;$A$71&amp;"*",Pay_Code,$A88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88" s="138" t="e" cm="1">
        <f t="array" ref="T88">_xlfn.LET(_xlpm.calc,COUNTIFS(Rate_Gp,T$11,Pay_Key_Gps,"*"&amp;$A$71&amp;"*",Pay_Code,$A88,pp_Hrs_Wkd_Pay_Code,"&gt;="&amp;$V$1,pp_OT_Pay_Code,"&gt;="&amp;$V$2,pp_Bon_Pay_Code,"&gt;="&amp;$V$3,pp_Meal_Pay_Code,"&gt;="&amp;$V$4,pp_Sick_Pay_Code,"&gt;="&amp;$V$5,pp_Diff_Pay_Code,"&gt;="&amp;$V$6),_xlpm.calc2,COUNTIFS(Pay_Key_Gps,"*"&amp;$A$71&amp;"*",Pay_Code,$A88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88" s="139" t="e" cm="1">
        <f t="array" ref="U88">_xlfn.LET(_xlpm.calc,COUNTIFS(Pay_Key_Gps,"*"&amp;$A$71&amp;"*",Pay_Code,$A88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88" s="118"/>
      <c r="W88" s="121"/>
      <c r="X88" s="149"/>
      <c r="Y88" s="149"/>
      <c r="Z88" s="149"/>
      <c r="AA88" s="149"/>
      <c r="AB88" s="140" t="e">
        <f t="shared" si="14"/>
        <v>#NAME?</v>
      </c>
    </row>
    <row r="89" spans="1:28" s="122" customFormat="1" x14ac:dyDescent="0.25">
      <c r="A89" s="133"/>
      <c r="B89" s="134" t="e" cm="1">
        <f t="array" ref="B89">_xlfn.LET(_xlpm.calc,_xlfn.MINIFS(Pay_Period_End,Pay_Key_Gps,"*"&amp;$A$71&amp;"*",Pay_Code,$A89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89" s="134" t="e" cm="1">
        <f t="array" ref="C89">_xlfn.LET(_xlpm.calc,_xlfn.MAXIFS(Pay_Period_End,Pay_Key_Gps,"*"&amp;$A$71&amp;"*",Pay_Code,$A89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89" s="135" t="str" cm="1">
        <f t="array" ref="D89">_xlfn.LET(_xlpm.calc,IFERROR(ROWS(_xlfn.UNIQUE(_xlfn._xlws.FILTER(Pay_ID,(IFERROR(SEARCH($A$71,Pay_Key_Gps),0)&gt;0) * (Pay_Code=$A89) * (pp_Hrs_Wkd_Pay_Code &gt;= $V$1) * (pp_OT_Pay_Code &gt;= $V$2) * (pp_Bon_Pay_Code &gt;= $V$3) * (pp_Meal_Pay_Code &gt;= $V$4) * (pp_Sick_Pay_Code &gt;= $V$5) * (pp_Diff_Pay_Code &gt;= $V$6)))),0),_xlpm.perc,_xlpm.calc/D$100,IFERROR(IF(_xlpm.calc&gt;1000,_xlfn.CONCAT(TEXT(_xlpm.calc,"0,000")," (",TEXT(_xlpm.perc,"0.0%"),")"),_xlfn.CONCAT(_xlpm.calc," (",TEXT(_xlpm.perc,"0.0%"),")")),"-"))</f>
        <v>-</v>
      </c>
      <c r="E89" s="135" t="str" cm="1">
        <f t="array" ref="E89">_xlfn.LET(_xlpm.calc,IFERROR(ROWS(_xlfn.UNIQUE(_xlfn._xlws.FILTER(Pay_ID_Period_End,(IFERROR(SEARCH($A$71,Pay_Key_Gps),0)&gt;0) * (Pay_Code=$A89) * (pp_Hrs_Wkd_Pay_Code &gt;= $V$1) * (pp_OT_Pay_Code &gt;= $V$2) * (pp_Bon_Pay_Code &gt;= $V$3) * (pp_Meal_Pay_Code &gt;= $V$4) * (pp_Sick_Pay_Code &gt;= $V$5) * (pp_Diff_Pay_Code &gt;= $V$6)))),0),_xlpm.perc,_xlpm.calc/E$100,IFERROR(IF(_xlpm.calc&gt;1000,_xlfn.CONCAT(TEXT(_xlpm.calc,"0,000")," (",TEXT(_xlpm.perc,"0.0%"),")"),_xlfn.CONCAT(_xlpm.calc," (",TEXT(_xlpm.perc,"0.0%"),")")),"-"))</f>
        <v>-</v>
      </c>
      <c r="F89" s="136" t="e">
        <f t="shared" si="12"/>
        <v>#NAME?</v>
      </c>
      <c r="G89" s="137" t="e">
        <f t="shared" si="13"/>
        <v>#NAME?</v>
      </c>
      <c r="H89" s="137" t="str" cm="1">
        <f t="array" ref="H89">IFERROR(AVERAGEIFS(Pay_Amount,Pay_Key_Gps,"*"&amp;$A$71&amp;"*",Pay_Code,$A89,pp_Hrs_Wkd_Pay_Code,"&gt;="&amp;$V$1,pp_OT_Pay_Code,"&gt;="&amp;$V$2,pp_Bon_Pay_Code,"&gt;="&amp;$V$3,pp_Meal_Pay_Code,"&gt;="&amp;$V$4,pp_Sick_Pay_Code,"&gt;="&amp;$V$5,pp_Diff_Pay_Code,"&gt;="&amp;$V$6),"-")</f>
        <v>-</v>
      </c>
      <c r="J89" s="133">
        <f t="shared" si="17"/>
        <v>0</v>
      </c>
      <c r="K89" s="138" t="e" cm="1">
        <f t="array" ref="K89">_xlfn.LET(_xlpm.calc,COUNTIFS(Rate_Gp,K$11,Pay_Key_Gps,"*"&amp;$A$71&amp;"*",Pay_Code,$A89,pp_Hrs_Wkd_Pay_Code,"&gt;="&amp;$V$1,pp_OT_Pay_Code,"&gt;="&amp;$V$2,pp_Bon_Pay_Code,"&gt;="&amp;$V$3,pp_Meal_Pay_Code,"&gt;="&amp;$V$4,pp_Sick_Pay_Code,"&gt;="&amp;$V$5,pp_Diff_Pay_Code,"&gt;="&amp;$V$6),_xlpm.calc2,COUNTIFS(Pay_Key_Gps,"*"&amp;$A$71&amp;"*",Pay_Code,$A89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89" s="138" t="e" cm="1">
        <f t="array" ref="L89">_xlfn.LET(_xlpm.calc,COUNTIFS(Rate_Gp,L$11,Pay_Key_Gps,"*"&amp;$A$71&amp;"*",Pay_Code,$A89,pp_Hrs_Wkd_Pay_Code,"&gt;="&amp;$V$1,pp_OT_Pay_Code,"&gt;="&amp;$V$2,pp_Bon_Pay_Code,"&gt;="&amp;$V$3,pp_Meal_Pay_Code,"&gt;="&amp;$V$4,pp_Sick_Pay_Code,"&gt;="&amp;$V$5,pp_Diff_Pay_Code,"&gt;="&amp;$V$6),_xlpm.calc2,COUNTIFS(Pay_Key_Gps,"*"&amp;$A$71&amp;"*",Pay_Code,$A89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89" s="138" t="e" cm="1">
        <f t="array" ref="M89">_xlfn.LET(_xlpm.calc,COUNTIFS(Rate_Gp,M$11,Pay_Key_Gps,"*"&amp;$A$71&amp;"*",Pay_Code,$A89,pp_Hrs_Wkd_Pay_Code,"&gt;="&amp;$V$1,pp_OT_Pay_Code,"&gt;="&amp;$V$2,pp_Bon_Pay_Code,"&gt;="&amp;$V$3,pp_Meal_Pay_Code,"&gt;="&amp;$V$4,pp_Sick_Pay_Code,"&gt;="&amp;$V$5,pp_Diff_Pay_Code,"&gt;="&amp;$V$6),_xlpm.calc2,COUNTIFS(Pay_Key_Gps,"*"&amp;$A$71&amp;"*",Pay_Code,$A89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89" s="138" t="e" cm="1">
        <f t="array" ref="N89">_xlfn.LET(_xlpm.calc,COUNTIFS(Rate_Gp,N$11,Pay_Key_Gps,"*"&amp;$A$71&amp;"*",Pay_Code,$A89,pp_Hrs_Wkd_Pay_Code,"&gt;="&amp;$V$1,pp_OT_Pay_Code,"&gt;="&amp;$V$2,pp_Bon_Pay_Code,"&gt;="&amp;$V$3,pp_Meal_Pay_Code,"&gt;="&amp;$V$4,pp_Sick_Pay_Code,"&gt;="&amp;$V$5,pp_Diff_Pay_Code,"&gt;="&amp;$V$6),_xlpm.calc2,COUNTIFS(Pay_Key_Gps,"*"&amp;$A$71&amp;"*",Pay_Code,$A89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89" s="138" t="e" cm="1">
        <f t="array" ref="O89">_xlfn.LET(_xlpm.calc,COUNTIFS(Rate_Gp,O$11,Pay_Key_Gps,"*"&amp;$A$71&amp;"*",Pay_Code,$A89,pp_Hrs_Wkd_Pay_Code,"&gt;="&amp;$V$1,pp_OT_Pay_Code,"&gt;="&amp;$V$2,pp_Bon_Pay_Code,"&gt;="&amp;$V$3,pp_Meal_Pay_Code,"&gt;="&amp;$V$4,pp_Sick_Pay_Code,"&gt;="&amp;$V$5,pp_Diff_Pay_Code,"&gt;="&amp;$V$6),_xlpm.calc2,COUNTIFS(Pay_Key_Gps,"*"&amp;$A$71&amp;"*",Pay_Code,$A89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89" s="138" t="e" cm="1">
        <f t="array" ref="P89">_xlfn.LET(_xlpm.calc,COUNTIFS(Rate_Gp,P$11,Pay_Key_Gps,"*"&amp;$A$71&amp;"*",Pay_Code,$A89,pp_Hrs_Wkd_Pay_Code,"&gt;="&amp;$V$1,pp_OT_Pay_Code,"&gt;="&amp;$V$2,pp_Bon_Pay_Code,"&gt;="&amp;$V$3,pp_Meal_Pay_Code,"&gt;="&amp;$V$4,pp_Sick_Pay_Code,"&gt;="&amp;$V$5,pp_Diff_Pay_Code,"&gt;="&amp;$V$6),_xlpm.calc2,COUNTIFS(Pay_Key_Gps,"*"&amp;$A$71&amp;"*",Pay_Code,$A89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89" s="138" t="e" cm="1">
        <f t="array" ref="Q89">_xlfn.LET(_xlpm.calc,COUNTIFS(Rate_Gp,Q$11,Pay_Key_Gps,"*"&amp;$A$71&amp;"*",Pay_Code,$A89,pp_Hrs_Wkd_Pay_Code,"&gt;="&amp;$V$1,pp_OT_Pay_Code,"&gt;="&amp;$V$2,pp_Bon_Pay_Code,"&gt;="&amp;$V$3,pp_Meal_Pay_Code,"&gt;="&amp;$V$4,pp_Sick_Pay_Code,"&gt;="&amp;$V$5,pp_Diff_Pay_Code,"&gt;="&amp;$V$6),_xlpm.calc2,COUNTIFS(Pay_Key_Gps,"*"&amp;$A$71&amp;"*",Pay_Code,$A89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89" s="138" t="e" cm="1">
        <f t="array" ref="R89">_xlfn.LET(_xlpm.calc,COUNTIFS(Rate_Gp,R$11,Pay_Key_Gps,"*"&amp;$A$71&amp;"*",Pay_Code,$A89,pp_Hrs_Wkd_Pay_Code,"&gt;="&amp;$V$1,pp_OT_Pay_Code,"&gt;="&amp;$V$2,pp_Bon_Pay_Code,"&gt;="&amp;$V$3,pp_Meal_Pay_Code,"&gt;="&amp;$V$4,pp_Sick_Pay_Code,"&gt;="&amp;$V$5,pp_Diff_Pay_Code,"&gt;="&amp;$V$6),_xlpm.calc2,COUNTIFS(Pay_Key_Gps,"*"&amp;$A$71&amp;"*",Pay_Code,$A89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89" s="138" t="e" cm="1">
        <f t="array" ref="S89">_xlfn.LET(_xlpm.calc,COUNTIFS(Rate_Gp,S$11,Pay_Key_Gps,"*"&amp;$A$71&amp;"*",Pay_Code,$A89,pp_Hrs_Wkd_Pay_Code,"&gt;="&amp;$V$1,pp_OT_Pay_Code,"&gt;="&amp;$V$2,pp_Bon_Pay_Code,"&gt;="&amp;$V$3,pp_Meal_Pay_Code,"&gt;="&amp;$V$4,pp_Sick_Pay_Code,"&gt;="&amp;$V$5,pp_Diff_Pay_Code,"&gt;="&amp;$V$6),_xlpm.calc2,COUNTIFS(Pay_Key_Gps,"*"&amp;$A$71&amp;"*",Pay_Code,$A89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89" s="138" t="e" cm="1">
        <f t="array" ref="T89">_xlfn.LET(_xlpm.calc,COUNTIFS(Rate_Gp,T$11,Pay_Key_Gps,"*"&amp;$A$71&amp;"*",Pay_Code,$A89,pp_Hrs_Wkd_Pay_Code,"&gt;="&amp;$V$1,pp_OT_Pay_Code,"&gt;="&amp;$V$2,pp_Bon_Pay_Code,"&gt;="&amp;$V$3,pp_Meal_Pay_Code,"&gt;="&amp;$V$4,pp_Sick_Pay_Code,"&gt;="&amp;$V$5,pp_Diff_Pay_Code,"&gt;="&amp;$V$6),_xlpm.calc2,COUNTIFS(Pay_Key_Gps,"*"&amp;$A$71&amp;"*",Pay_Code,$A89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89" s="139" t="e" cm="1">
        <f t="array" ref="U89">_xlfn.LET(_xlpm.calc,COUNTIFS(Pay_Key_Gps,"*"&amp;$A$71&amp;"*",Pay_Code,$A89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89" s="118"/>
      <c r="W89" s="118"/>
      <c r="X89" s="149"/>
      <c r="Y89" s="149"/>
      <c r="Z89" s="149"/>
      <c r="AA89" s="149"/>
      <c r="AB89" s="140" t="e">
        <f t="shared" si="14"/>
        <v>#NAME?</v>
      </c>
    </row>
    <row r="90" spans="1:28" s="122" customFormat="1" x14ac:dyDescent="0.25">
      <c r="A90" s="133"/>
      <c r="B90" s="134" t="e" cm="1">
        <f t="array" ref="B90">_xlfn.LET(_xlpm.calc,_xlfn.MINIFS(Pay_Period_End,Pay_Key_Gps,"*"&amp;$A$71&amp;"*",Pay_Code,$A90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90" s="134" t="e" cm="1">
        <f t="array" ref="C90">_xlfn.LET(_xlpm.calc,_xlfn.MAXIFS(Pay_Period_End,Pay_Key_Gps,"*"&amp;$A$71&amp;"*",Pay_Code,$A90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90" s="135" t="str" cm="1">
        <f t="array" ref="D90">_xlfn.LET(_xlpm.calc,IFERROR(ROWS(_xlfn.UNIQUE(_xlfn._xlws.FILTER(Pay_ID,(IFERROR(SEARCH($A$71,Pay_Key_Gps),0)&gt;0) * (Pay_Code=$A90) * (pp_Hrs_Wkd_Pay_Code &gt;= $V$1) * (pp_OT_Pay_Code &gt;= $V$2) * (pp_Bon_Pay_Code &gt;= $V$3) * (pp_Meal_Pay_Code &gt;= $V$4) * (pp_Sick_Pay_Code &gt;= $V$5) * (pp_Diff_Pay_Code &gt;= $V$6)))),0),_xlpm.perc,_xlpm.calc/D$100,IFERROR(IF(_xlpm.calc&gt;1000,_xlfn.CONCAT(TEXT(_xlpm.calc,"0,000")," (",TEXT(_xlpm.perc,"0.0%"),")"),_xlfn.CONCAT(_xlpm.calc," (",TEXT(_xlpm.perc,"0.0%"),")")),"-"))</f>
        <v>-</v>
      </c>
      <c r="E90" s="135" t="str" cm="1">
        <f t="array" ref="E90">_xlfn.LET(_xlpm.calc,IFERROR(ROWS(_xlfn.UNIQUE(_xlfn._xlws.FILTER(Pay_ID_Period_End,(IFERROR(SEARCH($A$71,Pay_Key_Gps),0)&gt;0) * (Pay_Code=$A90) * (pp_Hrs_Wkd_Pay_Code &gt;= $V$1) * (pp_OT_Pay_Code &gt;= $V$2) * (pp_Bon_Pay_Code &gt;= $V$3) * (pp_Meal_Pay_Code &gt;= $V$4) * (pp_Sick_Pay_Code &gt;= $V$5) * (pp_Diff_Pay_Code &gt;= $V$6)))),0),_xlpm.perc,_xlpm.calc/E$100,IFERROR(IF(_xlpm.calc&gt;1000,_xlfn.CONCAT(TEXT(_xlpm.calc,"0,000")," (",TEXT(_xlpm.perc,"0.0%"),")"),_xlfn.CONCAT(_xlpm.calc," (",TEXT(_xlpm.perc,"0.0%"),")")),"-"))</f>
        <v>-</v>
      </c>
      <c r="F90" s="136" t="e">
        <f t="shared" si="12"/>
        <v>#NAME?</v>
      </c>
      <c r="G90" s="137" t="e">
        <f t="shared" si="13"/>
        <v>#NAME?</v>
      </c>
      <c r="H90" s="137" t="str" cm="1">
        <f t="array" ref="H90">IFERROR(AVERAGEIFS(Pay_Amount,Pay_Key_Gps,"*"&amp;$A$71&amp;"*",Pay_Code,$A90,pp_Hrs_Wkd_Pay_Code,"&gt;="&amp;$V$1,pp_OT_Pay_Code,"&gt;="&amp;$V$2,pp_Bon_Pay_Code,"&gt;="&amp;$V$3,pp_Meal_Pay_Code,"&gt;="&amp;$V$4,pp_Sick_Pay_Code,"&gt;="&amp;$V$5,pp_Diff_Pay_Code,"&gt;="&amp;$V$6),"-")</f>
        <v>-</v>
      </c>
      <c r="J90" s="133">
        <f t="shared" si="17"/>
        <v>0</v>
      </c>
      <c r="K90" s="138" t="e" cm="1">
        <f t="array" ref="K90">_xlfn.LET(_xlpm.calc,COUNTIFS(Rate_Gp,K$11,Pay_Key_Gps,"*"&amp;$A$71&amp;"*",Pay_Code,$A90,pp_Hrs_Wkd_Pay_Code,"&gt;="&amp;$V$1,pp_OT_Pay_Code,"&gt;="&amp;$V$2,pp_Bon_Pay_Code,"&gt;="&amp;$V$3,pp_Meal_Pay_Code,"&gt;="&amp;$V$4,pp_Sick_Pay_Code,"&gt;="&amp;$V$5,pp_Diff_Pay_Code,"&gt;="&amp;$V$6),_xlpm.calc2,COUNTIFS(Pay_Key_Gps,"*"&amp;$A$71&amp;"*",Pay_Code,$A90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90" s="138" t="e" cm="1">
        <f t="array" ref="L90">_xlfn.LET(_xlpm.calc,COUNTIFS(Rate_Gp,L$11,Pay_Key_Gps,"*"&amp;$A$71&amp;"*",Pay_Code,$A90,pp_Hrs_Wkd_Pay_Code,"&gt;="&amp;$V$1,pp_OT_Pay_Code,"&gt;="&amp;$V$2,pp_Bon_Pay_Code,"&gt;="&amp;$V$3,pp_Meal_Pay_Code,"&gt;="&amp;$V$4,pp_Sick_Pay_Code,"&gt;="&amp;$V$5,pp_Diff_Pay_Code,"&gt;="&amp;$V$6),_xlpm.calc2,COUNTIFS(Pay_Key_Gps,"*"&amp;$A$71&amp;"*",Pay_Code,$A90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90" s="138" t="e" cm="1">
        <f t="array" ref="M90">_xlfn.LET(_xlpm.calc,COUNTIFS(Rate_Gp,M$11,Pay_Key_Gps,"*"&amp;$A$71&amp;"*",Pay_Code,$A90,pp_Hrs_Wkd_Pay_Code,"&gt;="&amp;$V$1,pp_OT_Pay_Code,"&gt;="&amp;$V$2,pp_Bon_Pay_Code,"&gt;="&amp;$V$3,pp_Meal_Pay_Code,"&gt;="&amp;$V$4,pp_Sick_Pay_Code,"&gt;="&amp;$V$5,pp_Diff_Pay_Code,"&gt;="&amp;$V$6),_xlpm.calc2,COUNTIFS(Pay_Key_Gps,"*"&amp;$A$71&amp;"*",Pay_Code,$A90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90" s="138" t="e" cm="1">
        <f t="array" ref="N90">_xlfn.LET(_xlpm.calc,COUNTIFS(Rate_Gp,N$11,Pay_Key_Gps,"*"&amp;$A$71&amp;"*",Pay_Code,$A90,pp_Hrs_Wkd_Pay_Code,"&gt;="&amp;$V$1,pp_OT_Pay_Code,"&gt;="&amp;$V$2,pp_Bon_Pay_Code,"&gt;="&amp;$V$3,pp_Meal_Pay_Code,"&gt;="&amp;$V$4,pp_Sick_Pay_Code,"&gt;="&amp;$V$5,pp_Diff_Pay_Code,"&gt;="&amp;$V$6),_xlpm.calc2,COUNTIFS(Pay_Key_Gps,"*"&amp;$A$71&amp;"*",Pay_Code,$A90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90" s="138" t="e" cm="1">
        <f t="array" ref="O90">_xlfn.LET(_xlpm.calc,COUNTIFS(Rate_Gp,O$11,Pay_Key_Gps,"*"&amp;$A$71&amp;"*",Pay_Code,$A90,pp_Hrs_Wkd_Pay_Code,"&gt;="&amp;$V$1,pp_OT_Pay_Code,"&gt;="&amp;$V$2,pp_Bon_Pay_Code,"&gt;="&amp;$V$3,pp_Meal_Pay_Code,"&gt;="&amp;$V$4,pp_Sick_Pay_Code,"&gt;="&amp;$V$5,pp_Diff_Pay_Code,"&gt;="&amp;$V$6),_xlpm.calc2,COUNTIFS(Pay_Key_Gps,"*"&amp;$A$71&amp;"*",Pay_Code,$A90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90" s="138" t="e" cm="1">
        <f t="array" ref="P90">_xlfn.LET(_xlpm.calc,COUNTIFS(Rate_Gp,P$11,Pay_Key_Gps,"*"&amp;$A$71&amp;"*",Pay_Code,$A90,pp_Hrs_Wkd_Pay_Code,"&gt;="&amp;$V$1,pp_OT_Pay_Code,"&gt;="&amp;$V$2,pp_Bon_Pay_Code,"&gt;="&amp;$V$3,pp_Meal_Pay_Code,"&gt;="&amp;$V$4,pp_Sick_Pay_Code,"&gt;="&amp;$V$5,pp_Diff_Pay_Code,"&gt;="&amp;$V$6),_xlpm.calc2,COUNTIFS(Pay_Key_Gps,"*"&amp;$A$71&amp;"*",Pay_Code,$A90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90" s="138" t="e" cm="1">
        <f t="array" ref="Q90">_xlfn.LET(_xlpm.calc,COUNTIFS(Rate_Gp,Q$11,Pay_Key_Gps,"*"&amp;$A$71&amp;"*",Pay_Code,$A90,pp_Hrs_Wkd_Pay_Code,"&gt;="&amp;$V$1,pp_OT_Pay_Code,"&gt;="&amp;$V$2,pp_Bon_Pay_Code,"&gt;="&amp;$V$3,pp_Meal_Pay_Code,"&gt;="&amp;$V$4,pp_Sick_Pay_Code,"&gt;="&amp;$V$5,pp_Diff_Pay_Code,"&gt;="&amp;$V$6),_xlpm.calc2,COUNTIFS(Pay_Key_Gps,"*"&amp;$A$71&amp;"*",Pay_Code,$A90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90" s="138" t="e" cm="1">
        <f t="array" ref="R90">_xlfn.LET(_xlpm.calc,COUNTIFS(Rate_Gp,R$11,Pay_Key_Gps,"*"&amp;$A$71&amp;"*",Pay_Code,$A90,pp_Hrs_Wkd_Pay_Code,"&gt;="&amp;$V$1,pp_OT_Pay_Code,"&gt;="&amp;$V$2,pp_Bon_Pay_Code,"&gt;="&amp;$V$3,pp_Meal_Pay_Code,"&gt;="&amp;$V$4,pp_Sick_Pay_Code,"&gt;="&amp;$V$5,pp_Diff_Pay_Code,"&gt;="&amp;$V$6),_xlpm.calc2,COUNTIFS(Pay_Key_Gps,"*"&amp;$A$71&amp;"*",Pay_Code,$A90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90" s="138" t="e" cm="1">
        <f t="array" ref="S90">_xlfn.LET(_xlpm.calc,COUNTIFS(Rate_Gp,S$11,Pay_Key_Gps,"*"&amp;$A$71&amp;"*",Pay_Code,$A90,pp_Hrs_Wkd_Pay_Code,"&gt;="&amp;$V$1,pp_OT_Pay_Code,"&gt;="&amp;$V$2,pp_Bon_Pay_Code,"&gt;="&amp;$V$3,pp_Meal_Pay_Code,"&gt;="&amp;$V$4,pp_Sick_Pay_Code,"&gt;="&amp;$V$5,pp_Diff_Pay_Code,"&gt;="&amp;$V$6),_xlpm.calc2,COUNTIFS(Pay_Key_Gps,"*"&amp;$A$71&amp;"*",Pay_Code,$A90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90" s="138" t="e" cm="1">
        <f t="array" ref="T90">_xlfn.LET(_xlpm.calc,COUNTIFS(Rate_Gp,T$11,Pay_Key_Gps,"*"&amp;$A$71&amp;"*",Pay_Code,$A90,pp_Hrs_Wkd_Pay_Code,"&gt;="&amp;$V$1,pp_OT_Pay_Code,"&gt;="&amp;$V$2,pp_Bon_Pay_Code,"&gt;="&amp;$V$3,pp_Meal_Pay_Code,"&gt;="&amp;$V$4,pp_Sick_Pay_Code,"&gt;="&amp;$V$5,pp_Diff_Pay_Code,"&gt;="&amp;$V$6),_xlpm.calc2,COUNTIFS(Pay_Key_Gps,"*"&amp;$A$71&amp;"*",Pay_Code,$A90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90" s="139" t="e" cm="1">
        <f t="array" ref="U90">_xlfn.LET(_xlpm.calc,COUNTIFS(Pay_Key_Gps,"*"&amp;$A$71&amp;"*",Pay_Code,$A90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90" s="118"/>
      <c r="W90" s="118"/>
      <c r="X90" s="149"/>
      <c r="Y90" s="149"/>
      <c r="Z90" s="149"/>
      <c r="AA90" s="149"/>
      <c r="AB90" s="140" t="e">
        <f t="shared" si="14"/>
        <v>#NAME?</v>
      </c>
    </row>
    <row r="91" spans="1:28" s="122" customFormat="1" x14ac:dyDescent="0.25">
      <c r="A91" s="133"/>
      <c r="B91" s="134" t="e" cm="1">
        <f t="array" ref="B91">_xlfn.LET(_xlpm.calc,_xlfn.MINIFS(Pay_Period_End,Pay_Key_Gps,"*"&amp;$A$71&amp;"*",Pay_Code,$A91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91" s="134" t="e" cm="1">
        <f t="array" ref="C91">_xlfn.LET(_xlpm.calc,_xlfn.MAXIFS(Pay_Period_End,Pay_Key_Gps,"*"&amp;$A$71&amp;"*",Pay_Code,$A91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91" s="135" t="str" cm="1">
        <f t="array" ref="D91">_xlfn.LET(_xlpm.calc,IFERROR(ROWS(_xlfn.UNIQUE(_xlfn._xlws.FILTER(Pay_ID,(IFERROR(SEARCH($A$71,Pay_Key_Gps),0)&gt;0) * (Pay_Code=$A91) * (pp_Hrs_Wkd_Pay_Code &gt;= $V$1) * (pp_OT_Pay_Code &gt;= $V$2) * (pp_Bon_Pay_Code &gt;= $V$3) * (pp_Meal_Pay_Code &gt;= $V$4) * (pp_Sick_Pay_Code &gt;= $V$5) * (pp_Diff_Pay_Code &gt;= $V$6)))),0),_xlpm.perc,_xlpm.calc/D$100,IFERROR(IF(_xlpm.calc&gt;1000,_xlfn.CONCAT(TEXT(_xlpm.calc,"0,000")," (",TEXT(_xlpm.perc,"0.0%"),")"),_xlfn.CONCAT(_xlpm.calc," (",TEXT(_xlpm.perc,"0.0%"),")")),"-"))</f>
        <v>-</v>
      </c>
      <c r="E91" s="135" t="str" cm="1">
        <f t="array" ref="E91">_xlfn.LET(_xlpm.calc,IFERROR(ROWS(_xlfn.UNIQUE(_xlfn._xlws.FILTER(Pay_ID_Period_End,(IFERROR(SEARCH($A$71,Pay_Key_Gps),0)&gt;0) * (Pay_Code=$A91) * (pp_Hrs_Wkd_Pay_Code &gt;= $V$1) * (pp_OT_Pay_Code &gt;= $V$2) * (pp_Bon_Pay_Code &gt;= $V$3) * (pp_Meal_Pay_Code &gt;= $V$4) * (pp_Sick_Pay_Code &gt;= $V$5) * (pp_Diff_Pay_Code &gt;= $V$6)))),0),_xlpm.perc,_xlpm.calc/E$100,IFERROR(IF(_xlpm.calc&gt;1000,_xlfn.CONCAT(TEXT(_xlpm.calc,"0,000")," (",TEXT(_xlpm.perc,"0.0%"),")"),_xlfn.CONCAT(_xlpm.calc," (",TEXT(_xlpm.perc,"0.0%"),")")),"-"))</f>
        <v>-</v>
      </c>
      <c r="F91" s="136" t="e">
        <f t="shared" si="12"/>
        <v>#NAME?</v>
      </c>
      <c r="G91" s="137" t="e">
        <f t="shared" si="13"/>
        <v>#NAME?</v>
      </c>
      <c r="H91" s="137" t="str" cm="1">
        <f t="array" ref="H91">IFERROR(AVERAGEIFS(Pay_Amount,Pay_Key_Gps,"*"&amp;$A$71&amp;"*",Pay_Code,$A91,pp_Hrs_Wkd_Pay_Code,"&gt;="&amp;$V$1,pp_OT_Pay_Code,"&gt;="&amp;$V$2,pp_Bon_Pay_Code,"&gt;="&amp;$V$3,pp_Meal_Pay_Code,"&gt;="&amp;$V$4,pp_Sick_Pay_Code,"&gt;="&amp;$V$5,pp_Diff_Pay_Code,"&gt;="&amp;$V$6),"-")</f>
        <v>-</v>
      </c>
      <c r="J91" s="133">
        <f t="shared" si="17"/>
        <v>0</v>
      </c>
      <c r="K91" s="138" t="e" cm="1">
        <f t="array" ref="K91">_xlfn.LET(_xlpm.calc,COUNTIFS(Rate_Gp,K$11,Pay_Key_Gps,"*"&amp;$A$71&amp;"*",Pay_Code,$A91,pp_Hrs_Wkd_Pay_Code,"&gt;="&amp;$V$1,pp_OT_Pay_Code,"&gt;="&amp;$V$2,pp_Bon_Pay_Code,"&gt;="&amp;$V$3,pp_Meal_Pay_Code,"&gt;="&amp;$V$4,pp_Sick_Pay_Code,"&gt;="&amp;$V$5,pp_Diff_Pay_Code,"&gt;="&amp;$V$6),_xlpm.calc2,COUNTIFS(Pay_Key_Gps,"*"&amp;$A$71&amp;"*",Pay_Code,$A91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91" s="138" t="e" cm="1">
        <f t="array" ref="L91">_xlfn.LET(_xlpm.calc,COUNTIFS(Rate_Gp,L$11,Pay_Key_Gps,"*"&amp;$A$71&amp;"*",Pay_Code,$A91,pp_Hrs_Wkd_Pay_Code,"&gt;="&amp;$V$1,pp_OT_Pay_Code,"&gt;="&amp;$V$2,pp_Bon_Pay_Code,"&gt;="&amp;$V$3,pp_Meal_Pay_Code,"&gt;="&amp;$V$4,pp_Sick_Pay_Code,"&gt;="&amp;$V$5,pp_Diff_Pay_Code,"&gt;="&amp;$V$6),_xlpm.calc2,COUNTIFS(Pay_Key_Gps,"*"&amp;$A$71&amp;"*",Pay_Code,$A91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91" s="138" t="e" cm="1">
        <f t="array" ref="M91">_xlfn.LET(_xlpm.calc,COUNTIFS(Rate_Gp,M$11,Pay_Key_Gps,"*"&amp;$A$71&amp;"*",Pay_Code,$A91,pp_Hrs_Wkd_Pay_Code,"&gt;="&amp;$V$1,pp_OT_Pay_Code,"&gt;="&amp;$V$2,pp_Bon_Pay_Code,"&gt;="&amp;$V$3,pp_Meal_Pay_Code,"&gt;="&amp;$V$4,pp_Sick_Pay_Code,"&gt;="&amp;$V$5,pp_Diff_Pay_Code,"&gt;="&amp;$V$6),_xlpm.calc2,COUNTIFS(Pay_Key_Gps,"*"&amp;$A$71&amp;"*",Pay_Code,$A91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91" s="138" t="e" cm="1">
        <f t="array" ref="N91">_xlfn.LET(_xlpm.calc,COUNTIFS(Rate_Gp,N$11,Pay_Key_Gps,"*"&amp;$A$71&amp;"*",Pay_Code,$A91,pp_Hrs_Wkd_Pay_Code,"&gt;="&amp;$V$1,pp_OT_Pay_Code,"&gt;="&amp;$V$2,pp_Bon_Pay_Code,"&gt;="&amp;$V$3,pp_Meal_Pay_Code,"&gt;="&amp;$V$4,pp_Sick_Pay_Code,"&gt;="&amp;$V$5,pp_Diff_Pay_Code,"&gt;="&amp;$V$6),_xlpm.calc2,COUNTIFS(Pay_Key_Gps,"*"&amp;$A$71&amp;"*",Pay_Code,$A91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91" s="138" t="e" cm="1">
        <f t="array" ref="O91">_xlfn.LET(_xlpm.calc,COUNTIFS(Rate_Gp,O$11,Pay_Key_Gps,"*"&amp;$A$71&amp;"*",Pay_Code,$A91,pp_Hrs_Wkd_Pay_Code,"&gt;="&amp;$V$1,pp_OT_Pay_Code,"&gt;="&amp;$V$2,pp_Bon_Pay_Code,"&gt;="&amp;$V$3,pp_Meal_Pay_Code,"&gt;="&amp;$V$4,pp_Sick_Pay_Code,"&gt;="&amp;$V$5,pp_Diff_Pay_Code,"&gt;="&amp;$V$6),_xlpm.calc2,COUNTIFS(Pay_Key_Gps,"*"&amp;$A$71&amp;"*",Pay_Code,$A91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91" s="138" t="e" cm="1">
        <f t="array" ref="P91">_xlfn.LET(_xlpm.calc,COUNTIFS(Rate_Gp,P$11,Pay_Key_Gps,"*"&amp;$A$71&amp;"*",Pay_Code,$A91,pp_Hrs_Wkd_Pay_Code,"&gt;="&amp;$V$1,pp_OT_Pay_Code,"&gt;="&amp;$V$2,pp_Bon_Pay_Code,"&gt;="&amp;$V$3,pp_Meal_Pay_Code,"&gt;="&amp;$V$4,pp_Sick_Pay_Code,"&gt;="&amp;$V$5,pp_Diff_Pay_Code,"&gt;="&amp;$V$6),_xlpm.calc2,COUNTIFS(Pay_Key_Gps,"*"&amp;$A$71&amp;"*",Pay_Code,$A91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91" s="138" t="e" cm="1">
        <f t="array" ref="Q91">_xlfn.LET(_xlpm.calc,COUNTIFS(Rate_Gp,Q$11,Pay_Key_Gps,"*"&amp;$A$71&amp;"*",Pay_Code,$A91,pp_Hrs_Wkd_Pay_Code,"&gt;="&amp;$V$1,pp_OT_Pay_Code,"&gt;="&amp;$V$2,pp_Bon_Pay_Code,"&gt;="&amp;$V$3,pp_Meal_Pay_Code,"&gt;="&amp;$V$4,pp_Sick_Pay_Code,"&gt;="&amp;$V$5,pp_Diff_Pay_Code,"&gt;="&amp;$V$6),_xlpm.calc2,COUNTIFS(Pay_Key_Gps,"*"&amp;$A$71&amp;"*",Pay_Code,$A91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91" s="138" t="e" cm="1">
        <f t="array" ref="R91">_xlfn.LET(_xlpm.calc,COUNTIFS(Rate_Gp,R$11,Pay_Key_Gps,"*"&amp;$A$71&amp;"*",Pay_Code,$A91,pp_Hrs_Wkd_Pay_Code,"&gt;="&amp;$V$1,pp_OT_Pay_Code,"&gt;="&amp;$V$2,pp_Bon_Pay_Code,"&gt;="&amp;$V$3,pp_Meal_Pay_Code,"&gt;="&amp;$V$4,pp_Sick_Pay_Code,"&gt;="&amp;$V$5,pp_Diff_Pay_Code,"&gt;="&amp;$V$6),_xlpm.calc2,COUNTIFS(Pay_Key_Gps,"*"&amp;$A$71&amp;"*",Pay_Code,$A91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91" s="138" t="e" cm="1">
        <f t="array" ref="S91">_xlfn.LET(_xlpm.calc,COUNTIFS(Rate_Gp,S$11,Pay_Key_Gps,"*"&amp;$A$71&amp;"*",Pay_Code,$A91,pp_Hrs_Wkd_Pay_Code,"&gt;="&amp;$V$1,pp_OT_Pay_Code,"&gt;="&amp;$V$2,pp_Bon_Pay_Code,"&gt;="&amp;$V$3,pp_Meal_Pay_Code,"&gt;="&amp;$V$4,pp_Sick_Pay_Code,"&gt;="&amp;$V$5,pp_Diff_Pay_Code,"&gt;="&amp;$V$6),_xlpm.calc2,COUNTIFS(Pay_Key_Gps,"*"&amp;$A$71&amp;"*",Pay_Code,$A91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91" s="138" t="e" cm="1">
        <f t="array" ref="T91">_xlfn.LET(_xlpm.calc,COUNTIFS(Rate_Gp,T$11,Pay_Key_Gps,"*"&amp;$A$71&amp;"*",Pay_Code,$A91,pp_Hrs_Wkd_Pay_Code,"&gt;="&amp;$V$1,pp_OT_Pay_Code,"&gt;="&amp;$V$2,pp_Bon_Pay_Code,"&gt;="&amp;$V$3,pp_Meal_Pay_Code,"&gt;="&amp;$V$4,pp_Sick_Pay_Code,"&gt;="&amp;$V$5,pp_Diff_Pay_Code,"&gt;="&amp;$V$6),_xlpm.calc2,COUNTIFS(Pay_Key_Gps,"*"&amp;$A$71&amp;"*",Pay_Code,$A91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91" s="139" t="e" cm="1">
        <f t="array" ref="U91">_xlfn.LET(_xlpm.calc,COUNTIFS(Pay_Key_Gps,"*"&amp;$A$71&amp;"*",Pay_Code,$A91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91" s="118"/>
      <c r="W91" s="118"/>
      <c r="X91" s="149"/>
      <c r="Y91" s="149"/>
      <c r="Z91" s="149"/>
      <c r="AA91" s="149"/>
      <c r="AB91" s="140" t="e">
        <f t="shared" si="14"/>
        <v>#NAME?</v>
      </c>
    </row>
    <row r="92" spans="1:28" s="122" customFormat="1" x14ac:dyDescent="0.25">
      <c r="A92" s="133"/>
      <c r="B92" s="134" t="e" cm="1">
        <f t="array" ref="B92">_xlfn.LET(_xlpm.calc,_xlfn.MINIFS(Pay_Period_End,Pay_Key_Gps,"*"&amp;$A$71&amp;"*",Pay_Code,$A92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92" s="134" t="e" cm="1">
        <f t="array" ref="C92">_xlfn.LET(_xlpm.calc,_xlfn.MAXIFS(Pay_Period_End,Pay_Key_Gps,"*"&amp;$A$71&amp;"*",Pay_Code,$A92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92" s="135" t="str" cm="1">
        <f t="array" ref="D92">_xlfn.LET(_xlpm.calc,IFERROR(ROWS(_xlfn.UNIQUE(_xlfn._xlws.FILTER(Pay_ID,(IFERROR(SEARCH($A$71,Pay_Key_Gps),0)&gt;0) * (Pay_Code=$A92) * (pp_Hrs_Wkd_Pay_Code &gt;= $V$1) * (pp_OT_Pay_Code &gt;= $V$2) * (pp_Bon_Pay_Code &gt;= $V$3) * (pp_Meal_Pay_Code &gt;= $V$4) * (pp_Sick_Pay_Code &gt;= $V$5) * (pp_Diff_Pay_Code &gt;= $V$6)))),0),_xlpm.perc,_xlpm.calc/D$100,IFERROR(IF(_xlpm.calc&gt;1000,_xlfn.CONCAT(TEXT(_xlpm.calc,"0,000")," (",TEXT(_xlpm.perc,"0.0%"),")"),_xlfn.CONCAT(_xlpm.calc," (",TEXT(_xlpm.perc,"0.0%"),")")),"-"))</f>
        <v>-</v>
      </c>
      <c r="E92" s="135" t="str" cm="1">
        <f t="array" ref="E92">_xlfn.LET(_xlpm.calc,IFERROR(ROWS(_xlfn.UNIQUE(_xlfn._xlws.FILTER(Pay_ID_Period_End,(IFERROR(SEARCH($A$71,Pay_Key_Gps),0)&gt;0) * (Pay_Code=$A92) * (pp_Hrs_Wkd_Pay_Code &gt;= $V$1) * (pp_OT_Pay_Code &gt;= $V$2) * (pp_Bon_Pay_Code &gt;= $V$3) * (pp_Meal_Pay_Code &gt;= $V$4) * (pp_Sick_Pay_Code &gt;= $V$5) * (pp_Diff_Pay_Code &gt;= $V$6)))),0),_xlpm.perc,_xlpm.calc/E$100,IFERROR(IF(_xlpm.calc&gt;1000,_xlfn.CONCAT(TEXT(_xlpm.calc,"0,000")," (",TEXT(_xlpm.perc,"0.0%"),")"),_xlfn.CONCAT(_xlpm.calc," (",TEXT(_xlpm.perc,"0.0%"),")")),"-"))</f>
        <v>-</v>
      </c>
      <c r="F92" s="136" t="e">
        <f t="shared" si="12"/>
        <v>#NAME?</v>
      </c>
      <c r="G92" s="137" t="e">
        <f t="shared" si="13"/>
        <v>#NAME?</v>
      </c>
      <c r="H92" s="137" t="str" cm="1">
        <f t="array" ref="H92">IFERROR(AVERAGEIFS(Pay_Amount,Pay_Key_Gps,"*"&amp;$A$71&amp;"*",Pay_Code,$A92,pp_Hrs_Wkd_Pay_Code,"&gt;="&amp;$V$1,pp_OT_Pay_Code,"&gt;="&amp;$V$2,pp_Bon_Pay_Code,"&gt;="&amp;$V$3,pp_Meal_Pay_Code,"&gt;="&amp;$V$4,pp_Sick_Pay_Code,"&gt;="&amp;$V$5,pp_Diff_Pay_Code,"&gt;="&amp;$V$6),"-")</f>
        <v>-</v>
      </c>
      <c r="J92" s="133">
        <f t="shared" si="17"/>
        <v>0</v>
      </c>
      <c r="K92" s="138" t="e" cm="1">
        <f t="array" ref="K92">_xlfn.LET(_xlpm.calc,COUNTIFS(Rate_Gp,K$11,Pay_Key_Gps,"*"&amp;$A$71&amp;"*",Pay_Code,$A92,pp_Hrs_Wkd_Pay_Code,"&gt;="&amp;$V$1,pp_OT_Pay_Code,"&gt;="&amp;$V$2,pp_Bon_Pay_Code,"&gt;="&amp;$V$3,pp_Meal_Pay_Code,"&gt;="&amp;$V$4,pp_Sick_Pay_Code,"&gt;="&amp;$V$5,pp_Diff_Pay_Code,"&gt;="&amp;$V$6),_xlpm.calc2,COUNTIFS(Pay_Key_Gps,"*"&amp;$A$71&amp;"*",Pay_Code,$A92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92" s="138" t="e" cm="1">
        <f t="array" ref="L92">_xlfn.LET(_xlpm.calc,COUNTIFS(Rate_Gp,L$11,Pay_Key_Gps,"*"&amp;$A$71&amp;"*",Pay_Code,$A92,pp_Hrs_Wkd_Pay_Code,"&gt;="&amp;$V$1,pp_OT_Pay_Code,"&gt;="&amp;$V$2,pp_Bon_Pay_Code,"&gt;="&amp;$V$3,pp_Meal_Pay_Code,"&gt;="&amp;$V$4,pp_Sick_Pay_Code,"&gt;="&amp;$V$5,pp_Diff_Pay_Code,"&gt;="&amp;$V$6),_xlpm.calc2,COUNTIFS(Pay_Key_Gps,"*"&amp;$A$71&amp;"*",Pay_Code,$A92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92" s="138" t="e" cm="1">
        <f t="array" ref="M92">_xlfn.LET(_xlpm.calc,COUNTIFS(Rate_Gp,M$11,Pay_Key_Gps,"*"&amp;$A$71&amp;"*",Pay_Code,$A92,pp_Hrs_Wkd_Pay_Code,"&gt;="&amp;$V$1,pp_OT_Pay_Code,"&gt;="&amp;$V$2,pp_Bon_Pay_Code,"&gt;="&amp;$V$3,pp_Meal_Pay_Code,"&gt;="&amp;$V$4,pp_Sick_Pay_Code,"&gt;="&amp;$V$5,pp_Diff_Pay_Code,"&gt;="&amp;$V$6),_xlpm.calc2,COUNTIFS(Pay_Key_Gps,"*"&amp;$A$71&amp;"*",Pay_Code,$A92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92" s="138" t="e" cm="1">
        <f t="array" ref="N92">_xlfn.LET(_xlpm.calc,COUNTIFS(Rate_Gp,N$11,Pay_Key_Gps,"*"&amp;$A$71&amp;"*",Pay_Code,$A92,pp_Hrs_Wkd_Pay_Code,"&gt;="&amp;$V$1,pp_OT_Pay_Code,"&gt;="&amp;$V$2,pp_Bon_Pay_Code,"&gt;="&amp;$V$3,pp_Meal_Pay_Code,"&gt;="&amp;$V$4,pp_Sick_Pay_Code,"&gt;="&amp;$V$5,pp_Diff_Pay_Code,"&gt;="&amp;$V$6),_xlpm.calc2,COUNTIFS(Pay_Key_Gps,"*"&amp;$A$71&amp;"*",Pay_Code,$A92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92" s="138" t="e" cm="1">
        <f t="array" ref="O92">_xlfn.LET(_xlpm.calc,COUNTIFS(Rate_Gp,O$11,Pay_Key_Gps,"*"&amp;$A$71&amp;"*",Pay_Code,$A92,pp_Hrs_Wkd_Pay_Code,"&gt;="&amp;$V$1,pp_OT_Pay_Code,"&gt;="&amp;$V$2,pp_Bon_Pay_Code,"&gt;="&amp;$V$3,pp_Meal_Pay_Code,"&gt;="&amp;$V$4,pp_Sick_Pay_Code,"&gt;="&amp;$V$5,pp_Diff_Pay_Code,"&gt;="&amp;$V$6),_xlpm.calc2,COUNTIFS(Pay_Key_Gps,"*"&amp;$A$71&amp;"*",Pay_Code,$A92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92" s="138" t="e" cm="1">
        <f t="array" ref="P92">_xlfn.LET(_xlpm.calc,COUNTIFS(Rate_Gp,P$11,Pay_Key_Gps,"*"&amp;$A$71&amp;"*",Pay_Code,$A92,pp_Hrs_Wkd_Pay_Code,"&gt;="&amp;$V$1,pp_OT_Pay_Code,"&gt;="&amp;$V$2,pp_Bon_Pay_Code,"&gt;="&amp;$V$3,pp_Meal_Pay_Code,"&gt;="&amp;$V$4,pp_Sick_Pay_Code,"&gt;="&amp;$V$5,pp_Diff_Pay_Code,"&gt;="&amp;$V$6),_xlpm.calc2,COUNTIFS(Pay_Key_Gps,"*"&amp;$A$71&amp;"*",Pay_Code,$A92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92" s="138" t="e" cm="1">
        <f t="array" ref="Q92">_xlfn.LET(_xlpm.calc,COUNTIFS(Rate_Gp,Q$11,Pay_Key_Gps,"*"&amp;$A$71&amp;"*",Pay_Code,$A92,pp_Hrs_Wkd_Pay_Code,"&gt;="&amp;$V$1,pp_OT_Pay_Code,"&gt;="&amp;$V$2,pp_Bon_Pay_Code,"&gt;="&amp;$V$3,pp_Meal_Pay_Code,"&gt;="&amp;$V$4,pp_Sick_Pay_Code,"&gt;="&amp;$V$5,pp_Diff_Pay_Code,"&gt;="&amp;$V$6),_xlpm.calc2,COUNTIFS(Pay_Key_Gps,"*"&amp;$A$71&amp;"*",Pay_Code,$A92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92" s="138" t="e" cm="1">
        <f t="array" ref="R92">_xlfn.LET(_xlpm.calc,COUNTIFS(Rate_Gp,R$11,Pay_Key_Gps,"*"&amp;$A$71&amp;"*",Pay_Code,$A92,pp_Hrs_Wkd_Pay_Code,"&gt;="&amp;$V$1,pp_OT_Pay_Code,"&gt;="&amp;$V$2,pp_Bon_Pay_Code,"&gt;="&amp;$V$3,pp_Meal_Pay_Code,"&gt;="&amp;$V$4,pp_Sick_Pay_Code,"&gt;="&amp;$V$5,pp_Diff_Pay_Code,"&gt;="&amp;$V$6),_xlpm.calc2,COUNTIFS(Pay_Key_Gps,"*"&amp;$A$71&amp;"*",Pay_Code,$A92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92" s="138" t="e" cm="1">
        <f t="array" ref="S92">_xlfn.LET(_xlpm.calc,COUNTIFS(Rate_Gp,S$11,Pay_Key_Gps,"*"&amp;$A$71&amp;"*",Pay_Code,$A92,pp_Hrs_Wkd_Pay_Code,"&gt;="&amp;$V$1,pp_OT_Pay_Code,"&gt;="&amp;$V$2,pp_Bon_Pay_Code,"&gt;="&amp;$V$3,pp_Meal_Pay_Code,"&gt;="&amp;$V$4,pp_Sick_Pay_Code,"&gt;="&amp;$V$5,pp_Diff_Pay_Code,"&gt;="&amp;$V$6),_xlpm.calc2,COUNTIFS(Pay_Key_Gps,"*"&amp;$A$71&amp;"*",Pay_Code,$A92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92" s="138" t="e" cm="1">
        <f t="array" ref="T92">_xlfn.LET(_xlpm.calc,COUNTIFS(Rate_Gp,T$11,Pay_Key_Gps,"*"&amp;$A$71&amp;"*",Pay_Code,$A92,pp_Hrs_Wkd_Pay_Code,"&gt;="&amp;$V$1,pp_OT_Pay_Code,"&gt;="&amp;$V$2,pp_Bon_Pay_Code,"&gt;="&amp;$V$3,pp_Meal_Pay_Code,"&gt;="&amp;$V$4,pp_Sick_Pay_Code,"&gt;="&amp;$V$5,pp_Diff_Pay_Code,"&gt;="&amp;$V$6),_xlpm.calc2,COUNTIFS(Pay_Key_Gps,"*"&amp;$A$71&amp;"*",Pay_Code,$A92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92" s="139" t="e" cm="1">
        <f t="array" ref="U92">_xlfn.LET(_xlpm.calc,COUNTIFS(Pay_Key_Gps,"*"&amp;$A$71&amp;"*",Pay_Code,$A92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92" s="118"/>
      <c r="W92" s="118"/>
      <c r="X92" s="149"/>
      <c r="Y92" s="149"/>
      <c r="Z92" s="149"/>
      <c r="AA92" s="149"/>
      <c r="AB92" s="140" t="e">
        <f t="shared" si="14"/>
        <v>#NAME?</v>
      </c>
    </row>
    <row r="93" spans="1:28" s="122" customFormat="1" x14ac:dyDescent="0.25">
      <c r="A93" s="133"/>
      <c r="B93" s="134" t="e" cm="1">
        <f t="array" ref="B93">_xlfn.LET(_xlpm.calc,_xlfn.MINIFS(Pay_Period_End,Pay_Key_Gps,"*"&amp;$A$71&amp;"*",Pay_Code,$A93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93" s="134" t="e" cm="1">
        <f t="array" ref="C93">_xlfn.LET(_xlpm.calc,_xlfn.MAXIFS(Pay_Period_End,Pay_Key_Gps,"*"&amp;$A$71&amp;"*",Pay_Code,$A93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93" s="135" t="str" cm="1">
        <f t="array" ref="D93">_xlfn.LET(_xlpm.calc,IFERROR(ROWS(_xlfn.UNIQUE(_xlfn._xlws.FILTER(Pay_ID,(IFERROR(SEARCH($A$71,Pay_Key_Gps),0)&gt;0) * (Pay_Code=$A93) * (pp_Hrs_Wkd_Pay_Code &gt;= $V$1) * (pp_OT_Pay_Code &gt;= $V$2) * (pp_Bon_Pay_Code &gt;= $V$3) * (pp_Meal_Pay_Code &gt;= $V$4) * (pp_Sick_Pay_Code &gt;= $V$5) * (pp_Diff_Pay_Code &gt;= $V$6)))),0),_xlpm.perc,_xlpm.calc/D$100,IFERROR(IF(_xlpm.calc&gt;1000,_xlfn.CONCAT(TEXT(_xlpm.calc,"0,000")," (",TEXT(_xlpm.perc,"0.0%"),")"),_xlfn.CONCAT(_xlpm.calc," (",TEXT(_xlpm.perc,"0.0%"),")")),"-"))</f>
        <v>-</v>
      </c>
      <c r="E93" s="135" t="str" cm="1">
        <f t="array" ref="E93">_xlfn.LET(_xlpm.calc,IFERROR(ROWS(_xlfn.UNIQUE(_xlfn._xlws.FILTER(Pay_ID_Period_End,(IFERROR(SEARCH($A$71,Pay_Key_Gps),0)&gt;0) * (Pay_Code=$A93) * (pp_Hrs_Wkd_Pay_Code &gt;= $V$1) * (pp_OT_Pay_Code &gt;= $V$2) * (pp_Bon_Pay_Code &gt;= $V$3) * (pp_Meal_Pay_Code &gt;= $V$4) * (pp_Sick_Pay_Code &gt;= $V$5) * (pp_Diff_Pay_Code &gt;= $V$6)))),0),_xlpm.perc,_xlpm.calc/E$100,IFERROR(IF(_xlpm.calc&gt;1000,_xlfn.CONCAT(TEXT(_xlpm.calc,"0,000")," (",TEXT(_xlpm.perc,"0.0%"),")"),_xlfn.CONCAT(_xlpm.calc," (",TEXT(_xlpm.perc,"0.0%"),")")),"-"))</f>
        <v>-</v>
      </c>
      <c r="F93" s="136" t="e">
        <f t="shared" si="12"/>
        <v>#NAME?</v>
      </c>
      <c r="G93" s="137" t="e">
        <f t="shared" si="13"/>
        <v>#NAME?</v>
      </c>
      <c r="H93" s="137" t="str" cm="1">
        <f t="array" ref="H93">IFERROR(AVERAGEIFS(Pay_Amount,Pay_Key_Gps,"*"&amp;$A$71&amp;"*",Pay_Code,$A93,pp_Hrs_Wkd_Pay_Code,"&gt;="&amp;$V$1,pp_OT_Pay_Code,"&gt;="&amp;$V$2,pp_Bon_Pay_Code,"&gt;="&amp;$V$3,pp_Meal_Pay_Code,"&gt;="&amp;$V$4,pp_Sick_Pay_Code,"&gt;="&amp;$V$5,pp_Diff_Pay_Code,"&gt;="&amp;$V$6),"-")</f>
        <v>-</v>
      </c>
      <c r="J93" s="133">
        <f t="shared" si="17"/>
        <v>0</v>
      </c>
      <c r="K93" s="138" t="e" cm="1">
        <f t="array" ref="K93">_xlfn.LET(_xlpm.calc,COUNTIFS(Rate_Gp,K$11,Pay_Key_Gps,"*"&amp;$A$71&amp;"*",Pay_Code,$A93,pp_Hrs_Wkd_Pay_Code,"&gt;="&amp;$V$1,pp_OT_Pay_Code,"&gt;="&amp;$V$2,pp_Bon_Pay_Code,"&gt;="&amp;$V$3,pp_Meal_Pay_Code,"&gt;="&amp;$V$4,pp_Sick_Pay_Code,"&gt;="&amp;$V$5,pp_Diff_Pay_Code,"&gt;="&amp;$V$6),_xlpm.calc2,COUNTIFS(Pay_Key_Gps,"*"&amp;$A$71&amp;"*",Pay_Code,$A93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93" s="138" t="e" cm="1">
        <f t="array" ref="L93">_xlfn.LET(_xlpm.calc,COUNTIFS(Rate_Gp,L$11,Pay_Key_Gps,"*"&amp;$A$71&amp;"*",Pay_Code,$A93,pp_Hrs_Wkd_Pay_Code,"&gt;="&amp;$V$1,pp_OT_Pay_Code,"&gt;="&amp;$V$2,pp_Bon_Pay_Code,"&gt;="&amp;$V$3,pp_Meal_Pay_Code,"&gt;="&amp;$V$4,pp_Sick_Pay_Code,"&gt;="&amp;$V$5,pp_Diff_Pay_Code,"&gt;="&amp;$V$6),_xlpm.calc2,COUNTIFS(Pay_Key_Gps,"*"&amp;$A$71&amp;"*",Pay_Code,$A93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93" s="138" t="e" cm="1">
        <f t="array" ref="M93">_xlfn.LET(_xlpm.calc,COUNTIFS(Rate_Gp,M$11,Pay_Key_Gps,"*"&amp;$A$71&amp;"*",Pay_Code,$A93,pp_Hrs_Wkd_Pay_Code,"&gt;="&amp;$V$1,pp_OT_Pay_Code,"&gt;="&amp;$V$2,pp_Bon_Pay_Code,"&gt;="&amp;$V$3,pp_Meal_Pay_Code,"&gt;="&amp;$V$4,pp_Sick_Pay_Code,"&gt;="&amp;$V$5,pp_Diff_Pay_Code,"&gt;="&amp;$V$6),_xlpm.calc2,COUNTIFS(Pay_Key_Gps,"*"&amp;$A$71&amp;"*",Pay_Code,$A93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93" s="138" t="e" cm="1">
        <f t="array" ref="N93">_xlfn.LET(_xlpm.calc,COUNTIFS(Rate_Gp,N$11,Pay_Key_Gps,"*"&amp;$A$71&amp;"*",Pay_Code,$A93,pp_Hrs_Wkd_Pay_Code,"&gt;="&amp;$V$1,pp_OT_Pay_Code,"&gt;="&amp;$V$2,pp_Bon_Pay_Code,"&gt;="&amp;$V$3,pp_Meal_Pay_Code,"&gt;="&amp;$V$4,pp_Sick_Pay_Code,"&gt;="&amp;$V$5,pp_Diff_Pay_Code,"&gt;="&amp;$V$6),_xlpm.calc2,COUNTIFS(Pay_Key_Gps,"*"&amp;$A$71&amp;"*",Pay_Code,$A93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93" s="138" t="e" cm="1">
        <f t="array" ref="O93">_xlfn.LET(_xlpm.calc,COUNTIFS(Rate_Gp,O$11,Pay_Key_Gps,"*"&amp;$A$71&amp;"*",Pay_Code,$A93,pp_Hrs_Wkd_Pay_Code,"&gt;="&amp;$V$1,pp_OT_Pay_Code,"&gt;="&amp;$V$2,pp_Bon_Pay_Code,"&gt;="&amp;$V$3,pp_Meal_Pay_Code,"&gt;="&amp;$V$4,pp_Sick_Pay_Code,"&gt;="&amp;$V$5,pp_Diff_Pay_Code,"&gt;="&amp;$V$6),_xlpm.calc2,COUNTIFS(Pay_Key_Gps,"*"&amp;$A$71&amp;"*",Pay_Code,$A93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93" s="138" t="e" cm="1">
        <f t="array" ref="P93">_xlfn.LET(_xlpm.calc,COUNTIFS(Rate_Gp,P$11,Pay_Key_Gps,"*"&amp;$A$71&amp;"*",Pay_Code,$A93,pp_Hrs_Wkd_Pay_Code,"&gt;="&amp;$V$1,pp_OT_Pay_Code,"&gt;="&amp;$V$2,pp_Bon_Pay_Code,"&gt;="&amp;$V$3,pp_Meal_Pay_Code,"&gt;="&amp;$V$4,pp_Sick_Pay_Code,"&gt;="&amp;$V$5,pp_Diff_Pay_Code,"&gt;="&amp;$V$6),_xlpm.calc2,COUNTIFS(Pay_Key_Gps,"*"&amp;$A$71&amp;"*",Pay_Code,$A93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93" s="138" t="e" cm="1">
        <f t="array" ref="Q93">_xlfn.LET(_xlpm.calc,COUNTIFS(Rate_Gp,Q$11,Pay_Key_Gps,"*"&amp;$A$71&amp;"*",Pay_Code,$A93,pp_Hrs_Wkd_Pay_Code,"&gt;="&amp;$V$1,pp_OT_Pay_Code,"&gt;="&amp;$V$2,pp_Bon_Pay_Code,"&gt;="&amp;$V$3,pp_Meal_Pay_Code,"&gt;="&amp;$V$4,pp_Sick_Pay_Code,"&gt;="&amp;$V$5,pp_Diff_Pay_Code,"&gt;="&amp;$V$6),_xlpm.calc2,COUNTIFS(Pay_Key_Gps,"*"&amp;$A$71&amp;"*",Pay_Code,$A93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93" s="138" t="e" cm="1">
        <f t="array" ref="R93">_xlfn.LET(_xlpm.calc,COUNTIFS(Rate_Gp,R$11,Pay_Key_Gps,"*"&amp;$A$71&amp;"*",Pay_Code,$A93,pp_Hrs_Wkd_Pay_Code,"&gt;="&amp;$V$1,pp_OT_Pay_Code,"&gt;="&amp;$V$2,pp_Bon_Pay_Code,"&gt;="&amp;$V$3,pp_Meal_Pay_Code,"&gt;="&amp;$V$4,pp_Sick_Pay_Code,"&gt;="&amp;$V$5,pp_Diff_Pay_Code,"&gt;="&amp;$V$6),_xlpm.calc2,COUNTIFS(Pay_Key_Gps,"*"&amp;$A$71&amp;"*",Pay_Code,$A93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93" s="138" t="e" cm="1">
        <f t="array" ref="S93">_xlfn.LET(_xlpm.calc,COUNTIFS(Rate_Gp,S$11,Pay_Key_Gps,"*"&amp;$A$71&amp;"*",Pay_Code,$A93,pp_Hrs_Wkd_Pay_Code,"&gt;="&amp;$V$1,pp_OT_Pay_Code,"&gt;="&amp;$V$2,pp_Bon_Pay_Code,"&gt;="&amp;$V$3,pp_Meal_Pay_Code,"&gt;="&amp;$V$4,pp_Sick_Pay_Code,"&gt;="&amp;$V$5,pp_Diff_Pay_Code,"&gt;="&amp;$V$6),_xlpm.calc2,COUNTIFS(Pay_Key_Gps,"*"&amp;$A$71&amp;"*",Pay_Code,$A93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93" s="138" t="e" cm="1">
        <f t="array" ref="T93">_xlfn.LET(_xlpm.calc,COUNTIFS(Rate_Gp,T$11,Pay_Key_Gps,"*"&amp;$A$71&amp;"*",Pay_Code,$A93,pp_Hrs_Wkd_Pay_Code,"&gt;="&amp;$V$1,pp_OT_Pay_Code,"&gt;="&amp;$V$2,pp_Bon_Pay_Code,"&gt;="&amp;$V$3,pp_Meal_Pay_Code,"&gt;="&amp;$V$4,pp_Sick_Pay_Code,"&gt;="&amp;$V$5,pp_Diff_Pay_Code,"&gt;="&amp;$V$6),_xlpm.calc2,COUNTIFS(Pay_Key_Gps,"*"&amp;$A$71&amp;"*",Pay_Code,$A93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93" s="139" t="e" cm="1">
        <f t="array" ref="U93">_xlfn.LET(_xlpm.calc,COUNTIFS(Pay_Key_Gps,"*"&amp;$A$71&amp;"*",Pay_Code,$A93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93" s="118"/>
      <c r="W93" s="118"/>
      <c r="X93" s="149"/>
      <c r="Y93" s="149"/>
      <c r="Z93" s="149"/>
      <c r="AA93" s="149"/>
      <c r="AB93" s="140" t="e">
        <f t="shared" si="14"/>
        <v>#NAME?</v>
      </c>
    </row>
    <row r="94" spans="1:28" s="123" customFormat="1" x14ac:dyDescent="0.25">
      <c r="A94" s="133"/>
      <c r="B94" s="134" t="e" cm="1">
        <f t="array" ref="B94">_xlfn.LET(_xlpm.calc,_xlfn.MINIFS(Pay_Period_End,Pay_Key_Gps,"*"&amp;$A$71&amp;"*",Pay_Code,$A94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94" s="134" t="e" cm="1">
        <f t="array" ref="C94">_xlfn.LET(_xlpm.calc,_xlfn.MAXIFS(Pay_Period_End,Pay_Key_Gps,"*"&amp;$A$71&amp;"*",Pay_Code,$A94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94" s="135" t="str" cm="1">
        <f t="array" ref="D94">_xlfn.LET(_xlpm.calc,IFERROR(ROWS(_xlfn.UNIQUE(_xlfn._xlws.FILTER(Pay_ID,(IFERROR(SEARCH($A$71,Pay_Key_Gps),0)&gt;0) * (Pay_Code=$A94) * (pp_Hrs_Wkd_Pay_Code &gt;= $V$1) * (pp_OT_Pay_Code &gt;= $V$2) * (pp_Bon_Pay_Code &gt;= $V$3) * (pp_Meal_Pay_Code &gt;= $V$4) * (pp_Sick_Pay_Code &gt;= $V$5) * (pp_Diff_Pay_Code &gt;= $V$6)))),0),_xlpm.perc,_xlpm.calc/D$100,IFERROR(IF(_xlpm.calc&gt;1000,_xlfn.CONCAT(TEXT(_xlpm.calc,"0,000")," (",TEXT(_xlpm.perc,"0.0%"),")"),_xlfn.CONCAT(_xlpm.calc," (",TEXT(_xlpm.perc,"0.0%"),")")),"-"))</f>
        <v>-</v>
      </c>
      <c r="E94" s="135" t="str" cm="1">
        <f t="array" ref="E94">_xlfn.LET(_xlpm.calc,IFERROR(ROWS(_xlfn.UNIQUE(_xlfn._xlws.FILTER(Pay_ID_Period_End,(IFERROR(SEARCH($A$71,Pay_Key_Gps),0)&gt;0) * (Pay_Code=$A94) * (pp_Hrs_Wkd_Pay_Code &gt;= $V$1) * (pp_OT_Pay_Code &gt;= $V$2) * (pp_Bon_Pay_Code &gt;= $V$3) * (pp_Meal_Pay_Code &gt;= $V$4) * (pp_Sick_Pay_Code &gt;= $V$5) * (pp_Diff_Pay_Code &gt;= $V$6)))),0),_xlpm.perc,_xlpm.calc/E$100,IFERROR(IF(_xlpm.calc&gt;1000,_xlfn.CONCAT(TEXT(_xlpm.calc,"0,000")," (",TEXT(_xlpm.perc,"0.0%"),")"),_xlfn.CONCAT(_xlpm.calc," (",TEXT(_xlpm.perc,"0.0%"),")")),"-"))</f>
        <v>-</v>
      </c>
      <c r="F94" s="136" t="e">
        <f t="shared" si="12"/>
        <v>#NAME?</v>
      </c>
      <c r="G94" s="137" t="e">
        <f t="shared" si="13"/>
        <v>#NAME?</v>
      </c>
      <c r="H94" s="137" t="str" cm="1">
        <f t="array" ref="H94">IFERROR(AVERAGEIFS(Pay_Amount,Pay_Key_Gps,"*"&amp;$A$71&amp;"*",Pay_Code,$A94,pp_Hrs_Wkd_Pay_Code,"&gt;="&amp;$V$1,pp_OT_Pay_Code,"&gt;="&amp;$V$2,pp_Bon_Pay_Code,"&gt;="&amp;$V$3,pp_Meal_Pay_Code,"&gt;="&amp;$V$4,pp_Sick_Pay_Code,"&gt;="&amp;$V$5,pp_Diff_Pay_Code,"&gt;="&amp;$V$6),"-")</f>
        <v>-</v>
      </c>
      <c r="I94" s="122"/>
      <c r="J94" s="133">
        <f t="shared" ref="J94:J99" si="18">A94</f>
        <v>0</v>
      </c>
      <c r="K94" s="138" t="e" cm="1">
        <f t="array" ref="K94">_xlfn.LET(_xlpm.calc,COUNTIFS(Rate_Gp,K$11,Pay_Key_Gps,"*"&amp;$A$71&amp;"*",Pay_Code,$A94,pp_Hrs_Wkd_Pay_Code,"&gt;="&amp;$V$1,pp_OT_Pay_Code,"&gt;="&amp;$V$2,pp_Bon_Pay_Code,"&gt;="&amp;$V$3,pp_Meal_Pay_Code,"&gt;="&amp;$V$4,pp_Sick_Pay_Code,"&gt;="&amp;$V$5,pp_Diff_Pay_Code,"&gt;="&amp;$V$6),_xlpm.calc2,COUNTIFS(Pay_Key_Gps,"*"&amp;$A$71&amp;"*",Pay_Code,$A94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94" s="138" t="e" cm="1">
        <f t="array" ref="L94">_xlfn.LET(_xlpm.calc,COUNTIFS(Rate_Gp,L$11,Pay_Key_Gps,"*"&amp;$A$71&amp;"*",Pay_Code,$A94,pp_Hrs_Wkd_Pay_Code,"&gt;="&amp;$V$1,pp_OT_Pay_Code,"&gt;="&amp;$V$2,pp_Bon_Pay_Code,"&gt;="&amp;$V$3,pp_Meal_Pay_Code,"&gt;="&amp;$V$4,pp_Sick_Pay_Code,"&gt;="&amp;$V$5,pp_Diff_Pay_Code,"&gt;="&amp;$V$6),_xlpm.calc2,COUNTIFS(Pay_Key_Gps,"*"&amp;$A$71&amp;"*",Pay_Code,$A94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94" s="138" t="e" cm="1">
        <f t="array" ref="M94">_xlfn.LET(_xlpm.calc,COUNTIFS(Rate_Gp,M$11,Pay_Key_Gps,"*"&amp;$A$71&amp;"*",Pay_Code,$A94,pp_Hrs_Wkd_Pay_Code,"&gt;="&amp;$V$1,pp_OT_Pay_Code,"&gt;="&amp;$V$2,pp_Bon_Pay_Code,"&gt;="&amp;$V$3,pp_Meal_Pay_Code,"&gt;="&amp;$V$4,pp_Sick_Pay_Code,"&gt;="&amp;$V$5,pp_Diff_Pay_Code,"&gt;="&amp;$V$6),_xlpm.calc2,COUNTIFS(Pay_Key_Gps,"*"&amp;$A$71&amp;"*",Pay_Code,$A94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94" s="138" t="e" cm="1">
        <f t="array" ref="N94">_xlfn.LET(_xlpm.calc,COUNTIFS(Rate_Gp,N$11,Pay_Key_Gps,"*"&amp;$A$71&amp;"*",Pay_Code,$A94,pp_Hrs_Wkd_Pay_Code,"&gt;="&amp;$V$1,pp_OT_Pay_Code,"&gt;="&amp;$V$2,pp_Bon_Pay_Code,"&gt;="&amp;$V$3,pp_Meal_Pay_Code,"&gt;="&amp;$V$4,pp_Sick_Pay_Code,"&gt;="&amp;$V$5,pp_Diff_Pay_Code,"&gt;="&amp;$V$6),_xlpm.calc2,COUNTIFS(Pay_Key_Gps,"*"&amp;$A$71&amp;"*",Pay_Code,$A94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94" s="138" t="e" cm="1">
        <f t="array" ref="O94">_xlfn.LET(_xlpm.calc,COUNTIFS(Rate_Gp,O$11,Pay_Key_Gps,"*"&amp;$A$71&amp;"*",Pay_Code,$A94,pp_Hrs_Wkd_Pay_Code,"&gt;="&amp;$V$1,pp_OT_Pay_Code,"&gt;="&amp;$V$2,pp_Bon_Pay_Code,"&gt;="&amp;$V$3,pp_Meal_Pay_Code,"&gt;="&amp;$V$4,pp_Sick_Pay_Code,"&gt;="&amp;$V$5,pp_Diff_Pay_Code,"&gt;="&amp;$V$6),_xlpm.calc2,COUNTIFS(Pay_Key_Gps,"*"&amp;$A$71&amp;"*",Pay_Code,$A94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94" s="138" t="e" cm="1">
        <f t="array" ref="P94">_xlfn.LET(_xlpm.calc,COUNTIFS(Rate_Gp,P$11,Pay_Key_Gps,"*"&amp;$A$71&amp;"*",Pay_Code,$A94,pp_Hrs_Wkd_Pay_Code,"&gt;="&amp;$V$1,pp_OT_Pay_Code,"&gt;="&amp;$V$2,pp_Bon_Pay_Code,"&gt;="&amp;$V$3,pp_Meal_Pay_Code,"&gt;="&amp;$V$4,pp_Sick_Pay_Code,"&gt;="&amp;$V$5,pp_Diff_Pay_Code,"&gt;="&amp;$V$6),_xlpm.calc2,COUNTIFS(Pay_Key_Gps,"*"&amp;$A$71&amp;"*",Pay_Code,$A94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94" s="138" t="e" cm="1">
        <f t="array" ref="Q94">_xlfn.LET(_xlpm.calc,COUNTIFS(Rate_Gp,Q$11,Pay_Key_Gps,"*"&amp;$A$71&amp;"*",Pay_Code,$A94,pp_Hrs_Wkd_Pay_Code,"&gt;="&amp;$V$1,pp_OT_Pay_Code,"&gt;="&amp;$V$2,pp_Bon_Pay_Code,"&gt;="&amp;$V$3,pp_Meal_Pay_Code,"&gt;="&amp;$V$4,pp_Sick_Pay_Code,"&gt;="&amp;$V$5,pp_Diff_Pay_Code,"&gt;="&amp;$V$6),_xlpm.calc2,COUNTIFS(Pay_Key_Gps,"*"&amp;$A$71&amp;"*",Pay_Code,$A94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94" s="138" t="e" cm="1">
        <f t="array" ref="R94">_xlfn.LET(_xlpm.calc,COUNTIFS(Rate_Gp,R$11,Pay_Key_Gps,"*"&amp;$A$71&amp;"*",Pay_Code,$A94,pp_Hrs_Wkd_Pay_Code,"&gt;="&amp;$V$1,pp_OT_Pay_Code,"&gt;="&amp;$V$2,pp_Bon_Pay_Code,"&gt;="&amp;$V$3,pp_Meal_Pay_Code,"&gt;="&amp;$V$4,pp_Sick_Pay_Code,"&gt;="&amp;$V$5,pp_Diff_Pay_Code,"&gt;="&amp;$V$6),_xlpm.calc2,COUNTIFS(Pay_Key_Gps,"*"&amp;$A$71&amp;"*",Pay_Code,$A94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94" s="138" t="e" cm="1">
        <f t="array" ref="S94">_xlfn.LET(_xlpm.calc,COUNTIFS(Rate_Gp,S$11,Pay_Key_Gps,"*"&amp;$A$71&amp;"*",Pay_Code,$A94,pp_Hrs_Wkd_Pay_Code,"&gt;="&amp;$V$1,pp_OT_Pay_Code,"&gt;="&amp;$V$2,pp_Bon_Pay_Code,"&gt;="&amp;$V$3,pp_Meal_Pay_Code,"&gt;="&amp;$V$4,pp_Sick_Pay_Code,"&gt;="&amp;$V$5,pp_Diff_Pay_Code,"&gt;="&amp;$V$6),_xlpm.calc2,COUNTIFS(Pay_Key_Gps,"*"&amp;$A$71&amp;"*",Pay_Code,$A94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94" s="138" t="e" cm="1">
        <f t="array" ref="T94">_xlfn.LET(_xlpm.calc,COUNTIFS(Rate_Gp,T$11,Pay_Key_Gps,"*"&amp;$A$71&amp;"*",Pay_Code,$A94,pp_Hrs_Wkd_Pay_Code,"&gt;="&amp;$V$1,pp_OT_Pay_Code,"&gt;="&amp;$V$2,pp_Bon_Pay_Code,"&gt;="&amp;$V$3,pp_Meal_Pay_Code,"&gt;="&amp;$V$4,pp_Sick_Pay_Code,"&gt;="&amp;$V$5,pp_Diff_Pay_Code,"&gt;="&amp;$V$6),_xlpm.calc2,COUNTIFS(Pay_Key_Gps,"*"&amp;$A$71&amp;"*",Pay_Code,$A94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94" s="139" t="e" cm="1">
        <f t="array" ref="U94">_xlfn.LET(_xlpm.calc,COUNTIFS(Pay_Key_Gps,"*"&amp;$A$71&amp;"*",Pay_Code,$A94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94" s="118"/>
      <c r="W94" s="121"/>
      <c r="X94" s="149"/>
      <c r="Y94" s="149"/>
      <c r="Z94" s="149"/>
      <c r="AA94" s="149"/>
      <c r="AB94" s="140" t="e">
        <f t="shared" si="14"/>
        <v>#NAME?</v>
      </c>
    </row>
    <row r="95" spans="1:28" s="122" customFormat="1" x14ac:dyDescent="0.25">
      <c r="A95" s="133"/>
      <c r="B95" s="134" t="e" cm="1">
        <f t="array" ref="B95">_xlfn.LET(_xlpm.calc,_xlfn.MINIFS(Pay_Period_End,Pay_Key_Gps,"*"&amp;$A$71&amp;"*",Pay_Code,$A95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95" s="134" t="e" cm="1">
        <f t="array" ref="C95">_xlfn.LET(_xlpm.calc,_xlfn.MAXIFS(Pay_Period_End,Pay_Key_Gps,"*"&amp;$A$71&amp;"*",Pay_Code,$A95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95" s="135" t="str" cm="1">
        <f t="array" ref="D95">_xlfn.LET(_xlpm.calc,IFERROR(ROWS(_xlfn.UNIQUE(_xlfn._xlws.FILTER(Pay_ID,(IFERROR(SEARCH($A$71,Pay_Key_Gps),0)&gt;0) * (Pay_Code=$A95) * (pp_Hrs_Wkd_Pay_Code &gt;= $V$1) * (pp_OT_Pay_Code &gt;= $V$2) * (pp_Bon_Pay_Code &gt;= $V$3) * (pp_Meal_Pay_Code &gt;= $V$4) * (pp_Sick_Pay_Code &gt;= $V$5) * (pp_Diff_Pay_Code &gt;= $V$6)))),0),_xlpm.perc,_xlpm.calc/D$100,IFERROR(IF(_xlpm.calc&gt;1000,_xlfn.CONCAT(TEXT(_xlpm.calc,"0,000")," (",TEXT(_xlpm.perc,"0.0%"),")"),_xlfn.CONCAT(_xlpm.calc," (",TEXT(_xlpm.perc,"0.0%"),")")),"-"))</f>
        <v>-</v>
      </c>
      <c r="E95" s="135" t="str" cm="1">
        <f t="array" ref="E95">_xlfn.LET(_xlpm.calc,IFERROR(ROWS(_xlfn.UNIQUE(_xlfn._xlws.FILTER(Pay_ID_Period_End,(IFERROR(SEARCH($A$71,Pay_Key_Gps),0)&gt;0) * (Pay_Code=$A95) * (pp_Hrs_Wkd_Pay_Code &gt;= $V$1) * (pp_OT_Pay_Code &gt;= $V$2) * (pp_Bon_Pay_Code &gt;= $V$3) * (pp_Meal_Pay_Code &gt;= $V$4) * (pp_Sick_Pay_Code &gt;= $V$5) * (pp_Diff_Pay_Code &gt;= $V$6)))),0),_xlpm.perc,_xlpm.calc/E$100,IFERROR(IF(_xlpm.calc&gt;1000,_xlfn.CONCAT(TEXT(_xlpm.calc,"0,000")," (",TEXT(_xlpm.perc,"0.0%"),")"),_xlfn.CONCAT(_xlpm.calc," (",TEXT(_xlpm.perc,"0.0%"),")")),"-"))</f>
        <v>-</v>
      </c>
      <c r="F95" s="136" t="e">
        <f t="shared" si="12"/>
        <v>#NAME?</v>
      </c>
      <c r="G95" s="137" t="e">
        <f t="shared" si="13"/>
        <v>#NAME?</v>
      </c>
      <c r="H95" s="137" t="str" cm="1">
        <f t="array" ref="H95">IFERROR(AVERAGEIFS(Pay_Amount,Pay_Key_Gps,"*"&amp;$A$71&amp;"*",Pay_Code,$A95,pp_Hrs_Wkd_Pay_Code,"&gt;="&amp;$V$1,pp_OT_Pay_Code,"&gt;="&amp;$V$2,pp_Bon_Pay_Code,"&gt;="&amp;$V$3,pp_Meal_Pay_Code,"&gt;="&amp;$V$4,pp_Sick_Pay_Code,"&gt;="&amp;$V$5,pp_Diff_Pay_Code,"&gt;="&amp;$V$6),"-")</f>
        <v>-</v>
      </c>
      <c r="J95" s="133">
        <f t="shared" si="18"/>
        <v>0</v>
      </c>
      <c r="K95" s="138" t="e" cm="1">
        <f t="array" ref="K95">_xlfn.LET(_xlpm.calc,COUNTIFS(Rate_Gp,K$11,Pay_Key_Gps,"*"&amp;$A$71&amp;"*",Pay_Code,$A95,pp_Hrs_Wkd_Pay_Code,"&gt;="&amp;$V$1,pp_OT_Pay_Code,"&gt;="&amp;$V$2,pp_Bon_Pay_Code,"&gt;="&amp;$V$3,pp_Meal_Pay_Code,"&gt;="&amp;$V$4,pp_Sick_Pay_Code,"&gt;="&amp;$V$5,pp_Diff_Pay_Code,"&gt;="&amp;$V$6),_xlpm.calc2,COUNTIFS(Pay_Key_Gps,"*"&amp;$A$71&amp;"*",Pay_Code,$A95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95" s="138" t="e" cm="1">
        <f t="array" ref="L95">_xlfn.LET(_xlpm.calc,COUNTIFS(Rate_Gp,L$11,Pay_Key_Gps,"*"&amp;$A$71&amp;"*",Pay_Code,$A95,pp_Hrs_Wkd_Pay_Code,"&gt;="&amp;$V$1,pp_OT_Pay_Code,"&gt;="&amp;$V$2,pp_Bon_Pay_Code,"&gt;="&amp;$V$3,pp_Meal_Pay_Code,"&gt;="&amp;$V$4,pp_Sick_Pay_Code,"&gt;="&amp;$V$5,pp_Diff_Pay_Code,"&gt;="&amp;$V$6),_xlpm.calc2,COUNTIFS(Pay_Key_Gps,"*"&amp;$A$71&amp;"*",Pay_Code,$A95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95" s="138" t="e" cm="1">
        <f t="array" ref="M95">_xlfn.LET(_xlpm.calc,COUNTIFS(Rate_Gp,M$11,Pay_Key_Gps,"*"&amp;$A$71&amp;"*",Pay_Code,$A95,pp_Hrs_Wkd_Pay_Code,"&gt;="&amp;$V$1,pp_OT_Pay_Code,"&gt;="&amp;$V$2,pp_Bon_Pay_Code,"&gt;="&amp;$V$3,pp_Meal_Pay_Code,"&gt;="&amp;$V$4,pp_Sick_Pay_Code,"&gt;="&amp;$V$5,pp_Diff_Pay_Code,"&gt;="&amp;$V$6),_xlpm.calc2,COUNTIFS(Pay_Key_Gps,"*"&amp;$A$71&amp;"*",Pay_Code,$A95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95" s="138" t="e" cm="1">
        <f t="array" ref="N95">_xlfn.LET(_xlpm.calc,COUNTIFS(Rate_Gp,N$11,Pay_Key_Gps,"*"&amp;$A$71&amp;"*",Pay_Code,$A95,pp_Hrs_Wkd_Pay_Code,"&gt;="&amp;$V$1,pp_OT_Pay_Code,"&gt;="&amp;$V$2,pp_Bon_Pay_Code,"&gt;="&amp;$V$3,pp_Meal_Pay_Code,"&gt;="&amp;$V$4,pp_Sick_Pay_Code,"&gt;="&amp;$V$5,pp_Diff_Pay_Code,"&gt;="&amp;$V$6),_xlpm.calc2,COUNTIFS(Pay_Key_Gps,"*"&amp;$A$71&amp;"*",Pay_Code,$A95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95" s="138" t="e" cm="1">
        <f t="array" ref="O95">_xlfn.LET(_xlpm.calc,COUNTIFS(Rate_Gp,O$11,Pay_Key_Gps,"*"&amp;$A$71&amp;"*",Pay_Code,$A95,pp_Hrs_Wkd_Pay_Code,"&gt;="&amp;$V$1,pp_OT_Pay_Code,"&gt;="&amp;$V$2,pp_Bon_Pay_Code,"&gt;="&amp;$V$3,pp_Meal_Pay_Code,"&gt;="&amp;$V$4,pp_Sick_Pay_Code,"&gt;="&amp;$V$5,pp_Diff_Pay_Code,"&gt;="&amp;$V$6),_xlpm.calc2,COUNTIFS(Pay_Key_Gps,"*"&amp;$A$71&amp;"*",Pay_Code,$A95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95" s="138" t="e" cm="1">
        <f t="array" ref="P95">_xlfn.LET(_xlpm.calc,COUNTIFS(Rate_Gp,P$11,Pay_Key_Gps,"*"&amp;$A$71&amp;"*",Pay_Code,$A95,pp_Hrs_Wkd_Pay_Code,"&gt;="&amp;$V$1,pp_OT_Pay_Code,"&gt;="&amp;$V$2,pp_Bon_Pay_Code,"&gt;="&amp;$V$3,pp_Meal_Pay_Code,"&gt;="&amp;$V$4,pp_Sick_Pay_Code,"&gt;="&amp;$V$5,pp_Diff_Pay_Code,"&gt;="&amp;$V$6),_xlpm.calc2,COUNTIFS(Pay_Key_Gps,"*"&amp;$A$71&amp;"*",Pay_Code,$A95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95" s="138" t="e" cm="1">
        <f t="array" ref="Q95">_xlfn.LET(_xlpm.calc,COUNTIFS(Rate_Gp,Q$11,Pay_Key_Gps,"*"&amp;$A$71&amp;"*",Pay_Code,$A95,pp_Hrs_Wkd_Pay_Code,"&gt;="&amp;$V$1,pp_OT_Pay_Code,"&gt;="&amp;$V$2,pp_Bon_Pay_Code,"&gt;="&amp;$V$3,pp_Meal_Pay_Code,"&gt;="&amp;$V$4,pp_Sick_Pay_Code,"&gt;="&amp;$V$5,pp_Diff_Pay_Code,"&gt;="&amp;$V$6),_xlpm.calc2,COUNTIFS(Pay_Key_Gps,"*"&amp;$A$71&amp;"*",Pay_Code,$A95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95" s="138" t="e" cm="1">
        <f t="array" ref="R95">_xlfn.LET(_xlpm.calc,COUNTIFS(Rate_Gp,R$11,Pay_Key_Gps,"*"&amp;$A$71&amp;"*",Pay_Code,$A95,pp_Hrs_Wkd_Pay_Code,"&gt;="&amp;$V$1,pp_OT_Pay_Code,"&gt;="&amp;$V$2,pp_Bon_Pay_Code,"&gt;="&amp;$V$3,pp_Meal_Pay_Code,"&gt;="&amp;$V$4,pp_Sick_Pay_Code,"&gt;="&amp;$V$5,pp_Diff_Pay_Code,"&gt;="&amp;$V$6),_xlpm.calc2,COUNTIFS(Pay_Key_Gps,"*"&amp;$A$71&amp;"*",Pay_Code,$A95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95" s="138" t="e" cm="1">
        <f t="array" ref="S95">_xlfn.LET(_xlpm.calc,COUNTIFS(Rate_Gp,S$11,Pay_Key_Gps,"*"&amp;$A$71&amp;"*",Pay_Code,$A95,pp_Hrs_Wkd_Pay_Code,"&gt;="&amp;$V$1,pp_OT_Pay_Code,"&gt;="&amp;$V$2,pp_Bon_Pay_Code,"&gt;="&amp;$V$3,pp_Meal_Pay_Code,"&gt;="&amp;$V$4,pp_Sick_Pay_Code,"&gt;="&amp;$V$5,pp_Diff_Pay_Code,"&gt;="&amp;$V$6),_xlpm.calc2,COUNTIFS(Pay_Key_Gps,"*"&amp;$A$71&amp;"*",Pay_Code,$A95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95" s="138" t="e" cm="1">
        <f t="array" ref="T95">_xlfn.LET(_xlpm.calc,COUNTIFS(Rate_Gp,T$11,Pay_Key_Gps,"*"&amp;$A$71&amp;"*",Pay_Code,$A95,pp_Hrs_Wkd_Pay_Code,"&gt;="&amp;$V$1,pp_OT_Pay_Code,"&gt;="&amp;$V$2,pp_Bon_Pay_Code,"&gt;="&amp;$V$3,pp_Meal_Pay_Code,"&gt;="&amp;$V$4,pp_Sick_Pay_Code,"&gt;="&amp;$V$5,pp_Diff_Pay_Code,"&gt;="&amp;$V$6),_xlpm.calc2,COUNTIFS(Pay_Key_Gps,"*"&amp;$A$71&amp;"*",Pay_Code,$A95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95" s="139" t="e" cm="1">
        <f t="array" ref="U95">_xlfn.LET(_xlpm.calc,COUNTIFS(Pay_Key_Gps,"*"&amp;$A$71&amp;"*",Pay_Code,$A95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95" s="118"/>
      <c r="W95" s="118"/>
      <c r="X95" s="149"/>
      <c r="Y95" s="149"/>
      <c r="Z95" s="149"/>
      <c r="AA95" s="149"/>
      <c r="AB95" s="140" t="e">
        <f t="shared" si="14"/>
        <v>#NAME?</v>
      </c>
    </row>
    <row r="96" spans="1:28" s="122" customFormat="1" x14ac:dyDescent="0.25">
      <c r="A96" s="133"/>
      <c r="B96" s="134" t="e" cm="1">
        <f t="array" ref="B96">_xlfn.LET(_xlpm.calc,_xlfn.MINIFS(Pay_Period_End,Pay_Key_Gps,"*"&amp;$A$71&amp;"*",Pay_Code,$A96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96" s="134" t="e" cm="1">
        <f t="array" ref="C96">_xlfn.LET(_xlpm.calc,_xlfn.MAXIFS(Pay_Period_End,Pay_Key_Gps,"*"&amp;$A$71&amp;"*",Pay_Code,$A96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96" s="135" t="str" cm="1">
        <f t="array" ref="D96">_xlfn.LET(_xlpm.calc,IFERROR(ROWS(_xlfn.UNIQUE(_xlfn._xlws.FILTER(Pay_ID,(IFERROR(SEARCH($A$71,Pay_Key_Gps),0)&gt;0) * (Pay_Code=$A96) * (pp_Hrs_Wkd_Pay_Code &gt;= $V$1) * (pp_OT_Pay_Code &gt;= $V$2) * (pp_Bon_Pay_Code &gt;= $V$3) * (pp_Meal_Pay_Code &gt;= $V$4) * (pp_Sick_Pay_Code &gt;= $V$5) * (pp_Diff_Pay_Code &gt;= $V$6)))),0),_xlpm.perc,_xlpm.calc/D$100,IFERROR(IF(_xlpm.calc&gt;1000,_xlfn.CONCAT(TEXT(_xlpm.calc,"0,000")," (",TEXT(_xlpm.perc,"0.0%"),")"),_xlfn.CONCAT(_xlpm.calc," (",TEXT(_xlpm.perc,"0.0%"),")")),"-"))</f>
        <v>-</v>
      </c>
      <c r="E96" s="135" t="str" cm="1">
        <f t="array" ref="E96">_xlfn.LET(_xlpm.calc,IFERROR(ROWS(_xlfn.UNIQUE(_xlfn._xlws.FILTER(Pay_ID_Period_End,(IFERROR(SEARCH($A$71,Pay_Key_Gps),0)&gt;0) * (Pay_Code=$A96) * (pp_Hrs_Wkd_Pay_Code &gt;= $V$1) * (pp_OT_Pay_Code &gt;= $V$2) * (pp_Bon_Pay_Code &gt;= $V$3) * (pp_Meal_Pay_Code &gt;= $V$4) * (pp_Sick_Pay_Code &gt;= $V$5) * (pp_Diff_Pay_Code &gt;= $V$6)))),0),_xlpm.perc,_xlpm.calc/E$100,IFERROR(IF(_xlpm.calc&gt;1000,_xlfn.CONCAT(TEXT(_xlpm.calc,"0,000")," (",TEXT(_xlpm.perc,"0.0%"),")"),_xlfn.CONCAT(_xlpm.calc," (",TEXT(_xlpm.perc,"0.0%"),")")),"-"))</f>
        <v>-</v>
      </c>
      <c r="F96" s="136" t="e">
        <f t="shared" si="12"/>
        <v>#NAME?</v>
      </c>
      <c r="G96" s="137" t="e">
        <f t="shared" si="13"/>
        <v>#NAME?</v>
      </c>
      <c r="H96" s="137" t="str" cm="1">
        <f t="array" ref="H96">IFERROR(AVERAGEIFS(Pay_Amount,Pay_Key_Gps,"*"&amp;$A$71&amp;"*",Pay_Code,$A96,pp_Hrs_Wkd_Pay_Code,"&gt;="&amp;$V$1,pp_OT_Pay_Code,"&gt;="&amp;$V$2,pp_Bon_Pay_Code,"&gt;="&amp;$V$3,pp_Meal_Pay_Code,"&gt;="&amp;$V$4,pp_Sick_Pay_Code,"&gt;="&amp;$V$5,pp_Diff_Pay_Code,"&gt;="&amp;$V$6),"-")</f>
        <v>-</v>
      </c>
      <c r="J96" s="133">
        <f t="shared" si="18"/>
        <v>0</v>
      </c>
      <c r="K96" s="138" t="e" cm="1">
        <f t="array" ref="K96">_xlfn.LET(_xlpm.calc,COUNTIFS(Rate_Gp,K$11,Pay_Key_Gps,"*"&amp;$A$71&amp;"*",Pay_Code,$A96,pp_Hrs_Wkd_Pay_Code,"&gt;="&amp;$V$1,pp_OT_Pay_Code,"&gt;="&amp;$V$2,pp_Bon_Pay_Code,"&gt;="&amp;$V$3,pp_Meal_Pay_Code,"&gt;="&amp;$V$4,pp_Sick_Pay_Code,"&gt;="&amp;$V$5,pp_Diff_Pay_Code,"&gt;="&amp;$V$6),_xlpm.calc2,COUNTIFS(Pay_Key_Gps,"*"&amp;$A$71&amp;"*",Pay_Code,$A96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96" s="138" t="e" cm="1">
        <f t="array" ref="L96">_xlfn.LET(_xlpm.calc,COUNTIFS(Rate_Gp,L$11,Pay_Key_Gps,"*"&amp;$A$71&amp;"*",Pay_Code,$A96,pp_Hrs_Wkd_Pay_Code,"&gt;="&amp;$V$1,pp_OT_Pay_Code,"&gt;="&amp;$V$2,pp_Bon_Pay_Code,"&gt;="&amp;$V$3,pp_Meal_Pay_Code,"&gt;="&amp;$V$4,pp_Sick_Pay_Code,"&gt;="&amp;$V$5,pp_Diff_Pay_Code,"&gt;="&amp;$V$6),_xlpm.calc2,COUNTIFS(Pay_Key_Gps,"*"&amp;$A$71&amp;"*",Pay_Code,$A96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96" s="138" t="e" cm="1">
        <f t="array" ref="M96">_xlfn.LET(_xlpm.calc,COUNTIFS(Rate_Gp,M$11,Pay_Key_Gps,"*"&amp;$A$71&amp;"*",Pay_Code,$A96,pp_Hrs_Wkd_Pay_Code,"&gt;="&amp;$V$1,pp_OT_Pay_Code,"&gt;="&amp;$V$2,pp_Bon_Pay_Code,"&gt;="&amp;$V$3,pp_Meal_Pay_Code,"&gt;="&amp;$V$4,pp_Sick_Pay_Code,"&gt;="&amp;$V$5,pp_Diff_Pay_Code,"&gt;="&amp;$V$6),_xlpm.calc2,COUNTIFS(Pay_Key_Gps,"*"&amp;$A$71&amp;"*",Pay_Code,$A96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96" s="138" t="e" cm="1">
        <f t="array" ref="N96">_xlfn.LET(_xlpm.calc,COUNTIFS(Rate_Gp,N$11,Pay_Key_Gps,"*"&amp;$A$71&amp;"*",Pay_Code,$A96,pp_Hrs_Wkd_Pay_Code,"&gt;="&amp;$V$1,pp_OT_Pay_Code,"&gt;="&amp;$V$2,pp_Bon_Pay_Code,"&gt;="&amp;$V$3,pp_Meal_Pay_Code,"&gt;="&amp;$V$4,pp_Sick_Pay_Code,"&gt;="&amp;$V$5,pp_Diff_Pay_Code,"&gt;="&amp;$V$6),_xlpm.calc2,COUNTIFS(Pay_Key_Gps,"*"&amp;$A$71&amp;"*",Pay_Code,$A96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96" s="138" t="e" cm="1">
        <f t="array" ref="O96">_xlfn.LET(_xlpm.calc,COUNTIFS(Rate_Gp,O$11,Pay_Key_Gps,"*"&amp;$A$71&amp;"*",Pay_Code,$A96,pp_Hrs_Wkd_Pay_Code,"&gt;="&amp;$V$1,pp_OT_Pay_Code,"&gt;="&amp;$V$2,pp_Bon_Pay_Code,"&gt;="&amp;$V$3,pp_Meal_Pay_Code,"&gt;="&amp;$V$4,pp_Sick_Pay_Code,"&gt;="&amp;$V$5,pp_Diff_Pay_Code,"&gt;="&amp;$V$6),_xlpm.calc2,COUNTIFS(Pay_Key_Gps,"*"&amp;$A$71&amp;"*",Pay_Code,$A96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96" s="138" t="e" cm="1">
        <f t="array" ref="P96">_xlfn.LET(_xlpm.calc,COUNTIFS(Rate_Gp,P$11,Pay_Key_Gps,"*"&amp;$A$71&amp;"*",Pay_Code,$A96,pp_Hrs_Wkd_Pay_Code,"&gt;="&amp;$V$1,pp_OT_Pay_Code,"&gt;="&amp;$V$2,pp_Bon_Pay_Code,"&gt;="&amp;$V$3,pp_Meal_Pay_Code,"&gt;="&amp;$V$4,pp_Sick_Pay_Code,"&gt;="&amp;$V$5,pp_Diff_Pay_Code,"&gt;="&amp;$V$6),_xlpm.calc2,COUNTIFS(Pay_Key_Gps,"*"&amp;$A$71&amp;"*",Pay_Code,$A96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96" s="138" t="e" cm="1">
        <f t="array" ref="Q96">_xlfn.LET(_xlpm.calc,COUNTIFS(Rate_Gp,Q$11,Pay_Key_Gps,"*"&amp;$A$71&amp;"*",Pay_Code,$A96,pp_Hrs_Wkd_Pay_Code,"&gt;="&amp;$V$1,pp_OT_Pay_Code,"&gt;="&amp;$V$2,pp_Bon_Pay_Code,"&gt;="&amp;$V$3,pp_Meal_Pay_Code,"&gt;="&amp;$V$4,pp_Sick_Pay_Code,"&gt;="&amp;$V$5,pp_Diff_Pay_Code,"&gt;="&amp;$V$6),_xlpm.calc2,COUNTIFS(Pay_Key_Gps,"*"&amp;$A$71&amp;"*",Pay_Code,$A96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96" s="138" t="e" cm="1">
        <f t="array" ref="R96">_xlfn.LET(_xlpm.calc,COUNTIFS(Rate_Gp,R$11,Pay_Key_Gps,"*"&amp;$A$71&amp;"*",Pay_Code,$A96,pp_Hrs_Wkd_Pay_Code,"&gt;="&amp;$V$1,pp_OT_Pay_Code,"&gt;="&amp;$V$2,pp_Bon_Pay_Code,"&gt;="&amp;$V$3,pp_Meal_Pay_Code,"&gt;="&amp;$V$4,pp_Sick_Pay_Code,"&gt;="&amp;$V$5,pp_Diff_Pay_Code,"&gt;="&amp;$V$6),_xlpm.calc2,COUNTIFS(Pay_Key_Gps,"*"&amp;$A$71&amp;"*",Pay_Code,$A96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96" s="138" t="e" cm="1">
        <f t="array" ref="S96">_xlfn.LET(_xlpm.calc,COUNTIFS(Rate_Gp,S$11,Pay_Key_Gps,"*"&amp;$A$71&amp;"*",Pay_Code,$A96,pp_Hrs_Wkd_Pay_Code,"&gt;="&amp;$V$1,pp_OT_Pay_Code,"&gt;="&amp;$V$2,pp_Bon_Pay_Code,"&gt;="&amp;$V$3,pp_Meal_Pay_Code,"&gt;="&amp;$V$4,pp_Sick_Pay_Code,"&gt;="&amp;$V$5,pp_Diff_Pay_Code,"&gt;="&amp;$V$6),_xlpm.calc2,COUNTIFS(Pay_Key_Gps,"*"&amp;$A$71&amp;"*",Pay_Code,$A96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96" s="138" t="e" cm="1">
        <f t="array" ref="T96">_xlfn.LET(_xlpm.calc,COUNTIFS(Rate_Gp,T$11,Pay_Key_Gps,"*"&amp;$A$71&amp;"*",Pay_Code,$A96,pp_Hrs_Wkd_Pay_Code,"&gt;="&amp;$V$1,pp_OT_Pay_Code,"&gt;="&amp;$V$2,pp_Bon_Pay_Code,"&gt;="&amp;$V$3,pp_Meal_Pay_Code,"&gt;="&amp;$V$4,pp_Sick_Pay_Code,"&gt;="&amp;$V$5,pp_Diff_Pay_Code,"&gt;="&amp;$V$6),_xlpm.calc2,COUNTIFS(Pay_Key_Gps,"*"&amp;$A$71&amp;"*",Pay_Code,$A96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96" s="139" t="e" cm="1">
        <f t="array" ref="U96">_xlfn.LET(_xlpm.calc,COUNTIFS(Pay_Key_Gps,"*"&amp;$A$71&amp;"*",Pay_Code,$A96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96" s="118"/>
      <c r="W96" s="118"/>
      <c r="X96" s="149"/>
      <c r="Y96" s="149"/>
      <c r="Z96" s="149"/>
      <c r="AA96" s="149"/>
      <c r="AB96" s="140" t="e">
        <f t="shared" si="14"/>
        <v>#NAME?</v>
      </c>
    </row>
    <row r="97" spans="1:28" s="122" customFormat="1" x14ac:dyDescent="0.25">
      <c r="A97" s="133"/>
      <c r="B97" s="134" t="e" cm="1">
        <f t="array" ref="B97">_xlfn.LET(_xlpm.calc,_xlfn.MINIFS(Pay_Period_End,Pay_Key_Gps,"*"&amp;$A$71&amp;"*",Pay_Code,$A97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97" s="134" t="e" cm="1">
        <f t="array" ref="C97">_xlfn.LET(_xlpm.calc,_xlfn.MAXIFS(Pay_Period_End,Pay_Key_Gps,"*"&amp;$A$71&amp;"*",Pay_Code,$A97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97" s="135" t="str" cm="1">
        <f t="array" ref="D97">_xlfn.LET(_xlpm.calc,IFERROR(ROWS(_xlfn.UNIQUE(_xlfn._xlws.FILTER(Pay_ID,(IFERROR(SEARCH($A$71,Pay_Key_Gps),0)&gt;0) * (Pay_Code=$A97) * (pp_Hrs_Wkd_Pay_Code &gt;= $V$1) * (pp_OT_Pay_Code &gt;= $V$2) * (pp_Bon_Pay_Code &gt;= $V$3) * (pp_Meal_Pay_Code &gt;= $V$4) * (pp_Sick_Pay_Code &gt;= $V$5) * (pp_Diff_Pay_Code &gt;= $V$6)))),0),_xlpm.perc,_xlpm.calc/D$100,IFERROR(IF(_xlpm.calc&gt;1000,_xlfn.CONCAT(TEXT(_xlpm.calc,"0,000")," (",TEXT(_xlpm.perc,"0.0%"),")"),_xlfn.CONCAT(_xlpm.calc," (",TEXT(_xlpm.perc,"0.0%"),")")),"-"))</f>
        <v>-</v>
      </c>
      <c r="E97" s="135" t="str" cm="1">
        <f t="array" ref="E97">_xlfn.LET(_xlpm.calc,IFERROR(ROWS(_xlfn.UNIQUE(_xlfn._xlws.FILTER(Pay_ID_Period_End,(IFERROR(SEARCH($A$71,Pay_Key_Gps),0)&gt;0) * (Pay_Code=$A97) * (pp_Hrs_Wkd_Pay_Code &gt;= $V$1) * (pp_OT_Pay_Code &gt;= $V$2) * (pp_Bon_Pay_Code &gt;= $V$3) * (pp_Meal_Pay_Code &gt;= $V$4) * (pp_Sick_Pay_Code &gt;= $V$5) * (pp_Diff_Pay_Code &gt;= $V$6)))),0),_xlpm.perc,_xlpm.calc/E$100,IFERROR(IF(_xlpm.calc&gt;1000,_xlfn.CONCAT(TEXT(_xlpm.calc,"0,000")," (",TEXT(_xlpm.perc,"0.0%"),")"),_xlfn.CONCAT(_xlpm.calc," (",TEXT(_xlpm.perc,"0.0%"),")")),"-"))</f>
        <v>-</v>
      </c>
      <c r="F97" s="136" t="e">
        <f t="shared" si="12"/>
        <v>#NAME?</v>
      </c>
      <c r="G97" s="137" t="e">
        <f t="shared" si="13"/>
        <v>#NAME?</v>
      </c>
      <c r="H97" s="137" t="str" cm="1">
        <f t="array" ref="H97">IFERROR(AVERAGEIFS(Pay_Amount,Pay_Key_Gps,"*"&amp;$A$71&amp;"*",Pay_Code,$A97,pp_Hrs_Wkd_Pay_Code,"&gt;="&amp;$V$1,pp_OT_Pay_Code,"&gt;="&amp;$V$2,pp_Bon_Pay_Code,"&gt;="&amp;$V$3,pp_Meal_Pay_Code,"&gt;="&amp;$V$4,pp_Sick_Pay_Code,"&gt;="&amp;$V$5,pp_Diff_Pay_Code,"&gt;="&amp;$V$6),"-")</f>
        <v>-</v>
      </c>
      <c r="J97" s="133">
        <f t="shared" si="18"/>
        <v>0</v>
      </c>
      <c r="K97" s="138" t="e" cm="1">
        <f t="array" ref="K97">_xlfn.LET(_xlpm.calc,COUNTIFS(Rate_Gp,K$11,Pay_Key_Gps,"*"&amp;$A$71&amp;"*",Pay_Code,$A97,pp_Hrs_Wkd_Pay_Code,"&gt;="&amp;$V$1,pp_OT_Pay_Code,"&gt;="&amp;$V$2,pp_Bon_Pay_Code,"&gt;="&amp;$V$3,pp_Meal_Pay_Code,"&gt;="&amp;$V$4,pp_Sick_Pay_Code,"&gt;="&amp;$V$5,pp_Diff_Pay_Code,"&gt;="&amp;$V$6),_xlpm.calc2,COUNTIFS(Pay_Key_Gps,"*"&amp;$A$71&amp;"*",Pay_Code,$A97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97" s="138" t="e" cm="1">
        <f t="array" ref="L97">_xlfn.LET(_xlpm.calc,COUNTIFS(Rate_Gp,L$11,Pay_Key_Gps,"*"&amp;$A$71&amp;"*",Pay_Code,$A97,pp_Hrs_Wkd_Pay_Code,"&gt;="&amp;$V$1,pp_OT_Pay_Code,"&gt;="&amp;$V$2,pp_Bon_Pay_Code,"&gt;="&amp;$V$3,pp_Meal_Pay_Code,"&gt;="&amp;$V$4,pp_Sick_Pay_Code,"&gt;="&amp;$V$5,pp_Diff_Pay_Code,"&gt;="&amp;$V$6),_xlpm.calc2,COUNTIFS(Pay_Key_Gps,"*"&amp;$A$71&amp;"*",Pay_Code,$A97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97" s="138" t="e" cm="1">
        <f t="array" ref="M97">_xlfn.LET(_xlpm.calc,COUNTIFS(Rate_Gp,M$11,Pay_Key_Gps,"*"&amp;$A$71&amp;"*",Pay_Code,$A97,pp_Hrs_Wkd_Pay_Code,"&gt;="&amp;$V$1,pp_OT_Pay_Code,"&gt;="&amp;$V$2,pp_Bon_Pay_Code,"&gt;="&amp;$V$3,pp_Meal_Pay_Code,"&gt;="&amp;$V$4,pp_Sick_Pay_Code,"&gt;="&amp;$V$5,pp_Diff_Pay_Code,"&gt;="&amp;$V$6),_xlpm.calc2,COUNTIFS(Pay_Key_Gps,"*"&amp;$A$71&amp;"*",Pay_Code,$A97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97" s="138" t="e" cm="1">
        <f t="array" ref="N97">_xlfn.LET(_xlpm.calc,COUNTIFS(Rate_Gp,N$11,Pay_Key_Gps,"*"&amp;$A$71&amp;"*",Pay_Code,$A97,pp_Hrs_Wkd_Pay_Code,"&gt;="&amp;$V$1,pp_OT_Pay_Code,"&gt;="&amp;$V$2,pp_Bon_Pay_Code,"&gt;="&amp;$V$3,pp_Meal_Pay_Code,"&gt;="&amp;$V$4,pp_Sick_Pay_Code,"&gt;="&amp;$V$5,pp_Diff_Pay_Code,"&gt;="&amp;$V$6),_xlpm.calc2,COUNTIFS(Pay_Key_Gps,"*"&amp;$A$71&amp;"*",Pay_Code,$A97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97" s="138" t="e" cm="1">
        <f t="array" ref="O97">_xlfn.LET(_xlpm.calc,COUNTIFS(Rate_Gp,O$11,Pay_Key_Gps,"*"&amp;$A$71&amp;"*",Pay_Code,$A97,pp_Hrs_Wkd_Pay_Code,"&gt;="&amp;$V$1,pp_OT_Pay_Code,"&gt;="&amp;$V$2,pp_Bon_Pay_Code,"&gt;="&amp;$V$3,pp_Meal_Pay_Code,"&gt;="&amp;$V$4,pp_Sick_Pay_Code,"&gt;="&amp;$V$5,pp_Diff_Pay_Code,"&gt;="&amp;$V$6),_xlpm.calc2,COUNTIFS(Pay_Key_Gps,"*"&amp;$A$71&amp;"*",Pay_Code,$A97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97" s="138" t="e" cm="1">
        <f t="array" ref="P97">_xlfn.LET(_xlpm.calc,COUNTIFS(Rate_Gp,P$11,Pay_Key_Gps,"*"&amp;$A$71&amp;"*",Pay_Code,$A97,pp_Hrs_Wkd_Pay_Code,"&gt;="&amp;$V$1,pp_OT_Pay_Code,"&gt;="&amp;$V$2,pp_Bon_Pay_Code,"&gt;="&amp;$V$3,pp_Meal_Pay_Code,"&gt;="&amp;$V$4,pp_Sick_Pay_Code,"&gt;="&amp;$V$5,pp_Diff_Pay_Code,"&gt;="&amp;$V$6),_xlpm.calc2,COUNTIFS(Pay_Key_Gps,"*"&amp;$A$71&amp;"*",Pay_Code,$A97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97" s="138" t="e" cm="1">
        <f t="array" ref="Q97">_xlfn.LET(_xlpm.calc,COUNTIFS(Rate_Gp,Q$11,Pay_Key_Gps,"*"&amp;$A$71&amp;"*",Pay_Code,$A97,pp_Hrs_Wkd_Pay_Code,"&gt;="&amp;$V$1,pp_OT_Pay_Code,"&gt;="&amp;$V$2,pp_Bon_Pay_Code,"&gt;="&amp;$V$3,pp_Meal_Pay_Code,"&gt;="&amp;$V$4,pp_Sick_Pay_Code,"&gt;="&amp;$V$5,pp_Diff_Pay_Code,"&gt;="&amp;$V$6),_xlpm.calc2,COUNTIFS(Pay_Key_Gps,"*"&amp;$A$71&amp;"*",Pay_Code,$A97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97" s="138" t="e" cm="1">
        <f t="array" ref="R97">_xlfn.LET(_xlpm.calc,COUNTIFS(Rate_Gp,R$11,Pay_Key_Gps,"*"&amp;$A$71&amp;"*",Pay_Code,$A97,pp_Hrs_Wkd_Pay_Code,"&gt;="&amp;$V$1,pp_OT_Pay_Code,"&gt;="&amp;$V$2,pp_Bon_Pay_Code,"&gt;="&amp;$V$3,pp_Meal_Pay_Code,"&gt;="&amp;$V$4,pp_Sick_Pay_Code,"&gt;="&amp;$V$5,pp_Diff_Pay_Code,"&gt;="&amp;$V$6),_xlpm.calc2,COUNTIFS(Pay_Key_Gps,"*"&amp;$A$71&amp;"*",Pay_Code,$A97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97" s="138" t="e" cm="1">
        <f t="array" ref="S97">_xlfn.LET(_xlpm.calc,COUNTIFS(Rate_Gp,S$11,Pay_Key_Gps,"*"&amp;$A$71&amp;"*",Pay_Code,$A97,pp_Hrs_Wkd_Pay_Code,"&gt;="&amp;$V$1,pp_OT_Pay_Code,"&gt;="&amp;$V$2,pp_Bon_Pay_Code,"&gt;="&amp;$V$3,pp_Meal_Pay_Code,"&gt;="&amp;$V$4,pp_Sick_Pay_Code,"&gt;="&amp;$V$5,pp_Diff_Pay_Code,"&gt;="&amp;$V$6),_xlpm.calc2,COUNTIFS(Pay_Key_Gps,"*"&amp;$A$71&amp;"*",Pay_Code,$A97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97" s="138" t="e" cm="1">
        <f t="array" ref="T97">_xlfn.LET(_xlpm.calc,COUNTIFS(Rate_Gp,T$11,Pay_Key_Gps,"*"&amp;$A$71&amp;"*",Pay_Code,$A97,pp_Hrs_Wkd_Pay_Code,"&gt;="&amp;$V$1,pp_OT_Pay_Code,"&gt;="&amp;$V$2,pp_Bon_Pay_Code,"&gt;="&amp;$V$3,pp_Meal_Pay_Code,"&gt;="&amp;$V$4,pp_Sick_Pay_Code,"&gt;="&amp;$V$5,pp_Diff_Pay_Code,"&gt;="&amp;$V$6),_xlpm.calc2,COUNTIFS(Pay_Key_Gps,"*"&amp;$A$71&amp;"*",Pay_Code,$A97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97" s="139" t="e" cm="1">
        <f t="array" ref="U97">_xlfn.LET(_xlpm.calc,COUNTIFS(Pay_Key_Gps,"*"&amp;$A$71&amp;"*",Pay_Code,$A97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97" s="118"/>
      <c r="W97" s="118"/>
      <c r="X97" s="149"/>
      <c r="Y97" s="149"/>
      <c r="Z97" s="149"/>
      <c r="AA97" s="149"/>
      <c r="AB97" s="140" t="e">
        <f t="shared" si="14"/>
        <v>#NAME?</v>
      </c>
    </row>
    <row r="98" spans="1:28" s="122" customFormat="1" x14ac:dyDescent="0.25">
      <c r="A98" s="133"/>
      <c r="B98" s="134" t="e" cm="1">
        <f t="array" ref="B98">_xlfn.LET(_xlpm.calc,_xlfn.MINIFS(Pay_Period_End,Pay_Key_Gps,"*"&amp;$A$71&amp;"*",Pay_Code,$A98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98" s="134" t="e" cm="1">
        <f t="array" ref="C98">_xlfn.LET(_xlpm.calc,_xlfn.MAXIFS(Pay_Period_End,Pay_Key_Gps,"*"&amp;$A$71&amp;"*",Pay_Code,$A98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98" s="135" t="str" cm="1">
        <f t="array" ref="D98">_xlfn.LET(_xlpm.calc,IFERROR(ROWS(_xlfn.UNIQUE(_xlfn._xlws.FILTER(Pay_ID,(IFERROR(SEARCH($A$71,Pay_Key_Gps),0)&gt;0) * (Pay_Code=$A98) * (pp_Hrs_Wkd_Pay_Code &gt;= $V$1) * (pp_OT_Pay_Code &gt;= $V$2) * (pp_Bon_Pay_Code &gt;= $V$3) * (pp_Meal_Pay_Code &gt;= $V$4) * (pp_Sick_Pay_Code &gt;= $V$5) * (pp_Diff_Pay_Code &gt;= $V$6)))),0),_xlpm.perc,_xlpm.calc/D$100,IFERROR(IF(_xlpm.calc&gt;1000,_xlfn.CONCAT(TEXT(_xlpm.calc,"0,000")," (",TEXT(_xlpm.perc,"0.0%"),")"),_xlfn.CONCAT(_xlpm.calc," (",TEXT(_xlpm.perc,"0.0%"),")")),"-"))</f>
        <v>-</v>
      </c>
      <c r="E98" s="135" t="str" cm="1">
        <f t="array" ref="E98">_xlfn.LET(_xlpm.calc,IFERROR(ROWS(_xlfn.UNIQUE(_xlfn._xlws.FILTER(Pay_ID_Period_End,(IFERROR(SEARCH($A$71,Pay_Key_Gps),0)&gt;0) * (Pay_Code=$A98) * (pp_Hrs_Wkd_Pay_Code &gt;= $V$1) * (pp_OT_Pay_Code &gt;= $V$2) * (pp_Bon_Pay_Code &gt;= $V$3) * (pp_Meal_Pay_Code &gt;= $V$4) * (pp_Sick_Pay_Code &gt;= $V$5) * (pp_Diff_Pay_Code &gt;= $V$6)))),0),_xlpm.perc,_xlpm.calc/E$100,IFERROR(IF(_xlpm.calc&gt;1000,_xlfn.CONCAT(TEXT(_xlpm.calc,"0,000")," (",TEXT(_xlpm.perc,"0.0%"),")"),_xlfn.CONCAT(_xlpm.calc," (",TEXT(_xlpm.perc,"0.0%"),")")),"-"))</f>
        <v>-</v>
      </c>
      <c r="F98" s="136" t="e">
        <f t="shared" si="12"/>
        <v>#NAME?</v>
      </c>
      <c r="G98" s="137" t="e">
        <f t="shared" si="13"/>
        <v>#NAME?</v>
      </c>
      <c r="H98" s="137" t="str" cm="1">
        <f t="array" ref="H98">IFERROR(AVERAGEIFS(Pay_Amount,Pay_Key_Gps,"*"&amp;$A$71&amp;"*",Pay_Code,$A98,pp_Hrs_Wkd_Pay_Code,"&gt;="&amp;$V$1,pp_OT_Pay_Code,"&gt;="&amp;$V$2,pp_Bon_Pay_Code,"&gt;="&amp;$V$3,pp_Meal_Pay_Code,"&gt;="&amp;$V$4,pp_Sick_Pay_Code,"&gt;="&amp;$V$5,pp_Diff_Pay_Code,"&gt;="&amp;$V$6),"-")</f>
        <v>-</v>
      </c>
      <c r="J98" s="133">
        <f t="shared" si="18"/>
        <v>0</v>
      </c>
      <c r="K98" s="138" t="e" cm="1">
        <f t="array" ref="K98">_xlfn.LET(_xlpm.calc,COUNTIFS(Rate_Gp,K$11,Pay_Key_Gps,"*"&amp;$A$71&amp;"*",Pay_Code,$A98,pp_Hrs_Wkd_Pay_Code,"&gt;="&amp;$V$1,pp_OT_Pay_Code,"&gt;="&amp;$V$2,pp_Bon_Pay_Code,"&gt;="&amp;$V$3,pp_Meal_Pay_Code,"&gt;="&amp;$V$4,pp_Sick_Pay_Code,"&gt;="&amp;$V$5,pp_Diff_Pay_Code,"&gt;="&amp;$V$6),_xlpm.calc2,COUNTIFS(Pay_Key_Gps,"*"&amp;$A$71&amp;"*",Pay_Code,$A98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98" s="138" t="e" cm="1">
        <f t="array" ref="L98">_xlfn.LET(_xlpm.calc,COUNTIFS(Rate_Gp,L$11,Pay_Key_Gps,"*"&amp;$A$71&amp;"*",Pay_Code,$A98,pp_Hrs_Wkd_Pay_Code,"&gt;="&amp;$V$1,pp_OT_Pay_Code,"&gt;="&amp;$V$2,pp_Bon_Pay_Code,"&gt;="&amp;$V$3,pp_Meal_Pay_Code,"&gt;="&amp;$V$4,pp_Sick_Pay_Code,"&gt;="&amp;$V$5,pp_Diff_Pay_Code,"&gt;="&amp;$V$6),_xlpm.calc2,COUNTIFS(Pay_Key_Gps,"*"&amp;$A$71&amp;"*",Pay_Code,$A98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98" s="138" t="e" cm="1">
        <f t="array" ref="M98">_xlfn.LET(_xlpm.calc,COUNTIFS(Rate_Gp,M$11,Pay_Key_Gps,"*"&amp;$A$71&amp;"*",Pay_Code,$A98,pp_Hrs_Wkd_Pay_Code,"&gt;="&amp;$V$1,pp_OT_Pay_Code,"&gt;="&amp;$V$2,pp_Bon_Pay_Code,"&gt;="&amp;$V$3,pp_Meal_Pay_Code,"&gt;="&amp;$V$4,pp_Sick_Pay_Code,"&gt;="&amp;$V$5,pp_Diff_Pay_Code,"&gt;="&amp;$V$6),_xlpm.calc2,COUNTIFS(Pay_Key_Gps,"*"&amp;$A$71&amp;"*",Pay_Code,$A98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98" s="138" t="e" cm="1">
        <f t="array" ref="N98">_xlfn.LET(_xlpm.calc,COUNTIFS(Rate_Gp,N$11,Pay_Key_Gps,"*"&amp;$A$71&amp;"*",Pay_Code,$A98,pp_Hrs_Wkd_Pay_Code,"&gt;="&amp;$V$1,pp_OT_Pay_Code,"&gt;="&amp;$V$2,pp_Bon_Pay_Code,"&gt;="&amp;$V$3,pp_Meal_Pay_Code,"&gt;="&amp;$V$4,pp_Sick_Pay_Code,"&gt;="&amp;$V$5,pp_Diff_Pay_Code,"&gt;="&amp;$V$6),_xlpm.calc2,COUNTIFS(Pay_Key_Gps,"*"&amp;$A$71&amp;"*",Pay_Code,$A98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98" s="138" t="e" cm="1">
        <f t="array" ref="O98">_xlfn.LET(_xlpm.calc,COUNTIFS(Rate_Gp,O$11,Pay_Key_Gps,"*"&amp;$A$71&amp;"*",Pay_Code,$A98,pp_Hrs_Wkd_Pay_Code,"&gt;="&amp;$V$1,pp_OT_Pay_Code,"&gt;="&amp;$V$2,pp_Bon_Pay_Code,"&gt;="&amp;$V$3,pp_Meal_Pay_Code,"&gt;="&amp;$V$4,pp_Sick_Pay_Code,"&gt;="&amp;$V$5,pp_Diff_Pay_Code,"&gt;="&amp;$V$6),_xlpm.calc2,COUNTIFS(Pay_Key_Gps,"*"&amp;$A$71&amp;"*",Pay_Code,$A98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98" s="138" t="e" cm="1">
        <f t="array" ref="P98">_xlfn.LET(_xlpm.calc,COUNTIFS(Rate_Gp,P$11,Pay_Key_Gps,"*"&amp;$A$71&amp;"*",Pay_Code,$A98,pp_Hrs_Wkd_Pay_Code,"&gt;="&amp;$V$1,pp_OT_Pay_Code,"&gt;="&amp;$V$2,pp_Bon_Pay_Code,"&gt;="&amp;$V$3,pp_Meal_Pay_Code,"&gt;="&amp;$V$4,pp_Sick_Pay_Code,"&gt;="&amp;$V$5,pp_Diff_Pay_Code,"&gt;="&amp;$V$6),_xlpm.calc2,COUNTIFS(Pay_Key_Gps,"*"&amp;$A$71&amp;"*",Pay_Code,$A98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98" s="138" t="e" cm="1">
        <f t="array" ref="Q98">_xlfn.LET(_xlpm.calc,COUNTIFS(Rate_Gp,Q$11,Pay_Key_Gps,"*"&amp;$A$71&amp;"*",Pay_Code,$A98,pp_Hrs_Wkd_Pay_Code,"&gt;="&amp;$V$1,pp_OT_Pay_Code,"&gt;="&amp;$V$2,pp_Bon_Pay_Code,"&gt;="&amp;$V$3,pp_Meal_Pay_Code,"&gt;="&amp;$V$4,pp_Sick_Pay_Code,"&gt;="&amp;$V$5,pp_Diff_Pay_Code,"&gt;="&amp;$V$6),_xlpm.calc2,COUNTIFS(Pay_Key_Gps,"*"&amp;$A$71&amp;"*",Pay_Code,$A98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98" s="138" t="e" cm="1">
        <f t="array" ref="R98">_xlfn.LET(_xlpm.calc,COUNTIFS(Rate_Gp,R$11,Pay_Key_Gps,"*"&amp;$A$71&amp;"*",Pay_Code,$A98,pp_Hrs_Wkd_Pay_Code,"&gt;="&amp;$V$1,pp_OT_Pay_Code,"&gt;="&amp;$V$2,pp_Bon_Pay_Code,"&gt;="&amp;$V$3,pp_Meal_Pay_Code,"&gt;="&amp;$V$4,pp_Sick_Pay_Code,"&gt;="&amp;$V$5,pp_Diff_Pay_Code,"&gt;="&amp;$V$6),_xlpm.calc2,COUNTIFS(Pay_Key_Gps,"*"&amp;$A$71&amp;"*",Pay_Code,$A98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98" s="138" t="e" cm="1">
        <f t="array" ref="S98">_xlfn.LET(_xlpm.calc,COUNTIFS(Rate_Gp,S$11,Pay_Key_Gps,"*"&amp;$A$71&amp;"*",Pay_Code,$A98,pp_Hrs_Wkd_Pay_Code,"&gt;="&amp;$V$1,pp_OT_Pay_Code,"&gt;="&amp;$V$2,pp_Bon_Pay_Code,"&gt;="&amp;$V$3,pp_Meal_Pay_Code,"&gt;="&amp;$V$4,pp_Sick_Pay_Code,"&gt;="&amp;$V$5,pp_Diff_Pay_Code,"&gt;="&amp;$V$6),_xlpm.calc2,COUNTIFS(Pay_Key_Gps,"*"&amp;$A$71&amp;"*",Pay_Code,$A98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98" s="138" t="e" cm="1">
        <f t="array" ref="T98">_xlfn.LET(_xlpm.calc,COUNTIFS(Rate_Gp,T$11,Pay_Key_Gps,"*"&amp;$A$71&amp;"*",Pay_Code,$A98,pp_Hrs_Wkd_Pay_Code,"&gt;="&amp;$V$1,pp_OT_Pay_Code,"&gt;="&amp;$V$2,pp_Bon_Pay_Code,"&gt;="&amp;$V$3,pp_Meal_Pay_Code,"&gt;="&amp;$V$4,pp_Sick_Pay_Code,"&gt;="&amp;$V$5,pp_Diff_Pay_Code,"&gt;="&amp;$V$6),_xlpm.calc2,COUNTIFS(Pay_Key_Gps,"*"&amp;$A$71&amp;"*",Pay_Code,$A98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98" s="139" t="e" cm="1">
        <f t="array" ref="U98">_xlfn.LET(_xlpm.calc,COUNTIFS(Pay_Key_Gps,"*"&amp;$A$71&amp;"*",Pay_Code,$A98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98" s="118"/>
      <c r="W98" s="118"/>
      <c r="X98" s="149"/>
      <c r="Y98" s="149"/>
      <c r="Z98" s="149"/>
      <c r="AA98" s="149"/>
      <c r="AB98" s="140" t="e">
        <f t="shared" si="14"/>
        <v>#NAME?</v>
      </c>
    </row>
    <row r="99" spans="1:28" s="122" customFormat="1" x14ac:dyDescent="0.25">
      <c r="A99" s="133"/>
      <c r="B99" s="134" t="e" cm="1">
        <f t="array" ref="B99">_xlfn.LET(_xlpm.calc,_xlfn.MINIFS(Pay_Period_End,Pay_Key_Gps,"*"&amp;$A$71&amp;"*",Pay_Code,$A99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99" s="134" t="e" cm="1">
        <f t="array" ref="C99">_xlfn.LET(_xlpm.calc,_xlfn.MAXIFS(Pay_Period_End,Pay_Key_Gps,"*"&amp;$A$71&amp;"*",Pay_Code,$A99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99" s="135" t="str" cm="1">
        <f t="array" ref="D99">_xlfn.LET(_xlpm.calc,IFERROR(ROWS(_xlfn.UNIQUE(_xlfn._xlws.FILTER(Pay_ID,(IFERROR(SEARCH($A$71,Pay_Key_Gps),0)&gt;0) * (Pay_Code=$A99) * (pp_Hrs_Wkd_Pay_Code &gt;= $V$1) * (pp_OT_Pay_Code &gt;= $V$2) * (pp_Bon_Pay_Code &gt;= $V$3) * (pp_Meal_Pay_Code &gt;= $V$4) * (pp_Sick_Pay_Code &gt;= $V$5) * (pp_Diff_Pay_Code &gt;= $V$6)))),0),_xlpm.perc,_xlpm.calc/D$100,IFERROR(IF(_xlpm.calc&gt;1000,_xlfn.CONCAT(TEXT(_xlpm.calc,"0,000")," (",TEXT(_xlpm.perc,"0.0%"),")"),_xlfn.CONCAT(_xlpm.calc," (",TEXT(_xlpm.perc,"0.0%"),")")),"-"))</f>
        <v>-</v>
      </c>
      <c r="E99" s="135" t="str" cm="1">
        <f t="array" ref="E99">_xlfn.LET(_xlpm.calc,IFERROR(ROWS(_xlfn.UNIQUE(_xlfn._xlws.FILTER(Pay_ID_Period_End,(IFERROR(SEARCH($A$71,Pay_Key_Gps),0)&gt;0) * (Pay_Code=$A99) * (pp_Hrs_Wkd_Pay_Code &gt;= $V$1) * (pp_OT_Pay_Code &gt;= $V$2) * (pp_Bon_Pay_Code &gt;= $V$3) * (pp_Meal_Pay_Code &gt;= $V$4) * (pp_Sick_Pay_Code &gt;= $V$5) * (pp_Diff_Pay_Code &gt;= $V$6)))),0),_xlpm.perc,_xlpm.calc/E$100,IFERROR(IF(_xlpm.calc&gt;1000,_xlfn.CONCAT(TEXT(_xlpm.calc,"0,000")," (",TEXT(_xlpm.perc,"0.0%"),")"),_xlfn.CONCAT(_xlpm.calc," (",TEXT(_xlpm.perc,"0.0%"),")")),"-"))</f>
        <v>-</v>
      </c>
      <c r="F99" s="136" t="e">
        <f t="shared" si="12"/>
        <v>#NAME?</v>
      </c>
      <c r="G99" s="137" t="e">
        <f t="shared" si="13"/>
        <v>#NAME?</v>
      </c>
      <c r="H99" s="137" t="str" cm="1">
        <f t="array" ref="H99">IFERROR(AVERAGEIFS(Pay_Amount,Pay_Key_Gps,"*"&amp;$A$71&amp;"*",Pay_Code,$A99,pp_Hrs_Wkd_Pay_Code,"&gt;="&amp;$V$1,pp_OT_Pay_Code,"&gt;="&amp;$V$2,pp_Bon_Pay_Code,"&gt;="&amp;$V$3,pp_Meal_Pay_Code,"&gt;="&amp;$V$4,pp_Sick_Pay_Code,"&gt;="&amp;$V$5,pp_Diff_Pay_Code,"&gt;="&amp;$V$6),"-")</f>
        <v>-</v>
      </c>
      <c r="J99" s="133">
        <f t="shared" si="18"/>
        <v>0</v>
      </c>
      <c r="K99" s="138" t="e" cm="1">
        <f t="array" ref="K99">_xlfn.LET(_xlpm.calc,COUNTIFS(Rate_Gp,K$11,Pay_Key_Gps,"*"&amp;$A$71&amp;"*",Pay_Code,$A99,pp_Hrs_Wkd_Pay_Code,"&gt;="&amp;$V$1,pp_OT_Pay_Code,"&gt;="&amp;$V$2,pp_Bon_Pay_Code,"&gt;="&amp;$V$3,pp_Meal_Pay_Code,"&gt;="&amp;$V$4,pp_Sick_Pay_Code,"&gt;="&amp;$V$5,pp_Diff_Pay_Code,"&gt;="&amp;$V$6),_xlpm.calc2,COUNTIFS(Pay_Key_Gps,"*"&amp;$A$71&amp;"*",Pay_Code,$A99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99" s="138" t="e" cm="1">
        <f t="array" ref="L99">_xlfn.LET(_xlpm.calc,COUNTIFS(Rate_Gp,L$11,Pay_Key_Gps,"*"&amp;$A$71&amp;"*",Pay_Code,$A99,pp_Hrs_Wkd_Pay_Code,"&gt;="&amp;$V$1,pp_OT_Pay_Code,"&gt;="&amp;$V$2,pp_Bon_Pay_Code,"&gt;="&amp;$V$3,pp_Meal_Pay_Code,"&gt;="&amp;$V$4,pp_Sick_Pay_Code,"&gt;="&amp;$V$5,pp_Diff_Pay_Code,"&gt;="&amp;$V$6),_xlpm.calc2,COUNTIFS(Pay_Key_Gps,"*"&amp;$A$71&amp;"*",Pay_Code,$A99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99" s="138" t="e" cm="1">
        <f t="array" ref="M99">_xlfn.LET(_xlpm.calc,COUNTIFS(Rate_Gp,M$11,Pay_Key_Gps,"*"&amp;$A$71&amp;"*",Pay_Code,$A99,pp_Hrs_Wkd_Pay_Code,"&gt;="&amp;$V$1,pp_OT_Pay_Code,"&gt;="&amp;$V$2,pp_Bon_Pay_Code,"&gt;="&amp;$V$3,pp_Meal_Pay_Code,"&gt;="&amp;$V$4,pp_Sick_Pay_Code,"&gt;="&amp;$V$5,pp_Diff_Pay_Code,"&gt;="&amp;$V$6),_xlpm.calc2,COUNTIFS(Pay_Key_Gps,"*"&amp;$A$71&amp;"*",Pay_Code,$A99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99" s="138" t="e" cm="1">
        <f t="array" ref="N99">_xlfn.LET(_xlpm.calc,COUNTIFS(Rate_Gp,N$11,Pay_Key_Gps,"*"&amp;$A$71&amp;"*",Pay_Code,$A99,pp_Hrs_Wkd_Pay_Code,"&gt;="&amp;$V$1,pp_OT_Pay_Code,"&gt;="&amp;$V$2,pp_Bon_Pay_Code,"&gt;="&amp;$V$3,pp_Meal_Pay_Code,"&gt;="&amp;$V$4,pp_Sick_Pay_Code,"&gt;="&amp;$V$5,pp_Diff_Pay_Code,"&gt;="&amp;$V$6),_xlpm.calc2,COUNTIFS(Pay_Key_Gps,"*"&amp;$A$71&amp;"*",Pay_Code,$A99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99" s="138" t="e" cm="1">
        <f t="array" ref="O99">_xlfn.LET(_xlpm.calc,COUNTIFS(Rate_Gp,O$11,Pay_Key_Gps,"*"&amp;$A$71&amp;"*",Pay_Code,$A99,pp_Hrs_Wkd_Pay_Code,"&gt;="&amp;$V$1,pp_OT_Pay_Code,"&gt;="&amp;$V$2,pp_Bon_Pay_Code,"&gt;="&amp;$V$3,pp_Meal_Pay_Code,"&gt;="&amp;$V$4,pp_Sick_Pay_Code,"&gt;="&amp;$V$5,pp_Diff_Pay_Code,"&gt;="&amp;$V$6),_xlpm.calc2,COUNTIFS(Pay_Key_Gps,"*"&amp;$A$71&amp;"*",Pay_Code,$A99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99" s="138" t="e" cm="1">
        <f t="array" ref="P99">_xlfn.LET(_xlpm.calc,COUNTIFS(Rate_Gp,P$11,Pay_Key_Gps,"*"&amp;$A$71&amp;"*",Pay_Code,$A99,pp_Hrs_Wkd_Pay_Code,"&gt;="&amp;$V$1,pp_OT_Pay_Code,"&gt;="&amp;$V$2,pp_Bon_Pay_Code,"&gt;="&amp;$V$3,pp_Meal_Pay_Code,"&gt;="&amp;$V$4,pp_Sick_Pay_Code,"&gt;="&amp;$V$5,pp_Diff_Pay_Code,"&gt;="&amp;$V$6),_xlpm.calc2,COUNTIFS(Pay_Key_Gps,"*"&amp;$A$71&amp;"*",Pay_Code,$A99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99" s="138" t="e" cm="1">
        <f t="array" ref="Q99">_xlfn.LET(_xlpm.calc,COUNTIFS(Rate_Gp,Q$11,Pay_Key_Gps,"*"&amp;$A$71&amp;"*",Pay_Code,$A99,pp_Hrs_Wkd_Pay_Code,"&gt;="&amp;$V$1,pp_OT_Pay_Code,"&gt;="&amp;$V$2,pp_Bon_Pay_Code,"&gt;="&amp;$V$3,pp_Meal_Pay_Code,"&gt;="&amp;$V$4,pp_Sick_Pay_Code,"&gt;="&amp;$V$5,pp_Diff_Pay_Code,"&gt;="&amp;$V$6),_xlpm.calc2,COUNTIFS(Pay_Key_Gps,"*"&amp;$A$71&amp;"*",Pay_Code,$A99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99" s="138" t="e" cm="1">
        <f t="array" ref="R99">_xlfn.LET(_xlpm.calc,COUNTIFS(Rate_Gp,R$11,Pay_Key_Gps,"*"&amp;$A$71&amp;"*",Pay_Code,$A99,pp_Hrs_Wkd_Pay_Code,"&gt;="&amp;$V$1,pp_OT_Pay_Code,"&gt;="&amp;$V$2,pp_Bon_Pay_Code,"&gt;="&amp;$V$3,pp_Meal_Pay_Code,"&gt;="&amp;$V$4,pp_Sick_Pay_Code,"&gt;="&amp;$V$5,pp_Diff_Pay_Code,"&gt;="&amp;$V$6),_xlpm.calc2,COUNTIFS(Pay_Key_Gps,"*"&amp;$A$71&amp;"*",Pay_Code,$A99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99" s="138" t="e" cm="1">
        <f t="array" ref="S99">_xlfn.LET(_xlpm.calc,COUNTIFS(Rate_Gp,S$11,Pay_Key_Gps,"*"&amp;$A$71&amp;"*",Pay_Code,$A99,pp_Hrs_Wkd_Pay_Code,"&gt;="&amp;$V$1,pp_OT_Pay_Code,"&gt;="&amp;$V$2,pp_Bon_Pay_Code,"&gt;="&amp;$V$3,pp_Meal_Pay_Code,"&gt;="&amp;$V$4,pp_Sick_Pay_Code,"&gt;="&amp;$V$5,pp_Diff_Pay_Code,"&gt;="&amp;$V$6),_xlpm.calc2,COUNTIFS(Pay_Key_Gps,"*"&amp;$A$71&amp;"*",Pay_Code,$A99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99" s="138" t="e" cm="1">
        <f t="array" ref="T99">_xlfn.LET(_xlpm.calc,COUNTIFS(Rate_Gp,T$11,Pay_Key_Gps,"*"&amp;$A$71&amp;"*",Pay_Code,$A99,pp_Hrs_Wkd_Pay_Code,"&gt;="&amp;$V$1,pp_OT_Pay_Code,"&gt;="&amp;$V$2,pp_Bon_Pay_Code,"&gt;="&amp;$V$3,pp_Meal_Pay_Code,"&gt;="&amp;$V$4,pp_Sick_Pay_Code,"&gt;="&amp;$V$5,pp_Diff_Pay_Code,"&gt;="&amp;$V$6),_xlpm.calc2,COUNTIFS(Pay_Key_Gps,"*"&amp;$A$71&amp;"*",Pay_Code,$A99,pp_Hrs_Wkd_Pay_Code,"&gt;="&amp;$V$1,pp_OT_Pay_Code,"&gt;="&amp;$V$2,pp_Bon_Pay_Code,"&gt;="&amp;$V$3,pp_Meal_Pay_Code,"&gt;="&amp;$V$4,pp_Sick_Pay_Code,"&gt;="&amp;$V$5,pp_Diff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99" s="139" t="e" cm="1">
        <f t="array" ref="U99">_xlfn.LET(_xlpm.calc,COUNTIFS(Pay_Key_Gps,"*"&amp;$A$71&amp;"*",Pay_Code,$A99,pp_Hrs_Wkd_Pay_Code,"&gt;="&amp;$V$1,pp_OT_Pay_Code,"&gt;="&amp;$V$2,pp_Bon_Pay_Code,"&gt;="&amp;$V$3,pp_Meal_Pay_Code,"&gt;="&amp;$V$4,pp_Sick_Pay_Code,"&gt;="&amp;$V$5,pp_Diff_Pay_Code,"&gt;="&amp;$V$6),IF(_xlpm.calc=0,"-",_xlpm.calc))</f>
        <v>#NAME?</v>
      </c>
      <c r="V99" s="118"/>
      <c r="W99" s="118"/>
      <c r="X99" s="149"/>
      <c r="Y99" s="149"/>
      <c r="Z99" s="149"/>
      <c r="AA99" s="149"/>
      <c r="AB99" s="140" t="e">
        <f t="shared" si="14"/>
        <v>#NAME?</v>
      </c>
    </row>
    <row r="100" spans="1:28" s="122" customFormat="1" x14ac:dyDescent="0.25">
      <c r="A100" s="141" t="s">
        <v>45</v>
      </c>
      <c r="B100" s="142" t="e" cm="1">
        <f t="array" ref="B100">_xlfn.LET(_xlpm.calc,_xlfn.MINIFS(Pay_Period_End,Pay_Key_Gps,"*"&amp;$A$71&amp;"*"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C100" s="142" t="e" cm="1">
        <f t="array" ref="C100">_xlfn.LET(_xlpm.calc,_xlfn.MAXIFS(Pay_Period_End,Pay_Key_Gps,"*"&amp;$A$71&amp;"*",pp_Hrs_Wkd_Pay_Code,"&gt;="&amp;$V$1,pp_OT_Pay_Code,"&gt;="&amp;$V$2,pp_Bon_Pay_Code,"&gt;="&amp;$V$3,pp_Meal_Pay_Code,"&gt;="&amp;$V$4,pp_Sick_Pay_Code,"&gt;="&amp;$V$5,pp_Diff_Pay_Code,"&gt;="&amp;$V$6),IF(_xlpm.calc=0,"",_xlpm.calc))</f>
        <v>#NAME?</v>
      </c>
      <c r="D100" s="139" cm="1">
        <f t="array" ref="D100">IFERROR(ROWS(_xlfn.UNIQUE(_xlfn._xlws.FILTER(Pay_ID,(IFERROR(SEARCH($A$71,Pay_Key_Gps),0)&gt;0)))),0)</f>
        <v>0</v>
      </c>
      <c r="E100" s="139" cm="1">
        <f t="array" ref="E100">IFERROR(ROWS(_xlfn.UNIQUE(_xlfn._xlws.FILTER(Pay_ID_Period_End,(IFERROR(SEARCH($A$71,Pay_Key_Gps),0)&gt;0)))),0)</f>
        <v>0</v>
      </c>
      <c r="F100" s="143" t="e" cm="1">
        <f t="array" ref="F100">SUMIFS(Pay_Hours,Pay_Key_Gps,"*"&amp;$A$71&amp;"*",pp_Hrs_Wkd_Pay_Code,"&gt;="&amp;$V$1,pp_OT_Pay_Code,"&gt;="&amp;$V$2,pp_Bon_Pay_Code,"&gt;="&amp;$V$3,pp_Meal_Pay_Code,"&gt;="&amp;$V$4,pp_Sick_Pay_Code,"&gt;="&amp;$V$5,pp_Diff_Pay_Code,"&gt;="&amp;$V$6)</f>
        <v>#NAME?</v>
      </c>
      <c r="G100" s="144" t="e" cm="1">
        <f t="array" ref="G100">SUMIFS(Pay_Amount,Pay_Key_Gps,"*"&amp;$A$71&amp;"*",pp_Hrs_Wkd_Pay_Code,"&gt;="&amp;$V$1,pp_OT_Pay_Code,"&gt;="&amp;$V$2,pp_Bon_Pay_Code,"&gt;="&amp;$V$3,pp_Meal_Pay_Code,"&gt;="&amp;$V$4,pp_Sick_Pay_Code,"&gt;="&amp;$V$5,pp_Diff_Pay_Code,"&gt;="&amp;$V$6)</f>
        <v>#NAME?</v>
      </c>
      <c r="H100" s="144" t="s">
        <v>214</v>
      </c>
      <c r="J100" s="141" t="s">
        <v>45</v>
      </c>
      <c r="K100" s="145" t="e" cm="1">
        <f t="array" ref="K100">_xlfn.LET(_xlpm.calc,COUNTIFS(Rate_Gp,K$11,Pay_Key_Gps,"*"&amp;$A$71&amp;"*",pp_Hrs_Wkd_Pay_Code,"&gt;="&amp;$V$1,pp_OT_Pay_Code,"&gt;="&amp;$V$2,pp_Bon_Pay_Code,"&gt;="&amp;$V$3,pp_Meal_Pay_Code,"&gt;="&amp;$V$4,pp_Sick_Pay_Code,"&gt;="&amp;$V$5,pp_Diff_Pay_Code,"&gt;="&amp;$V$6),_xlpm.calc2,COUNTIFS(pp_Hrs_Wkd_Pay_Code,"&gt;="&amp;$V$5,Pay_Key_Gps,"*"&amp;$A$71&amp;"*",pp_OT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L100" s="145" t="e" cm="1">
        <f t="array" ref="L100">_xlfn.LET(_xlpm.calc,COUNTIFS(Rate_Gp,L$11,Pay_Key_Gps,"*"&amp;$A$71&amp;"*",pp_Hrs_Wkd_Pay_Code,"&gt;="&amp;$V$1,pp_OT_Pay_Code,"&gt;="&amp;$V$2,pp_Bon_Pay_Code,"&gt;="&amp;$V$3,pp_Meal_Pay_Code,"&gt;="&amp;$V$4,pp_Sick_Pay_Code,"&gt;="&amp;$V$5,pp_Diff_Pay_Code,"&gt;="&amp;$V$6),_xlpm.calc2,COUNTIFS(pp_Hrs_Wkd_Pay_Code,"&gt;="&amp;$V$5,Pay_Key_Gps,"*"&amp;$A$71&amp;"*",pp_OT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M100" s="145" t="e" cm="1">
        <f t="array" ref="M100">_xlfn.LET(_xlpm.calc,COUNTIFS(Rate_Gp,M$11,Pay_Key_Gps,"*"&amp;$A$71&amp;"*",pp_Hrs_Wkd_Pay_Code,"&gt;="&amp;$V$1,pp_OT_Pay_Code,"&gt;="&amp;$V$2,pp_Bon_Pay_Code,"&gt;="&amp;$V$3,pp_Meal_Pay_Code,"&gt;="&amp;$V$4,pp_Sick_Pay_Code,"&gt;="&amp;$V$5,pp_Diff_Pay_Code,"&gt;="&amp;$V$6),_xlpm.calc2,COUNTIFS(pp_Hrs_Wkd_Pay_Code,"&gt;="&amp;$V$5,Pay_Key_Gps,"*"&amp;$A$71&amp;"*",pp_OT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N100" s="145" t="e" cm="1">
        <f t="array" ref="N100">_xlfn.LET(_xlpm.calc,COUNTIFS(Rate_Gp,N$11,Pay_Key_Gps,"*"&amp;$A$71&amp;"*",pp_Hrs_Wkd_Pay_Code,"&gt;="&amp;$V$1,pp_OT_Pay_Code,"&gt;="&amp;$V$2,pp_Bon_Pay_Code,"&gt;="&amp;$V$3,pp_Meal_Pay_Code,"&gt;="&amp;$V$4,pp_Sick_Pay_Code,"&gt;="&amp;$V$5,pp_Diff_Pay_Code,"&gt;="&amp;$V$6),_xlpm.calc2,COUNTIFS(pp_Hrs_Wkd_Pay_Code,"&gt;="&amp;$V$5,Pay_Key_Gps,"*"&amp;$A$71&amp;"*",pp_OT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O100" s="145" t="e" cm="1">
        <f t="array" ref="O100">_xlfn.LET(_xlpm.calc,COUNTIFS(Rate_Gp,O$11,Pay_Key_Gps,"*"&amp;$A$71&amp;"*",pp_Hrs_Wkd_Pay_Code,"&gt;="&amp;$V$1,pp_OT_Pay_Code,"&gt;="&amp;$V$2,pp_Bon_Pay_Code,"&gt;="&amp;$V$3,pp_Meal_Pay_Code,"&gt;="&amp;$V$4,pp_Sick_Pay_Code,"&gt;="&amp;$V$5,pp_Diff_Pay_Code,"&gt;="&amp;$V$6),_xlpm.calc2,COUNTIFS(pp_Hrs_Wkd_Pay_Code,"&gt;="&amp;$V$5,Pay_Key_Gps,"*"&amp;$A$71&amp;"*",pp_OT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P100" s="145" t="e" cm="1">
        <f t="array" ref="P100">_xlfn.LET(_xlpm.calc,COUNTIFS(Rate_Gp,P$11,Pay_Key_Gps,"*"&amp;$A$71&amp;"*",pp_Hrs_Wkd_Pay_Code,"&gt;="&amp;$V$1,pp_OT_Pay_Code,"&gt;="&amp;$V$2,pp_Bon_Pay_Code,"&gt;="&amp;$V$3,pp_Meal_Pay_Code,"&gt;="&amp;$V$4,pp_Sick_Pay_Code,"&gt;="&amp;$V$5,pp_Diff_Pay_Code,"&gt;="&amp;$V$6),_xlpm.calc2,COUNTIFS(pp_Hrs_Wkd_Pay_Code,"&gt;="&amp;$V$5,Pay_Key_Gps,"*"&amp;$A$71&amp;"*",pp_OT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Q100" s="145" t="e" cm="1">
        <f t="array" ref="Q100">_xlfn.LET(_xlpm.calc,COUNTIFS(Rate_Gp,Q$11,Pay_Key_Gps,"*"&amp;$A$71&amp;"*",pp_Hrs_Wkd_Pay_Code,"&gt;="&amp;$V$1,pp_OT_Pay_Code,"&gt;="&amp;$V$2,pp_Bon_Pay_Code,"&gt;="&amp;$V$3,pp_Meal_Pay_Code,"&gt;="&amp;$V$4,pp_Sick_Pay_Code,"&gt;="&amp;$V$5,pp_Diff_Pay_Code,"&gt;="&amp;$V$6),_xlpm.calc2,COUNTIFS(pp_Hrs_Wkd_Pay_Code,"&gt;="&amp;$V$5,Pay_Key_Gps,"*"&amp;$A$71&amp;"*",pp_OT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R100" s="145" t="e" cm="1">
        <f t="array" ref="R100">_xlfn.LET(_xlpm.calc,COUNTIFS(Rate_Gp,R$11,Pay_Key_Gps,"*"&amp;$A$71&amp;"*",pp_Hrs_Wkd_Pay_Code,"&gt;="&amp;$V$1,pp_OT_Pay_Code,"&gt;="&amp;$V$2,pp_Bon_Pay_Code,"&gt;="&amp;$V$3,pp_Meal_Pay_Code,"&gt;="&amp;$V$4,pp_Sick_Pay_Code,"&gt;="&amp;$V$5,pp_Diff_Pay_Code,"&gt;="&amp;$V$6),_xlpm.calc2,COUNTIFS(pp_Hrs_Wkd_Pay_Code,"&gt;="&amp;$V$5,Pay_Key_Gps,"*"&amp;$A$71&amp;"*",pp_OT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S100" s="145" t="e" cm="1">
        <f t="array" ref="S100">_xlfn.LET(_xlpm.calc,COUNTIFS(Rate_Gp,S$11,Pay_Key_Gps,"*"&amp;$A$71&amp;"*",pp_Hrs_Wkd_Pay_Code,"&gt;="&amp;$V$1,pp_OT_Pay_Code,"&gt;="&amp;$V$2,pp_Bon_Pay_Code,"&gt;="&amp;$V$3,pp_Meal_Pay_Code,"&gt;="&amp;$V$4,pp_Sick_Pay_Code,"&gt;="&amp;$V$5,pp_Diff_Pay_Code,"&gt;="&amp;$V$6),_xlpm.calc2,COUNTIFS(pp_Hrs_Wkd_Pay_Code,"&gt;="&amp;$V$5,Pay_Key_Gps,"*"&amp;$A$71&amp;"*",pp_OT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T100" s="145" t="e" cm="1">
        <f t="array" ref="T100">_xlfn.LET(_xlpm.calc,COUNTIFS(Rate_Gp,T$11,Pay_Key_Gps,"*"&amp;$A$71&amp;"*",pp_Hrs_Wkd_Pay_Code,"&gt;="&amp;$V$1,pp_OT_Pay_Code,"&gt;="&amp;$V$2,pp_Bon_Pay_Code,"&gt;="&amp;$V$3,pp_Meal_Pay_Code,"&gt;="&amp;$V$4,pp_Sick_Pay_Code,"&gt;="&amp;$V$5,pp_Diff_Pay_Code,"&gt;="&amp;$V$6),_xlpm.calc2,COUNTIFS(pp_Hrs_Wkd_Pay_Code,"&gt;="&amp;$V$5,Pay_Key_Gps,"*"&amp;$A$71&amp;"*",pp_OT_Pay_Code,"&gt;="&amp;$V$6),_xlpm.perc,_xlpm.calc/_xlpm.calc2,IF(_xlpm.calc=0,"-",IF(_xlpm.calc=_xlpm.calc2,IFERROR(IF(_xlpm.calc&gt;1000,_xlfn.CONCAT(TEXT(_xlpm.calc,"0,000")," (",TEXT(_xlpm.perc,"0%"),")"),_xlfn.CONCAT(_xlpm.calc," (",TEXT(_xlpm.perc,"0%"),")")),"-"),IFERROR(IF(_xlpm.calc&gt;1000,_xlfn.CONCAT(TEXT(_xlpm.calc,"0,000")," (",TEXT(_xlpm.perc,"0.0%"),")"),_xlfn.CONCAT(_xlpm.calc," (",TEXT(_xlpm.perc,"0.0%"),")")),"-"))))</f>
        <v>#NAME?</v>
      </c>
      <c r="U100" s="139" t="e">
        <f>SUM(U75:U99)</f>
        <v>#NAME?</v>
      </c>
      <c r="V100" s="121"/>
      <c r="W100" s="118"/>
      <c r="X100" s="149"/>
      <c r="Y100" s="149"/>
      <c r="Z100" s="149"/>
      <c r="AA100" s="149"/>
      <c r="AB100" s="140"/>
    </row>
    <row r="101" spans="1:28" s="122" customFormat="1" x14ac:dyDescent="0.3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118"/>
      <c r="X101" s="149"/>
      <c r="Y101" s="149"/>
      <c r="Z101" s="149"/>
      <c r="AA101" s="149"/>
      <c r="AB101" s="140"/>
    </row>
    <row r="102" spans="1:28" s="123" customFormat="1" x14ac:dyDescent="0.3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121"/>
      <c r="X102" s="149"/>
      <c r="Y102" s="149"/>
      <c r="Z102" s="149"/>
      <c r="AA102" s="149"/>
      <c r="AB102" s="140"/>
    </row>
  </sheetData>
  <mergeCells count="32">
    <mergeCell ref="J73:J74"/>
    <mergeCell ref="K73:U73"/>
    <mergeCell ref="J10:J11"/>
    <mergeCell ref="K10:U10"/>
    <mergeCell ref="A73:A74"/>
    <mergeCell ref="B73:B74"/>
    <mergeCell ref="C73:C74"/>
    <mergeCell ref="D73:D74"/>
    <mergeCell ref="E73:E74"/>
    <mergeCell ref="F73:F74"/>
    <mergeCell ref="G73:G74"/>
    <mergeCell ref="H73:H74"/>
    <mergeCell ref="A10:A11"/>
    <mergeCell ref="B10:B11"/>
    <mergeCell ref="C10:C11"/>
    <mergeCell ref="D10:D11"/>
    <mergeCell ref="K5:U5"/>
    <mergeCell ref="B6:H6"/>
    <mergeCell ref="K6:U6"/>
    <mergeCell ref="E10:E11"/>
    <mergeCell ref="F10:F11"/>
    <mergeCell ref="G10:G11"/>
    <mergeCell ref="H10:H11"/>
    <mergeCell ref="B5:H5"/>
    <mergeCell ref="B4:H4"/>
    <mergeCell ref="K4:U4"/>
    <mergeCell ref="B1:H1"/>
    <mergeCell ref="K1:U1"/>
    <mergeCell ref="B2:H2"/>
    <mergeCell ref="K2:U2"/>
    <mergeCell ref="B3:H3"/>
    <mergeCell ref="K3:U3"/>
  </mergeCells>
  <dataValidations count="1">
    <dataValidation type="list" allowBlank="1" showInputMessage="1" showErrorMessage="1" sqref="V1:W1 W2:W4 V2:V8" xr:uid="{C080DF23-7548-459C-8615-F369ECBC7150}">
      <formula1>"0, 1"</formula1>
    </dataValidation>
  </dataValidations>
  <printOptions horizontalCentered="1"/>
  <pageMargins left="0.25" right="0.25" top="1" bottom="0.5" header="0.25" footer="0.25"/>
  <pageSetup scale="54" pageOrder="overThenDown" orientation="portrait" r:id="rId1"/>
  <headerFooter>
    <oddHeader>&amp;L&amp;"-,Bold"CONFIDENTIAL -
FOR MEDIATION 
PURPOSES ONLY&amp;C&amp;"-,Bold"&amp;12&amp;F - &amp;A&amp;R&amp;"-,Bold"&amp;D</oddHeader>
    <oddFooter>&amp;CPage &amp;P of &amp;N</oddFooter>
  </headerFooter>
  <rowBreaks count="1" manualBreakCount="1">
    <brk id="71" max="7" man="1"/>
  </rowBreaks>
  <colBreaks count="1" manualBreakCount="1">
    <brk id="9" min="4" max="67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8AA28-502D-47B7-9A22-434150631605}">
  <sheetPr>
    <tabColor rgb="FFFF0000"/>
  </sheetPr>
  <dimension ref="A1:I1"/>
  <sheetViews>
    <sheetView workbookViewId="0">
      <selection activeCell="A2" sqref="A2"/>
    </sheetView>
  </sheetViews>
  <sheetFormatPr defaultRowHeight="13.2" x14ac:dyDescent="0.25"/>
  <cols>
    <col min="1" max="1" width="7.44140625" bestFit="1" customWidth="1"/>
    <col min="2" max="2" width="16.6640625" style="5" bestFit="1" customWidth="1"/>
    <col min="3" max="3" width="12.33203125" style="5" bestFit="1" customWidth="1"/>
    <col min="4" max="4" width="24.33203125" style="5" bestFit="1" customWidth="1"/>
    <col min="5" max="5" width="20" style="5" bestFit="1" customWidth="1"/>
    <col min="6" max="6" width="23.6640625" style="5" bestFit="1" customWidth="1"/>
    <col min="7" max="7" width="19.21875" style="5" bestFit="1" customWidth="1"/>
    <col min="8" max="8" width="14.5546875" style="5" bestFit="1" customWidth="1"/>
    <col min="9" max="9" width="10.33203125" style="5" bestFit="1" customWidth="1"/>
  </cols>
  <sheetData>
    <row r="1" spans="1:9" x14ac:dyDescent="0.25">
      <c r="A1" t="s">
        <v>1226</v>
      </c>
      <c r="B1" s="5" t="s">
        <v>1227</v>
      </c>
      <c r="C1" s="5" t="s">
        <v>1228</v>
      </c>
      <c r="D1" s="5" t="s">
        <v>1229</v>
      </c>
      <c r="E1" s="5" t="s">
        <v>1230</v>
      </c>
      <c r="F1" s="5" t="s">
        <v>1231</v>
      </c>
      <c r="G1" s="5" t="s">
        <v>1232</v>
      </c>
      <c r="H1" s="5" t="s">
        <v>1233</v>
      </c>
      <c r="I1" s="5" t="s">
        <v>1234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2646A-9C7F-460E-8BA0-CF238EA5A655}">
  <sheetPr>
    <tabColor rgb="FFFF0000"/>
  </sheetPr>
  <dimension ref="A1:E1"/>
  <sheetViews>
    <sheetView workbookViewId="0"/>
  </sheetViews>
  <sheetFormatPr defaultRowHeight="13.2" x14ac:dyDescent="0.25"/>
  <cols>
    <col min="1" max="1" width="80.88671875" bestFit="1" customWidth="1"/>
    <col min="2" max="2" width="27.21875" bestFit="1" customWidth="1"/>
    <col min="3" max="3" width="12" bestFit="1" customWidth="1"/>
    <col min="4" max="4" width="10.6640625" bestFit="1" customWidth="1"/>
    <col min="5" max="5" width="10.77734375" bestFit="1" customWidth="1"/>
    <col min="6" max="6" width="27.109375" bestFit="1" customWidth="1"/>
    <col min="7" max="7" width="11.88671875" bestFit="1" customWidth="1"/>
    <col min="8" max="9" width="10.88671875" bestFit="1" customWidth="1"/>
  </cols>
  <sheetData>
    <row r="1" spans="1:5" x14ac:dyDescent="0.25">
      <c r="A1" t="s">
        <v>1006</v>
      </c>
      <c r="B1" t="s">
        <v>699</v>
      </c>
      <c r="C1" t="s">
        <v>1326</v>
      </c>
      <c r="D1" t="s">
        <v>1327</v>
      </c>
      <c r="E1" t="s">
        <v>1328</v>
      </c>
    </row>
  </sheetData>
  <phoneticPr fontId="13" type="noConversion"/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8583A-3939-4651-AE5C-43E191B15D3C}">
  <sheetPr>
    <tabColor rgb="FFFFC000"/>
  </sheetPr>
  <dimension ref="A1:D11"/>
  <sheetViews>
    <sheetView workbookViewId="0">
      <selection activeCell="C11" sqref="C11"/>
    </sheetView>
  </sheetViews>
  <sheetFormatPr defaultColWidth="9.109375" defaultRowHeight="14.4" x14ac:dyDescent="0.3"/>
  <cols>
    <col min="1" max="1" width="13.109375" style="34" bestFit="1" customWidth="1"/>
    <col min="2" max="2" width="14.33203125" style="34" bestFit="1" customWidth="1"/>
    <col min="3" max="3" width="20" style="35" bestFit="1" customWidth="1"/>
    <col min="4" max="4" width="19.44140625" style="35" bestFit="1" customWidth="1"/>
    <col min="5" max="16384" width="9.109375" style="35"/>
  </cols>
  <sheetData>
    <row r="1" spans="1:4" x14ac:dyDescent="0.3">
      <c r="A1" s="34" t="s">
        <v>382</v>
      </c>
      <c r="B1" s="34" t="s">
        <v>383</v>
      </c>
      <c r="C1" s="35" t="s">
        <v>384</v>
      </c>
      <c r="D1" s="36" t="s">
        <v>385</v>
      </c>
    </row>
    <row r="2" spans="1:4" x14ac:dyDescent="0.3">
      <c r="A2" s="34">
        <v>42736</v>
      </c>
      <c r="B2" s="34">
        <v>43100</v>
      </c>
      <c r="C2" s="37">
        <v>10</v>
      </c>
      <c r="D2" s="37">
        <v>10.5</v>
      </c>
    </row>
    <row r="3" spans="1:4" x14ac:dyDescent="0.3">
      <c r="A3" s="34">
        <v>43101</v>
      </c>
      <c r="B3" s="34">
        <v>43465</v>
      </c>
      <c r="C3" s="37">
        <v>10.5</v>
      </c>
      <c r="D3" s="37">
        <v>11</v>
      </c>
    </row>
    <row r="4" spans="1:4" x14ac:dyDescent="0.3">
      <c r="A4" s="34">
        <v>43466</v>
      </c>
      <c r="B4" s="34">
        <v>43830</v>
      </c>
      <c r="C4" s="37">
        <v>11</v>
      </c>
      <c r="D4" s="37">
        <v>12</v>
      </c>
    </row>
    <row r="5" spans="1:4" x14ac:dyDescent="0.3">
      <c r="A5" s="34">
        <v>43831</v>
      </c>
      <c r="B5" s="34">
        <v>44196</v>
      </c>
      <c r="C5" s="37">
        <v>12</v>
      </c>
      <c r="D5" s="37">
        <v>13</v>
      </c>
    </row>
    <row r="6" spans="1:4" x14ac:dyDescent="0.3">
      <c r="A6" s="34">
        <v>44197</v>
      </c>
      <c r="B6" s="34">
        <v>44561</v>
      </c>
      <c r="C6" s="37">
        <v>13</v>
      </c>
      <c r="D6" s="37">
        <v>14</v>
      </c>
    </row>
    <row r="7" spans="1:4" x14ac:dyDescent="0.3">
      <c r="A7" s="34">
        <v>44562</v>
      </c>
      <c r="B7" s="34">
        <v>44926</v>
      </c>
      <c r="C7" s="37">
        <v>14</v>
      </c>
      <c r="D7" s="37">
        <v>15</v>
      </c>
    </row>
    <row r="8" spans="1:4" x14ac:dyDescent="0.3">
      <c r="A8" s="34">
        <v>44927</v>
      </c>
      <c r="B8" s="34">
        <v>45291</v>
      </c>
      <c r="C8" s="37">
        <v>15.5</v>
      </c>
      <c r="D8" s="37">
        <v>15.5</v>
      </c>
    </row>
    <row r="9" spans="1:4" x14ac:dyDescent="0.3">
      <c r="A9" s="34">
        <v>45292</v>
      </c>
      <c r="B9" s="34">
        <v>45657</v>
      </c>
      <c r="C9" s="37">
        <v>16</v>
      </c>
      <c r="D9" s="37">
        <v>16</v>
      </c>
    </row>
    <row r="10" spans="1:4" x14ac:dyDescent="0.3">
      <c r="A10" s="34">
        <v>45658</v>
      </c>
      <c r="B10" s="34">
        <v>46022</v>
      </c>
      <c r="C10" s="37">
        <v>16.5</v>
      </c>
      <c r="D10" s="37">
        <v>16</v>
      </c>
    </row>
    <row r="11" spans="1:4" x14ac:dyDescent="0.3">
      <c r="A11" s="34">
        <v>46023</v>
      </c>
      <c r="B11" s="34">
        <v>46387</v>
      </c>
      <c r="C11" s="37">
        <v>16.899999999999999</v>
      </c>
      <c r="D11" s="37">
        <v>16.899999999999999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BA768-772F-44D4-937C-B1F19C418384}">
  <sheetPr>
    <tabColor rgb="FFFFC000"/>
  </sheetPr>
  <dimension ref="A1:G22"/>
  <sheetViews>
    <sheetView workbookViewId="0"/>
  </sheetViews>
  <sheetFormatPr defaultColWidth="45.109375" defaultRowHeight="14.4" x14ac:dyDescent="0.25"/>
  <cols>
    <col min="1" max="1" width="21.44140625" style="31" bestFit="1" customWidth="1"/>
    <col min="2" max="2" width="17.6640625" style="32" bestFit="1" customWidth="1"/>
    <col min="3" max="3" width="16.44140625" style="32" bestFit="1" customWidth="1"/>
    <col min="4" max="6" width="20.44140625" style="33" customWidth="1"/>
    <col min="7" max="7" width="12.44140625" style="14" bestFit="1" customWidth="1"/>
    <col min="8" max="16384" width="45.109375" style="14"/>
  </cols>
  <sheetData>
    <row r="1" spans="1:7" ht="34.200000000000003" thickBot="1" x14ac:dyDescent="0.3">
      <c r="A1" s="10" t="s">
        <v>386</v>
      </c>
      <c r="B1" s="11" t="s">
        <v>387</v>
      </c>
      <c r="C1" s="11" t="s">
        <v>388</v>
      </c>
      <c r="D1" s="12" t="s">
        <v>389</v>
      </c>
      <c r="E1" s="12" t="s">
        <v>390</v>
      </c>
      <c r="F1" s="12" t="s">
        <v>391</v>
      </c>
      <c r="G1" s="13" t="s">
        <v>4</v>
      </c>
    </row>
    <row r="2" spans="1:7" ht="16.8" thickTop="1" thickBot="1" x14ac:dyDescent="0.3">
      <c r="A2" s="15">
        <v>2026</v>
      </c>
      <c r="B2" s="16">
        <v>46023</v>
      </c>
      <c r="C2" s="16">
        <v>46387</v>
      </c>
      <c r="D2" s="17">
        <v>0.71</v>
      </c>
      <c r="E2" s="17">
        <v>0.14000000000000001</v>
      </c>
      <c r="F2" s="17">
        <v>0.22</v>
      </c>
      <c r="G2" s="170" t="s">
        <v>392</v>
      </c>
    </row>
    <row r="3" spans="1:7" ht="16.2" thickBot="1" x14ac:dyDescent="0.3">
      <c r="A3" s="15">
        <v>2025</v>
      </c>
      <c r="B3" s="16">
        <f>DATE(A3,1,1)</f>
        <v>45658</v>
      </c>
      <c r="C3" s="16">
        <f>DATE(A3,12,31)</f>
        <v>46022</v>
      </c>
      <c r="D3" s="17">
        <v>0.7</v>
      </c>
      <c r="E3" s="17">
        <v>0.14000000000000001</v>
      </c>
      <c r="F3" s="17">
        <v>0.21</v>
      </c>
      <c r="G3" s="170" t="s">
        <v>392</v>
      </c>
    </row>
    <row r="4" spans="1:7" ht="16.2" thickBot="1" x14ac:dyDescent="0.3">
      <c r="A4" s="15">
        <v>2024</v>
      </c>
      <c r="B4" s="16">
        <f>DATE(A4,1,1)</f>
        <v>45292</v>
      </c>
      <c r="C4" s="16">
        <f>DATE(A4,12,31)</f>
        <v>45657</v>
      </c>
      <c r="D4" s="17">
        <v>0.67</v>
      </c>
      <c r="E4" s="17">
        <v>0.14000000000000001</v>
      </c>
      <c r="F4" s="17">
        <v>0.21</v>
      </c>
      <c r="G4" s="18" t="s">
        <v>393</v>
      </c>
    </row>
    <row r="5" spans="1:7" ht="16.2" thickBot="1" x14ac:dyDescent="0.3">
      <c r="A5" s="15">
        <v>2023</v>
      </c>
      <c r="B5" s="16">
        <f t="shared" ref="B5:B19" si="0">DATE(A5,1,1)</f>
        <v>44927</v>
      </c>
      <c r="C5" s="16">
        <f t="shared" ref="C5:C19" si="1">DATE(A5,12,31)</f>
        <v>45291</v>
      </c>
      <c r="D5" s="17">
        <v>0.65500000000000003</v>
      </c>
      <c r="E5" s="17">
        <v>0.14000000000000001</v>
      </c>
      <c r="F5" s="17">
        <v>0.22</v>
      </c>
      <c r="G5" s="18" t="s">
        <v>394</v>
      </c>
    </row>
    <row r="6" spans="1:7" ht="16.2" thickBot="1" x14ac:dyDescent="0.3">
      <c r="A6" s="15">
        <v>2022</v>
      </c>
      <c r="B6" s="16">
        <v>44562</v>
      </c>
      <c r="C6" s="16">
        <v>44926</v>
      </c>
      <c r="D6" s="17">
        <v>0.625</v>
      </c>
      <c r="E6" s="17">
        <v>0.14000000000000001</v>
      </c>
      <c r="F6" s="17">
        <v>0.22</v>
      </c>
      <c r="G6" s="18"/>
    </row>
    <row r="7" spans="1:7" ht="16.2" thickBot="1" x14ac:dyDescent="0.3">
      <c r="A7" s="15" t="s">
        <v>395</v>
      </c>
      <c r="B7" s="16">
        <v>44743</v>
      </c>
      <c r="C7" s="16">
        <v>44926</v>
      </c>
      <c r="D7" s="17">
        <v>0.625</v>
      </c>
      <c r="E7" s="17">
        <v>0.14000000000000001</v>
      </c>
      <c r="F7" s="17">
        <v>0.22</v>
      </c>
      <c r="G7" s="18" t="s">
        <v>396</v>
      </c>
    </row>
    <row r="8" spans="1:7" ht="16.2" thickBot="1" x14ac:dyDescent="0.3">
      <c r="A8" s="15" t="s">
        <v>397</v>
      </c>
      <c r="B8" s="16">
        <v>44562</v>
      </c>
      <c r="C8" s="16">
        <v>44742</v>
      </c>
      <c r="D8" s="17">
        <v>0.58499999999999996</v>
      </c>
      <c r="E8" s="17">
        <v>0.14000000000000001</v>
      </c>
      <c r="F8" s="17">
        <v>0.18</v>
      </c>
      <c r="G8" s="18" t="s">
        <v>398</v>
      </c>
    </row>
    <row r="9" spans="1:7" ht="16.2" thickBot="1" x14ac:dyDescent="0.3">
      <c r="A9" s="15">
        <v>2021</v>
      </c>
      <c r="B9" s="16">
        <f t="shared" si="0"/>
        <v>44197</v>
      </c>
      <c r="C9" s="16">
        <f t="shared" si="1"/>
        <v>44561</v>
      </c>
      <c r="D9" s="17">
        <v>0.56000000000000005</v>
      </c>
      <c r="E9" s="17">
        <v>0.14000000000000001</v>
      </c>
      <c r="F9" s="17">
        <v>0.16</v>
      </c>
      <c r="G9" s="18" t="s">
        <v>399</v>
      </c>
    </row>
    <row r="10" spans="1:7" ht="16.2" thickBot="1" x14ac:dyDescent="0.3">
      <c r="A10" s="15">
        <v>2020</v>
      </c>
      <c r="B10" s="16">
        <f t="shared" si="0"/>
        <v>43831</v>
      </c>
      <c r="C10" s="16">
        <f t="shared" si="1"/>
        <v>44196</v>
      </c>
      <c r="D10" s="17">
        <v>0.57499999999999996</v>
      </c>
      <c r="E10" s="17">
        <v>0.14000000000000001</v>
      </c>
      <c r="F10" s="17">
        <v>0.17</v>
      </c>
      <c r="G10" s="18" t="s">
        <v>400</v>
      </c>
    </row>
    <row r="11" spans="1:7" ht="16.2" thickBot="1" x14ac:dyDescent="0.3">
      <c r="A11" s="15">
        <v>2019</v>
      </c>
      <c r="B11" s="16">
        <f t="shared" si="0"/>
        <v>43466</v>
      </c>
      <c r="C11" s="16">
        <f t="shared" si="1"/>
        <v>43830</v>
      </c>
      <c r="D11" s="17">
        <v>0.57999999999999996</v>
      </c>
      <c r="E11" s="17">
        <v>0.14000000000000001</v>
      </c>
      <c r="F11" s="17">
        <v>0.2</v>
      </c>
      <c r="G11" s="18" t="s">
        <v>401</v>
      </c>
    </row>
    <row r="12" spans="1:7" ht="15.6" x14ac:dyDescent="0.25">
      <c r="A12" s="19">
        <v>2018</v>
      </c>
      <c r="B12" s="20">
        <f t="shared" si="0"/>
        <v>43101</v>
      </c>
      <c r="C12" s="20">
        <f t="shared" si="1"/>
        <v>43465</v>
      </c>
      <c r="D12" s="21">
        <v>0.54500000000000004</v>
      </c>
      <c r="E12" s="21">
        <v>0.14000000000000001</v>
      </c>
      <c r="F12" s="21">
        <v>0.18</v>
      </c>
      <c r="G12" s="22" t="s">
        <v>402</v>
      </c>
    </row>
    <row r="13" spans="1:7" ht="16.2" thickBot="1" x14ac:dyDescent="0.3">
      <c r="A13" s="23" t="s">
        <v>403</v>
      </c>
      <c r="B13" s="24"/>
      <c r="C13" s="24"/>
      <c r="D13" s="25"/>
      <c r="E13" s="25"/>
      <c r="F13" s="25"/>
      <c r="G13" s="26" t="s">
        <v>404</v>
      </c>
    </row>
    <row r="14" spans="1:7" ht="16.2" thickBot="1" x14ac:dyDescent="0.3">
      <c r="A14" s="15">
        <v>2017</v>
      </c>
      <c r="B14" s="16">
        <f t="shared" si="0"/>
        <v>42736</v>
      </c>
      <c r="C14" s="16">
        <f t="shared" si="1"/>
        <v>43100</v>
      </c>
      <c r="D14" s="17">
        <v>0.53500000000000003</v>
      </c>
      <c r="E14" s="17">
        <v>0.14000000000000001</v>
      </c>
      <c r="F14" s="17">
        <v>0.17</v>
      </c>
      <c r="G14" s="18" t="s">
        <v>405</v>
      </c>
    </row>
    <row r="15" spans="1:7" ht="16.2" thickBot="1" x14ac:dyDescent="0.3">
      <c r="A15" s="15">
        <v>2016</v>
      </c>
      <c r="B15" s="16">
        <f t="shared" si="0"/>
        <v>42370</v>
      </c>
      <c r="C15" s="16">
        <f t="shared" si="1"/>
        <v>42735</v>
      </c>
      <c r="D15" s="17">
        <v>0.54</v>
      </c>
      <c r="E15" s="17">
        <v>0.14000000000000001</v>
      </c>
      <c r="F15" s="17">
        <v>0.19</v>
      </c>
      <c r="G15" s="18" t="s">
        <v>406</v>
      </c>
    </row>
    <row r="16" spans="1:7" ht="16.2" thickBot="1" x14ac:dyDescent="0.3">
      <c r="A16" s="15">
        <v>2015</v>
      </c>
      <c r="B16" s="16">
        <f t="shared" si="0"/>
        <v>42005</v>
      </c>
      <c r="C16" s="16">
        <f t="shared" si="1"/>
        <v>42369</v>
      </c>
      <c r="D16" s="17">
        <v>0.57499999999999996</v>
      </c>
      <c r="E16" s="17">
        <v>0.14000000000000001</v>
      </c>
      <c r="F16" s="17">
        <v>0.23</v>
      </c>
      <c r="G16" s="18" t="s">
        <v>407</v>
      </c>
    </row>
    <row r="17" spans="1:7" ht="16.2" thickBot="1" x14ac:dyDescent="0.3">
      <c r="A17" s="15">
        <v>2014</v>
      </c>
      <c r="B17" s="16">
        <f t="shared" si="0"/>
        <v>41640</v>
      </c>
      <c r="C17" s="16">
        <f t="shared" si="1"/>
        <v>42004</v>
      </c>
      <c r="D17" s="17">
        <v>0.56000000000000005</v>
      </c>
      <c r="E17" s="17">
        <v>0.14000000000000001</v>
      </c>
      <c r="F17" s="17">
        <v>0.23499999999999999</v>
      </c>
      <c r="G17" s="18" t="s">
        <v>408</v>
      </c>
    </row>
    <row r="18" spans="1:7" ht="16.2" thickBot="1" x14ac:dyDescent="0.3">
      <c r="A18" s="15">
        <v>2013</v>
      </c>
      <c r="B18" s="16">
        <f t="shared" si="0"/>
        <v>41275</v>
      </c>
      <c r="C18" s="16">
        <f t="shared" si="1"/>
        <v>41639</v>
      </c>
      <c r="D18" s="17">
        <v>0.56499999999999995</v>
      </c>
      <c r="E18" s="17">
        <v>0.14000000000000001</v>
      </c>
      <c r="F18" s="17">
        <v>0.24</v>
      </c>
      <c r="G18" s="18" t="s">
        <v>409</v>
      </c>
    </row>
    <row r="19" spans="1:7" ht="16.2" thickBot="1" x14ac:dyDescent="0.3">
      <c r="A19" s="15">
        <v>2012</v>
      </c>
      <c r="B19" s="16">
        <f t="shared" si="0"/>
        <v>40909</v>
      </c>
      <c r="C19" s="16">
        <f t="shared" si="1"/>
        <v>41274</v>
      </c>
      <c r="D19" s="17">
        <v>0.55500000000000005</v>
      </c>
      <c r="E19" s="17">
        <v>0.14000000000000001</v>
      </c>
      <c r="F19" s="17">
        <v>0.23</v>
      </c>
      <c r="G19" s="18" t="s">
        <v>410</v>
      </c>
    </row>
    <row r="20" spans="1:7" ht="16.2" thickBot="1" x14ac:dyDescent="0.3">
      <c r="A20" s="15">
        <v>2022</v>
      </c>
      <c r="B20" s="16">
        <v>44562</v>
      </c>
      <c r="C20" s="16">
        <v>44926</v>
      </c>
      <c r="D20" s="17">
        <v>0.625</v>
      </c>
      <c r="E20" s="17">
        <v>0.14000000000000001</v>
      </c>
      <c r="F20" s="17">
        <v>0.22</v>
      </c>
      <c r="G20" s="18"/>
    </row>
    <row r="21" spans="1:7" ht="16.2" thickBot="1" x14ac:dyDescent="0.3">
      <c r="A21" s="15" t="s">
        <v>411</v>
      </c>
      <c r="B21" s="16">
        <v>40725</v>
      </c>
      <c r="C21" s="16">
        <v>40908</v>
      </c>
      <c r="D21" s="17">
        <v>0.55500000000000005</v>
      </c>
      <c r="E21" s="17">
        <v>0.14000000000000001</v>
      </c>
      <c r="F21" s="17">
        <v>0.23499999999999999</v>
      </c>
      <c r="G21" s="18" t="s">
        <v>412</v>
      </c>
    </row>
    <row r="22" spans="1:7" ht="16.2" thickBot="1" x14ac:dyDescent="0.3">
      <c r="A22" s="27" t="s">
        <v>413</v>
      </c>
      <c r="B22" s="28">
        <v>40544</v>
      </c>
      <c r="C22" s="28">
        <v>40724</v>
      </c>
      <c r="D22" s="29">
        <v>0.51</v>
      </c>
      <c r="E22" s="29">
        <v>0.14000000000000001</v>
      </c>
      <c r="F22" s="29">
        <v>0.19</v>
      </c>
      <c r="G22" s="30" t="s">
        <v>414</v>
      </c>
    </row>
  </sheetData>
  <autoFilter ref="A1:G22" xr:uid="{746AF35C-CCCC-48C1-AB3D-3B450865CC59}"/>
  <hyperlinks>
    <hyperlink ref="G4" r:id="rId1" tooltip="IRS issues standard mileage rates for 2024; mileage rate increases to 67 cents a mile, up 1.5 cents from 2023" display="https://www.irs.gov/newsroom/irs-issues-standard-mileage-rates-for-2024-mileage-rate-increases-to-67-cents-a-mile-up-1-point-5-cents-from-2023" xr:uid="{A0B32DBA-803E-4E87-B270-53CEF08CB1A0}"/>
    <hyperlink ref="G5" r:id="rId2" tooltip="IRS issues standard mileage rates for 2023; business use increases 3 cents per mile" display="https://www.irs.gov/newsroom/irs-issues-standard-mileage-rates-for-2023-business-use-increases-3-cents-per-mile" xr:uid="{5C4E84A0-2850-4B52-9020-52FC679D0F36}"/>
    <hyperlink ref="G7" r:id="rId3" tooltip="IRS increases mileage rate for remainder of 2022" display="https://www.irs.gov/newsroom/irs-increases-mileage-rate-for-remainder-of-2022" xr:uid="{AD0A5D67-7EAA-484D-92B1-998439081769}"/>
    <hyperlink ref="G8" r:id="rId4" tooltip="IRS issues standard mileage rates for 2022" display="https://www.irs.gov/newsroom/irs-issues-standard-mileage-rates-for-2022" xr:uid="{EBAA8240-19EA-4BAF-948E-CA073CAC5DDD}"/>
    <hyperlink ref="G9" r:id="rId5" tooltip="IRS issues standard mileage rates for 2021" display="https://www.irs.gov/newsroom/irs-issues-standard-mileage-rates-for-2021" xr:uid="{80963E3C-9CC0-4B73-B123-4C248B1584D2}"/>
    <hyperlink ref="G10" r:id="rId6" tooltip="IRS issues standard mileage rates for 2020" display="https://www.irs.gov/newsroom/irs-issues-standard-mileage-rates-for-2020" xr:uid="{63CEB03A-B4E2-4EE0-9417-1FE730B4F958}"/>
    <hyperlink ref="G11" r:id="rId7" tooltip="IRS issues standard mileage rates for 2019" display="https://www.irs.gov/newsroom/irs-issues-standard-mileage-rates-for-2019" xr:uid="{73A72D6F-D480-486D-B3AE-B818C52CB66E}"/>
    <hyperlink ref="G12" r:id="rId8" tooltip="Standard Mileage Rates for 2018 Up from Rates for 2017" display="https://www.irs.gov/newsroom/standard-mileage-rates-for-2018-up-from-rates-for-2017" xr:uid="{E2A4CC61-DE80-4C17-B886-E8277975F4BD}"/>
    <hyperlink ref="G13" r:id="rId9" tooltip="Law change affects moving, mileage and travel expenses" display="https://www.irs.gov/newsroom/law-change-affects-moving-mileage-and-travel-expenses" xr:uid="{C3C42053-4117-45B2-93F9-BC2D66B48E29}"/>
    <hyperlink ref="G14" r:id="rId10" tooltip="2017 Standard Mileage Rates for Business, Medical and Moving Announced" display="https://www.irs.gov/newsroom/2017-standard-mileage-rates-for-business-medical-and-moving-announced" xr:uid="{3DA6C2DE-E5DF-468E-A3B7-F87B3D6BA00C}"/>
    <hyperlink ref="G15" r:id="rId11" tooltip="2016 Standard Mileage Rates for Business, Medical and Moving Announced" display="https://www.irs.gov/newsroom/2016-standard-mileage-rates-for-business-medical-and-moving-announced" xr:uid="{36CFFEBE-5240-4481-B693-A85F75D71BE4}"/>
    <hyperlink ref="G16" r:id="rId12" tooltip="New Standard Mileage Rates Now Available; Business Rate to Rise in 2015" display="https://www.irs.gov/newsroom/new-standard-mileage-rates-now-available-business-rate-to-rise-in-2015" xr:uid="{82BAFAC3-53F1-45F3-A783-A6BE1A3A40CD}"/>
    <hyperlink ref="G17" r:id="rId13" tooltip="2014 Standard Mileage Rates for Business, Medical and Moving Announced" display="https://www.irs.gov/newsroom/2014-standard-mileage-rates-for-business-medical-and-moving-announced" xr:uid="{D336D217-50CD-4D19-8E35-0FB418CB3AAE}"/>
    <hyperlink ref="G18" r:id="rId14" tooltip="2013 Standard Mileage Rates Up 1 Cent per Mile for Business, Medical and Moving" display="https://www.irs.gov/newsroom/2013-standard-mileage-rates-up-1-cent-per-mile-for-business-medical-and-moving" xr:uid="{A7E762E5-850B-4F43-83FC-C0166C3E5208}"/>
    <hyperlink ref="G19" r:id="rId15" location="NOT-2012-1" tooltip="Internal Revenue Bulletin: 2012-2" display="https://www.irs.gov/irb/2012-02_IRB - NOT-2012-1" xr:uid="{E3BD92F4-6DA5-41A1-9E7C-4A9644BF0F5B}"/>
    <hyperlink ref="G21" r:id="rId16" tooltip="IRS Increases Mileage Rate to 55.5 Cents per Mile" display="https://www.irs.gov/newsroom/irs-increases-mileage-rate-to-55-5-cents-per-mile" xr:uid="{FDB2733A-2318-4252-8F0A-AC795FAEC1AA}"/>
    <hyperlink ref="G22" r:id="rId17" tooltip="IRS Announces 2011 Standard Mileage Rates" display="https://www.irs.gov/newsroom/irs-announces-2011-standard-mileage-rates" xr:uid="{E337F9C9-DD63-4A93-A7B9-6AD52232806E}"/>
    <hyperlink ref="G2" r:id="rId18" tooltip="IRS issues standard mileage rates for 2024; mileage rate increases to 67 cents a mile, up 1.5 cents from 2023" xr:uid="{7D78AF95-3B0E-4BE7-9E93-42F2C619206F}"/>
    <hyperlink ref="G3" r:id="rId19" tooltip="IRS issues standard mileage rates for 2024; mileage rate increases to 67 cents a mile, up 1.5 cents from 2023" xr:uid="{1E6B6448-4AFB-4D22-A1D4-FFB26B7266AE}"/>
  </hyperlinks>
  <pageMargins left="0.7" right="0.7" top="0.75" bottom="0.75" header="0.3" footer="0.3"/>
  <pageSetup orientation="portrait" r:id="rId2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444F56-7F71-4806-8222-0DA8E8DBFA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8</vt:i4>
      </vt:variant>
    </vt:vector>
  </HeadingPairs>
  <TitlesOfParts>
    <vt:vector size="29" baseType="lpstr">
      <vt:lpstr>Data Comparison</vt:lpstr>
      <vt:lpstr>Employee Pay Period Comparison</vt:lpstr>
      <vt:lpstr>Analysis</vt:lpstr>
      <vt:lpstr>PAGA Analysis</vt:lpstr>
      <vt:lpstr>Class Analysis</vt:lpstr>
      <vt:lpstr>ref</vt:lpstr>
      <vt:lpstr>Example</vt:lpstr>
      <vt:lpstr>Pay Period Data</vt:lpstr>
      <vt:lpstr>Employee Data</vt:lpstr>
      <vt:lpstr>Time Shift Data</vt:lpstr>
      <vt:lpstr>Time Punch Data</vt:lpstr>
      <vt:lpstr>AWW Classifications</vt:lpstr>
      <vt:lpstr>Hrs &amp; MP Tables</vt:lpstr>
      <vt:lpstr>Pay Data</vt:lpstr>
      <vt:lpstr>Pay Code Analysis</vt:lpstr>
      <vt:lpstr>Rate Type Analysis</vt:lpstr>
      <vt:lpstr>Pay Code Table</vt:lpstr>
      <vt:lpstr>IDs &amp; Rcds Removed</vt:lpstr>
      <vt:lpstr>Analysis Log</vt:lpstr>
      <vt:lpstr>Min Wage Table</vt:lpstr>
      <vt:lpstr>Mileage Table</vt:lpstr>
      <vt:lpstr>'Class Analysis'!Print_Area</vt:lpstr>
      <vt:lpstr>'Data Comparison'!Print_Area</vt:lpstr>
      <vt:lpstr>'PAGA Analysis'!Print_Area</vt:lpstr>
      <vt:lpstr>'Pay Code Table'!Print_Area</vt:lpstr>
      <vt:lpstr>'Class Analysis'!Print_Titles</vt:lpstr>
      <vt:lpstr>'PAGA Analysis'!Print_Titles</vt:lpstr>
      <vt:lpstr>'Pay Code Analysis'!Print_Titles</vt:lpstr>
      <vt:lpstr>'Rate Type Analysis'!Print_Titles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2024-11-27T00:34:33Z</dcterms:created>
  <dcterms:modified xsi:type="dcterms:W3CDTF">2026-03-02T17:20:46Z</dcterms:modified>
  <cp:category/>
  <cp:contentStatus/>
</cp:coreProperties>
</file>